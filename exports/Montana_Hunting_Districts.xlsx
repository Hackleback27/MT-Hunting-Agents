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op Districts" sheetId="2" state="visible" r:id="rId2"/>
    <sheet name="Trends" sheetId="3" state="visible" r:id="rId3"/>
    <sheet name="Regulations" sheetId="4" state="visible" r:id="rId4"/>
    <sheet name="Black Bear" sheetId="5" state="visible" r:id="rId5"/>
    <sheet name="Data" sheetId="6" state="visible" r:id="rId6"/>
  </sheets>
  <definedNames/>
  <calcPr calcId="124519" fullCalcOnLoad="1"/>
</workbook>
</file>

<file path=xl/styles.xml><?xml version="1.0" encoding="utf-8"?>
<styleSheet xmlns="http://schemas.openxmlformats.org/spreadsheetml/2006/main">
  <numFmts count="2">
    <numFmt numFmtId="164" formatCode="0.0"/>
    <numFmt numFmtId="165" formatCode="+0%;-0%;0%"/>
  </numFmts>
  <fonts count="7">
    <font>
      <name val="Calibri"/>
      <family val="2"/>
      <color theme="1"/>
      <sz val="11"/>
      <scheme val="minor"/>
    </font>
    <font>
      <name val="Arial"/>
      <b val="1"/>
      <color rgb="00FFFFFF"/>
    </font>
    <font>
      <name val="Arial"/>
    </font>
    <font>
      <name val="Arial"/>
      <b val="1"/>
      <color rgb="001F2A22"/>
      <sz val="16"/>
    </font>
    <font>
      <name val="Arial"/>
      <i val="1"/>
      <color rgb="005D6A60"/>
      <sz val="9"/>
    </font>
    <font>
      <name val="Arial"/>
      <b val="1"/>
      <color rgb="002F5D3A"/>
      <sz val="12"/>
    </font>
    <font>
      <name val="Arial"/>
      <b val="1"/>
    </font>
  </fonts>
  <fills count="5">
    <fill>
      <patternFill/>
    </fill>
    <fill>
      <patternFill patternType="gray125"/>
    </fill>
    <fill>
      <patternFill patternType="solid">
        <fgColor rgb="002F5D3A"/>
      </patternFill>
    </fill>
    <fill>
      <patternFill patternType="solid">
        <fgColor rgb="00F8E6D6"/>
      </patternFill>
    </fill>
    <fill>
      <patternFill patternType="solid">
        <fgColor rgb="00E2EFE2"/>
      </patternFill>
    </fill>
  </fills>
  <borders count="1">
    <border>
      <left/>
      <right/>
      <top/>
      <bottom/>
      <diagonal/>
    </border>
  </borders>
  <cellStyleXfs count="1">
    <xf numFmtId="0" fontId="0" fillId="0" borderId="0"/>
  </cellStyleXfs>
  <cellXfs count="17">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horizontal="center" wrapText="1"/>
    </xf>
    <xf numFmtId="0" fontId="2" fillId="0" borderId="0" pivotButton="0" quotePrefix="0" xfId="0"/>
    <xf numFmtId="3" fontId="2" fillId="0" borderId="0" pivotButton="0" quotePrefix="0" xfId="0"/>
    <xf numFmtId="0" fontId="5" fillId="0" borderId="0" pivotButton="0" quotePrefix="0" xfId="0"/>
    <xf numFmtId="1" fontId="2" fillId="0" borderId="0" pivotButton="0" quotePrefix="0" xfId="0"/>
    <xf numFmtId="49" fontId="2" fillId="0" borderId="0" pivotButton="0" quotePrefix="0" xfId="0"/>
    <xf numFmtId="49" fontId="2" fillId="3" borderId="0" pivotButton="0" quotePrefix="0" xfId="0"/>
    <xf numFmtId="9" fontId="2" fillId="0" borderId="0" pivotButton="0" quotePrefix="0" xfId="0"/>
    <xf numFmtId="49" fontId="2" fillId="4" borderId="0" pivotButton="0" quotePrefix="0" xfId="0"/>
    <xf numFmtId="0" fontId="6" fillId="0" borderId="0" pivotButton="0" quotePrefix="0" xfId="0"/>
    <xf numFmtId="0" fontId="2" fillId="4" borderId="0" pivotButton="0" quotePrefix="0" xfId="0"/>
    <xf numFmtId="165" fontId="2" fillId="0" borderId="0" pivotButton="0" quotePrefix="0" xfId="0"/>
    <xf numFmtId="0" fontId="2" fillId="3"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Animals harvested statewide</a:t>
            </a:r>
          </a:p>
        </rich>
      </tx>
    </title>
    <plotArea>
      <lineChart>
        <grouping val="standard"/>
        <ser>
          <idx val="0"/>
          <order val="0"/>
          <tx>
            <strRef>
              <f>'Summary'!B4</f>
            </strRef>
          </tx>
          <spPr>
            <a:ln w="28000">
              <a:solidFill>
                <a:srgbClr val="A0522D"/>
              </a:solidFill>
              <a:prstDash val="solid"/>
            </a:ln>
          </spPr>
          <marker>
            <symbol val="none"/>
            <spPr>
              <a:ln>
                <a:prstDash val="solid"/>
              </a:ln>
            </spPr>
          </marker>
          <cat>
            <numRef>
              <f>'Summary'!$A$5:$A$9</f>
            </numRef>
          </cat>
          <val>
            <numRef>
              <f>'Summary'!$B$5:$B$9</f>
            </numRef>
          </val>
          <smooth val="0"/>
        </ser>
        <ser>
          <idx val="1"/>
          <order val="1"/>
          <tx>
            <strRef>
              <f>'Summary'!C4</f>
            </strRef>
          </tx>
          <spPr>
            <a:ln w="28000">
              <a:solidFill>
                <a:srgbClr val="2F5D3A"/>
              </a:solidFill>
              <a:prstDash val="solid"/>
            </a:ln>
          </spPr>
          <marker>
            <symbol val="none"/>
            <spPr>
              <a:ln>
                <a:prstDash val="solid"/>
              </a:ln>
            </spPr>
          </marker>
          <cat>
            <numRef>
              <f>'Summary'!$A$5:$A$9</f>
            </numRef>
          </cat>
          <val>
            <numRef>
              <f>'Summary'!$C$5:$C$9</f>
            </numRef>
          </val>
          <smooth val="0"/>
        </ser>
        <ser>
          <idx val="2"/>
          <order val="2"/>
          <tx>
            <strRef>
              <f>'Summary'!D4</f>
            </strRef>
          </tx>
          <spPr>
            <a:ln w="28000">
              <a:solidFill>
                <a:srgbClr val="6B4E9B"/>
              </a:solidFill>
              <a:prstDash val="solid"/>
            </a:ln>
          </spPr>
          <marker>
            <symbol val="none"/>
            <spPr>
              <a:ln>
                <a:prstDash val="solid"/>
              </a:ln>
            </spPr>
          </marker>
          <cat>
            <numRef>
              <f>'Summary'!$A$5:$A$9</f>
            </numRef>
          </cat>
          <val>
            <numRef>
              <f>'Summary'!$D$5:$D$9</f>
            </numRef>
          </val>
          <smooth val="0"/>
        </ser>
        <ser>
          <idx val="3"/>
          <order val="3"/>
          <tx>
            <strRef>
              <f>'Summary'!E4</f>
            </strRef>
          </tx>
          <spPr>
            <a:ln w="28000">
              <a:solidFill>
                <a:srgbClr val="C08A1E"/>
              </a:solidFill>
              <a:prstDash val="solid"/>
            </a:ln>
          </spPr>
          <marker>
            <symbol val="none"/>
            <spPr>
              <a:ln>
                <a:prstDash val="solid"/>
              </a:ln>
            </spPr>
          </marker>
          <cat>
            <numRef>
              <f>'Summary'!$A$5:$A$9</f>
            </numRef>
          </cat>
          <val>
            <numRef>
              <f>'Summary'!$E$5:$E$9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Animals</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Mule Deer: top 10 by harvest per hunter</a:t>
            </a:r>
          </a:p>
        </rich>
      </tx>
    </title>
    <plotArea>
      <barChart>
        <barDir val="bar"/>
        <grouping val="clustered"/>
        <ser>
          <idx val="0"/>
          <order val="0"/>
          <tx>
            <strRef>
              <f>'Top Districts'!G5</f>
            </strRef>
          </tx>
          <spPr>
            <a:solidFill>
              <a:srgbClr val="A0522D"/>
            </a:solidFill>
            <a:ln>
              <a:prstDash val="solid"/>
            </a:ln>
          </spPr>
          <cat>
            <numRef>
              <f>'Top Districts'!$B$6:$B$15</f>
            </numRef>
          </cat>
          <val>
            <numRef>
              <f>'Top Districts'!$G$6:$G$15</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Whitetail: top 10 by harvest per hunter</a:t>
            </a:r>
          </a:p>
        </rich>
      </tx>
    </title>
    <plotArea>
      <barChart>
        <barDir val="bar"/>
        <grouping val="clustered"/>
        <ser>
          <idx val="0"/>
          <order val="0"/>
          <tx>
            <strRef>
              <f>'Top Districts'!O5</f>
            </strRef>
          </tx>
          <spPr>
            <a:solidFill>
              <a:srgbClr val="2F5D3A"/>
            </a:solidFill>
            <a:ln>
              <a:prstDash val="solid"/>
            </a:ln>
          </spPr>
          <cat>
            <numRef>
              <f>'Top Districts'!$J$6:$J$15</f>
            </numRef>
          </cat>
          <val>
            <numRef>
              <f>'Top Districts'!$O$6:$O$15</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Elk: top 10 by harvest per hunter</a:t>
            </a:r>
          </a:p>
        </rich>
      </tx>
    </title>
    <plotArea>
      <barChart>
        <barDir val="bar"/>
        <grouping val="clustered"/>
        <ser>
          <idx val="0"/>
          <order val="0"/>
          <tx>
            <strRef>
              <f>'Top Districts'!W5</f>
            </strRef>
          </tx>
          <spPr>
            <a:solidFill>
              <a:srgbClr val="6B4E9B"/>
            </a:solidFill>
            <a:ln>
              <a:prstDash val="solid"/>
            </a:ln>
          </spPr>
          <cat>
            <numRef>
              <f>'Top Districts'!$R$6:$R$15</f>
            </numRef>
          </cat>
          <val>
            <numRef>
              <f>'Top Districts'!$W$6:$W$15</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Antelope: top 10 by harvest per hunter</a:t>
            </a:r>
          </a:p>
        </rich>
      </tx>
    </title>
    <plotArea>
      <barChart>
        <barDir val="bar"/>
        <grouping val="clustered"/>
        <ser>
          <idx val="0"/>
          <order val="0"/>
          <tx>
            <strRef>
              <f>'Top Districts'!AE5</f>
            </strRef>
          </tx>
          <spPr>
            <a:solidFill>
              <a:srgbClr val="C08A1E"/>
            </a:solidFill>
            <a:ln>
              <a:prstDash val="solid"/>
            </a:ln>
          </spPr>
          <cat>
            <numRef>
              <f>'Top Districts'!$Z$6:$Z$15</f>
            </numRef>
          </cat>
          <val>
            <numRef>
              <f>'Top Districts'!$AE$6:$AE$15</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32</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32</row>
      <rowOff>0</rowOff>
    </from>
    <ext cx="4320000" cy="2880000"/>
    <graphicFrame>
      <nvGraphicFramePr>
        <cNvPr id="2" name="Chart 2"/>
        <cNvGraphicFramePr/>
      </nvGraphicFramePr>
      <xfrm/>
      <a:graphic>
        <a:graphicData uri="http://schemas.openxmlformats.org/drawingml/2006/chart">
          <c:chart r:id="rId2"/>
        </a:graphicData>
      </a:graphic>
    </graphicFrame>
    <clientData/>
  </oneCellAnchor>
  <oneCellAnchor>
    <from>
      <col>16</col>
      <colOff>0</colOff>
      <row>32</row>
      <rowOff>0</rowOff>
    </from>
    <ext cx="4320000" cy="2880000"/>
    <graphicFrame>
      <nvGraphicFramePr>
        <cNvPr id="3" name="Chart 3"/>
        <cNvGraphicFramePr/>
      </nvGraphicFramePr>
      <xfrm/>
      <a:graphic>
        <a:graphicData uri="http://schemas.openxmlformats.org/drawingml/2006/chart">
          <c:chart r:id="rId3"/>
        </a:graphicData>
      </a:graphic>
    </graphicFrame>
    <clientData/>
  </oneCellAnchor>
  <oneCellAnchor>
    <from>
      <col>24</col>
      <colOff>0</colOff>
      <row>32</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ables/table1.xml><?xml version="1.0" encoding="utf-8"?>
<table xmlns="http://schemas.openxmlformats.org/spreadsheetml/2006/main" id="1" name="Regulations" displayName="Regulations" ref="A4:L1368" headerRowCount="1">
  <autoFilter ref="A4:L1368"/>
  <tableColumns count="12">
    <tableColumn id="1" name="District"/>
    <tableColumn id="2" name="Species"/>
    <tableColumn id="3" name="License"/>
    <tableColumn id="4" name="How you get it"/>
    <tableColumn id="5" name="Legal animal"/>
    <tableColumn id="6" name="Archery"/>
    <tableColumn id="7" name="General (rifle)"/>
    <tableColumn id="8" name="Muzzleloader"/>
    <tableColumn id="9" name="Late"/>
    <tableColumn id="10" name="Apply by"/>
    <tableColumn id="11" name="Quota"/>
    <tableColumn id="12" name="Details"/>
  </tableColumns>
  <tableStyleInfo name="TableStyleLight9" showRowStripes="1"/>
</table>
</file>

<file path=xl/tables/table2.xml><?xml version="1.0" encoding="utf-8"?>
<table xmlns="http://schemas.openxmlformats.org/spreadsheetml/2006/main" id="2" name="Harvest" displayName="Harvest" ref="A1:L2433" headerRowCount="1">
  <autoFilter ref="A1:L2433"/>
  <tableColumns count="12">
    <tableColumn id="1" name="District"/>
    <tableColumn id="2" name="Region"/>
    <tableColumn id="3" name="Species"/>
    <tableColumn id="4" name="Year"/>
    <tableColumn id="5" name="License"/>
    <tableColumn id="6" name="Hunters"/>
    <tableColumn id="7" name="Hunter days"/>
    <tableColumn id="8" name="Harvest"/>
    <tableColumn id="9" name="Bucks/Bulls"/>
    <tableColumn id="10" name="Does/Cows"/>
    <tableColumn id="11" name="Per hunter"/>
    <tableColumn id="12" name="Days per animal"/>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0" customWidth="1" min="1" max="1"/>
    <col width="13" customWidth="1" min="2" max="2"/>
    <col width="13" customWidth="1" min="3" max="3"/>
    <col width="13" customWidth="1" min="4" max="4"/>
    <col width="13" customWidth="1" min="5" max="5"/>
  </cols>
  <sheetData>
    <row r="1">
      <c r="A1" s="1" t="inlineStr">
        <is>
          <t>Montana big game harvest, statewide</t>
        </is>
      </c>
    </row>
    <row r="2">
      <c r="A2" s="2" t="inlineStr">
        <is>
          <t>Totals are formulas over the Data sheet, so they update if you edit it.</t>
        </is>
      </c>
    </row>
    <row r="4">
      <c r="A4" s="3" t="inlineStr">
        <is>
          <t>Year</t>
        </is>
      </c>
      <c r="B4" s="3" t="inlineStr">
        <is>
          <t>Mule Deer</t>
        </is>
      </c>
      <c r="C4" s="3" t="inlineStr">
        <is>
          <t>Whitetail</t>
        </is>
      </c>
      <c r="D4" s="3" t="inlineStr">
        <is>
          <t>Elk</t>
        </is>
      </c>
      <c r="E4" s="3" t="inlineStr">
        <is>
          <t>Antelope</t>
        </is>
      </c>
    </row>
    <row r="5">
      <c r="A5" s="4" t="n">
        <v>2021</v>
      </c>
      <c r="B5" s="5">
        <f>SUMIFS(Data!$H$2:$H$2433,Data!$C$2:$C$2433,"mule deer",Data!$D$2:$D$2433,$A5)</f>
        <v/>
      </c>
      <c r="C5" s="5">
        <f>SUMIFS(Data!$H$2:$H$2433,Data!$C$2:$C$2433,"whitetail",Data!$D$2:$D$2433,$A5)</f>
        <v/>
      </c>
      <c r="D5" s="5">
        <f>SUMIFS(Data!$H$2:$H$2433,Data!$C$2:$C$2433,"elk",Data!$D$2:$D$2433,$A5)</f>
        <v/>
      </c>
      <c r="E5" s="5">
        <f>SUMIFS(Data!$H$2:$H$2433,Data!$C$2:$C$2433,"antelope",Data!$D$2:$D$2433,$A5)</f>
        <v/>
      </c>
    </row>
    <row r="6">
      <c r="A6" s="4" t="n">
        <v>2022</v>
      </c>
      <c r="B6" s="5">
        <f>SUMIFS(Data!$H$2:$H$2433,Data!$C$2:$C$2433,"mule deer",Data!$D$2:$D$2433,$A6)</f>
        <v/>
      </c>
      <c r="C6" s="5">
        <f>SUMIFS(Data!$H$2:$H$2433,Data!$C$2:$C$2433,"whitetail",Data!$D$2:$D$2433,$A6)</f>
        <v/>
      </c>
      <c r="D6" s="5">
        <f>SUMIFS(Data!$H$2:$H$2433,Data!$C$2:$C$2433,"elk",Data!$D$2:$D$2433,$A6)</f>
        <v/>
      </c>
      <c r="E6" s="5">
        <f>SUMIFS(Data!$H$2:$H$2433,Data!$C$2:$C$2433,"antelope",Data!$D$2:$D$2433,$A6)</f>
        <v/>
      </c>
    </row>
    <row r="7">
      <c r="A7" s="4" t="n">
        <v>2023</v>
      </c>
      <c r="B7" s="5">
        <f>SUMIFS(Data!$H$2:$H$2433,Data!$C$2:$C$2433,"mule deer",Data!$D$2:$D$2433,$A7)</f>
        <v/>
      </c>
      <c r="C7" s="5">
        <f>SUMIFS(Data!$H$2:$H$2433,Data!$C$2:$C$2433,"whitetail",Data!$D$2:$D$2433,$A7)</f>
        <v/>
      </c>
      <c r="D7" s="5">
        <f>SUMIFS(Data!$H$2:$H$2433,Data!$C$2:$C$2433,"elk",Data!$D$2:$D$2433,$A7)</f>
        <v/>
      </c>
      <c r="E7" s="5">
        <f>SUMIFS(Data!$H$2:$H$2433,Data!$C$2:$C$2433,"antelope",Data!$D$2:$D$2433,$A7)</f>
        <v/>
      </c>
    </row>
    <row r="8">
      <c r="A8" s="4" t="n">
        <v>2024</v>
      </c>
      <c r="B8" s="5">
        <f>SUMIFS(Data!$H$2:$H$2433,Data!$C$2:$C$2433,"mule deer",Data!$D$2:$D$2433,$A8)</f>
        <v/>
      </c>
      <c r="C8" s="5">
        <f>SUMIFS(Data!$H$2:$H$2433,Data!$C$2:$C$2433,"whitetail",Data!$D$2:$D$2433,$A8)</f>
        <v/>
      </c>
      <c r="D8" s="5">
        <f>SUMIFS(Data!$H$2:$H$2433,Data!$C$2:$C$2433,"elk",Data!$D$2:$D$2433,$A8)</f>
        <v/>
      </c>
      <c r="E8" s="5">
        <f>SUMIFS(Data!$H$2:$H$2433,Data!$C$2:$C$2433,"antelope",Data!$D$2:$D$2433,$A8)</f>
        <v/>
      </c>
    </row>
    <row r="9">
      <c r="A9" s="4" t="n">
        <v>2025</v>
      </c>
      <c r="B9" s="5">
        <f>SUMIFS(Data!$H$2:$H$2433,Data!$C$2:$C$2433,"mule deer",Data!$D$2:$D$2433,$A9)</f>
        <v/>
      </c>
      <c r="C9" s="5">
        <f>SUMIFS(Data!$H$2:$H$2433,Data!$C$2:$C$2433,"whitetail",Data!$D$2:$D$2433,$A9)</f>
        <v/>
      </c>
      <c r="D9" s="5">
        <f>SUMIFS(Data!$H$2:$H$2433,Data!$C$2:$C$2433,"elk",Data!$D$2:$D$2433,$A9)</f>
        <v/>
      </c>
      <c r="E9" s="5">
        <f>SUMIFS(Data!$H$2:$H$2433,Data!$C$2:$C$2433,"antelope",Data!$D$2:$D$2433,$A9)</f>
        <v/>
      </c>
    </row>
    <row r="11">
      <c r="A11" s="2" t="inlineStr">
        <is>
          <t>Source: Montana FWP harvest estimates (myfwp.mt.gov).</t>
        </is>
      </c>
    </row>
    <row r="12">
      <c r="A12" s="2" t="inlineStr">
        <is>
          <t>Hunter numbers are surveyed every other year: deer in odd years, elk and antelope in even years.</t>
        </is>
      </c>
    </row>
    <row r="13">
      <c r="A13" s="2" t="inlineStr">
        <is>
          <t>General = buck/bull on a general license. Draw = buck/bull needs a permit or license from a drawing (lottery).</t>
        </is>
      </c>
    </row>
    <row r="14">
      <c r="A14" s="2" t="inlineStr">
        <is>
          <t>Antelope districts use their own numbering. Antelope licenses are all by drawing.</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0"/>
  <sheetViews>
    <sheetView workbookViewId="0">
      <pane ySplit="5" topLeftCell="A6" activePane="bottomLeft" state="frozen"/>
      <selection pane="bottomLeft" activeCell="A1" sqref="A1"/>
    </sheetView>
  </sheetViews>
  <sheetFormatPr baseColWidth="8" defaultRowHeight="15"/>
  <cols>
    <col width="5" customWidth="1" min="1" max="1"/>
    <col width="9" customWidth="1" min="2" max="2"/>
    <col width="9" customWidth="1" min="3" max="3"/>
    <col width="9" customWidth="1" min="4" max="4"/>
    <col width="9" customWidth="1" min="5" max="5"/>
    <col width="9" customWidth="1" min="6" max="6"/>
    <col width="10" customWidth="1" min="7" max="7"/>
    <col width="5" customWidth="1" min="9" max="9"/>
    <col width="9" customWidth="1" min="10" max="10"/>
    <col width="9" customWidth="1" min="11" max="11"/>
    <col width="9" customWidth="1" min="12" max="12"/>
    <col width="9" customWidth="1" min="13" max="13"/>
    <col width="9" customWidth="1" min="14" max="14"/>
    <col width="10" customWidth="1" min="15" max="15"/>
    <col width="5" customWidth="1" min="17" max="17"/>
    <col width="9" customWidth="1" min="18" max="18"/>
    <col width="9" customWidth="1" min="19" max="19"/>
    <col width="9" customWidth="1" min="20" max="20"/>
    <col width="9" customWidth="1" min="21" max="21"/>
    <col width="9" customWidth="1" min="22" max="22"/>
    <col width="10" customWidth="1" min="23" max="23"/>
    <col width="5" customWidth="1" min="25" max="25"/>
    <col width="9" customWidth="1" min="26" max="26"/>
    <col width="9" customWidth="1" min="27" max="27"/>
    <col width="9" customWidth="1" min="28" max="28"/>
    <col width="9" customWidth="1" min="29" max="29"/>
    <col width="9" customWidth="1" min="30" max="30"/>
    <col width="10" customWidth="1" min="31" max="31"/>
  </cols>
  <sheetData>
    <row r="1">
      <c r="A1" s="1" t="inlineStr">
        <is>
          <t>Best-odds districts by species</t>
        </is>
      </c>
    </row>
    <row r="2">
      <c r="A2" s="2" t="inlineStr">
        <is>
          <t>Ranked by harvest per hunter, districts with 100+ hunters, using each species' latest surveyed year. Draw districts usually rank high because hunter numbers are capped.</t>
        </is>
      </c>
    </row>
    <row r="4">
      <c r="A4" s="6" t="inlineStr">
        <is>
          <t>Mule Deer, 2025</t>
        </is>
      </c>
      <c r="I4" s="6" t="inlineStr">
        <is>
          <t>Whitetail, 2025</t>
        </is>
      </c>
      <c r="Q4" s="6" t="inlineStr">
        <is>
          <t>Elk, 2024</t>
        </is>
      </c>
      <c r="Y4" s="6" t="inlineStr">
        <is>
          <t>Antelope, 2024</t>
        </is>
      </c>
    </row>
    <row r="5">
      <c r="A5" s="3" t="inlineStr">
        <is>
          <t>#</t>
        </is>
      </c>
      <c r="B5" s="3" t="inlineStr">
        <is>
          <t>District</t>
        </is>
      </c>
      <c r="C5" s="3" t="inlineStr">
        <is>
          <t>License</t>
        </is>
      </c>
      <c r="D5" s="3" t="inlineStr">
        <is>
          <t>Hunters</t>
        </is>
      </c>
      <c r="E5" s="3" t="inlineStr">
        <is>
          <t>Harvest</t>
        </is>
      </c>
      <c r="F5" s="3" t="inlineStr">
        <is>
          <t>Bucks</t>
        </is>
      </c>
      <c r="G5" s="3" t="inlineStr">
        <is>
          <t>Per hunter</t>
        </is>
      </c>
      <c r="I5" s="3" t="inlineStr">
        <is>
          <t>#</t>
        </is>
      </c>
      <c r="J5" s="3" t="inlineStr">
        <is>
          <t>District</t>
        </is>
      </c>
      <c r="K5" s="3" t="inlineStr">
        <is>
          <t>License</t>
        </is>
      </c>
      <c r="L5" s="3" t="inlineStr">
        <is>
          <t>Hunters</t>
        </is>
      </c>
      <c r="M5" s="3" t="inlineStr">
        <is>
          <t>Harvest</t>
        </is>
      </c>
      <c r="N5" s="3" t="inlineStr">
        <is>
          <t>Bucks</t>
        </is>
      </c>
      <c r="O5" s="3" t="inlineStr">
        <is>
          <t>Per hunter</t>
        </is>
      </c>
      <c r="Q5" s="3" t="inlineStr">
        <is>
          <t>#</t>
        </is>
      </c>
      <c r="R5" s="3" t="inlineStr">
        <is>
          <t>District</t>
        </is>
      </c>
      <c r="S5" s="3" t="inlineStr">
        <is>
          <t>License</t>
        </is>
      </c>
      <c r="T5" s="3" t="inlineStr">
        <is>
          <t>Hunters</t>
        </is>
      </c>
      <c r="U5" s="3" t="inlineStr">
        <is>
          <t>Harvest</t>
        </is>
      </c>
      <c r="V5" s="3" t="inlineStr">
        <is>
          <t>Bulls</t>
        </is>
      </c>
      <c r="W5" s="3" t="inlineStr">
        <is>
          <t>Per hunter</t>
        </is>
      </c>
      <c r="Y5" s="3" t="inlineStr">
        <is>
          <t>#</t>
        </is>
      </c>
      <c r="Z5" s="3" t="inlineStr">
        <is>
          <t>District</t>
        </is>
      </c>
      <c r="AA5" s="3" t="inlineStr">
        <is>
          <t>License</t>
        </is>
      </c>
      <c r="AB5" s="3" t="inlineStr">
        <is>
          <t>Hunters</t>
        </is>
      </c>
      <c r="AC5" s="3" t="inlineStr">
        <is>
          <t>Harvest</t>
        </is>
      </c>
      <c r="AD5" s="3" t="inlineStr">
        <is>
          <t>Bucks</t>
        </is>
      </c>
      <c r="AE5" s="3" t="inlineStr">
        <is>
          <t>Per hunter</t>
        </is>
      </c>
    </row>
    <row r="6">
      <c r="A6" s="7" t="n">
        <v>1</v>
      </c>
      <c r="B6" s="8" t="inlineStr">
        <is>
          <t>392</t>
        </is>
      </c>
      <c r="C6" s="9" t="inlineStr">
        <is>
          <t>Draw</t>
        </is>
      </c>
      <c r="D6" s="5" t="n">
        <v>691</v>
      </c>
      <c r="E6" s="5" t="n">
        <v>327</v>
      </c>
      <c r="F6" s="5" t="n">
        <v>290</v>
      </c>
      <c r="G6" s="10">
        <f>E6/D6</f>
        <v/>
      </c>
      <c r="I6" s="7" t="n">
        <v>1</v>
      </c>
      <c r="J6" s="8" t="inlineStr">
        <is>
          <t>170</t>
        </is>
      </c>
      <c r="K6" s="11" t="inlineStr">
        <is>
          <t>General</t>
        </is>
      </c>
      <c r="L6" s="5" t="n">
        <v>2713</v>
      </c>
      <c r="M6" s="5" t="n">
        <v>1750</v>
      </c>
      <c r="N6" s="5" t="n">
        <v>808</v>
      </c>
      <c r="O6" s="10">
        <f>M6/L6</f>
        <v/>
      </c>
      <c r="Q6" s="7" t="n">
        <v>1</v>
      </c>
      <c r="R6" s="8" t="inlineStr">
        <is>
          <t>455</t>
        </is>
      </c>
      <c r="S6" s="9" t="inlineStr">
        <is>
          <t>Draw</t>
        </is>
      </c>
      <c r="T6" s="5" t="n">
        <v>317</v>
      </c>
      <c r="U6" s="5" t="n">
        <v>148</v>
      </c>
      <c r="V6" s="5" t="n">
        <v>48</v>
      </c>
      <c r="W6" s="10">
        <f>U6/T6</f>
        <v/>
      </c>
      <c r="Y6" s="7" t="n">
        <v>1</v>
      </c>
      <c r="Z6" s="8" t="inlineStr">
        <is>
          <t>705</t>
        </is>
      </c>
      <c r="AA6" s="9" t="inlineStr">
        <is>
          <t>Draw</t>
        </is>
      </c>
      <c r="AB6" s="5" t="n">
        <v>1714</v>
      </c>
      <c r="AC6" s="5" t="n">
        <v>1594</v>
      </c>
      <c r="AD6" s="5" t="n">
        <v>1044</v>
      </c>
      <c r="AE6" s="10">
        <f>AC6/AB6</f>
        <v/>
      </c>
    </row>
    <row r="7">
      <c r="A7" s="7" t="n">
        <v>2</v>
      </c>
      <c r="B7" s="8" t="inlineStr">
        <is>
          <t>405</t>
        </is>
      </c>
      <c r="C7" s="11" t="inlineStr">
        <is>
          <t>General</t>
        </is>
      </c>
      <c r="D7" s="5" t="n">
        <v>1279</v>
      </c>
      <c r="E7" s="5" t="n">
        <v>588</v>
      </c>
      <c r="F7" s="5" t="n">
        <v>380</v>
      </c>
      <c r="G7" s="10">
        <f>E7/D7</f>
        <v/>
      </c>
      <c r="I7" s="7" t="n">
        <v>2</v>
      </c>
      <c r="J7" s="8" t="inlineStr">
        <is>
          <t>444</t>
        </is>
      </c>
      <c r="K7" s="11" t="inlineStr">
        <is>
          <t>General</t>
        </is>
      </c>
      <c r="L7" s="5" t="n">
        <v>840</v>
      </c>
      <c r="M7" s="5" t="n">
        <v>491</v>
      </c>
      <c r="N7" s="5" t="n">
        <v>265</v>
      </c>
      <c r="O7" s="10">
        <f>M7/L7</f>
        <v/>
      </c>
      <c r="Q7" s="7" t="n">
        <v>2</v>
      </c>
      <c r="R7" s="8" t="inlineStr">
        <is>
          <t>417</t>
        </is>
      </c>
      <c r="S7" s="9" t="inlineStr">
        <is>
          <t>Draw</t>
        </is>
      </c>
      <c r="T7" s="5" t="n">
        <v>662</v>
      </c>
      <c r="U7" s="5" t="n">
        <v>292</v>
      </c>
      <c r="V7" s="5" t="n">
        <v>185</v>
      </c>
      <c r="W7" s="10">
        <f>U7/T7</f>
        <v/>
      </c>
      <c r="Y7" s="7" t="n">
        <v>2</v>
      </c>
      <c r="Z7" s="8" t="inlineStr">
        <is>
          <t>440</t>
        </is>
      </c>
      <c r="AA7" s="9" t="inlineStr">
        <is>
          <t>Draw</t>
        </is>
      </c>
      <c r="AB7" s="5" t="n">
        <v>176</v>
      </c>
      <c r="AC7" s="5" t="n">
        <v>143</v>
      </c>
      <c r="AD7" s="5" t="n">
        <v>71</v>
      </c>
      <c r="AE7" s="10">
        <f>AC7/AB7</f>
        <v/>
      </c>
    </row>
    <row r="8">
      <c r="A8" s="7" t="n">
        <v>3</v>
      </c>
      <c r="B8" s="8" t="inlineStr">
        <is>
          <t>471</t>
        </is>
      </c>
      <c r="C8" s="11" t="inlineStr">
        <is>
          <t>General</t>
        </is>
      </c>
      <c r="D8" s="5" t="n">
        <v>640</v>
      </c>
      <c r="E8" s="5" t="n">
        <v>284</v>
      </c>
      <c r="F8" s="5" t="n">
        <v>266</v>
      </c>
      <c r="G8" s="10">
        <f>E8/D8</f>
        <v/>
      </c>
      <c r="I8" s="7" t="n">
        <v>3</v>
      </c>
      <c r="J8" s="8" t="inlineStr">
        <is>
          <t>260</t>
        </is>
      </c>
      <c r="K8" s="11" t="inlineStr">
        <is>
          <t>General</t>
        </is>
      </c>
      <c r="L8" s="5" t="n">
        <v>1130</v>
      </c>
      <c r="M8" s="5" t="n">
        <v>633</v>
      </c>
      <c r="N8" s="5" t="n">
        <v>215</v>
      </c>
      <c r="O8" s="10">
        <f>M8/L8</f>
        <v/>
      </c>
      <c r="Q8" s="7" t="n">
        <v>3</v>
      </c>
      <c r="R8" s="8" t="inlineStr">
        <is>
          <t>580S</t>
        </is>
      </c>
      <c r="S8" s="11" t="inlineStr">
        <is>
          <t>General</t>
        </is>
      </c>
      <c r="T8" s="5" t="n">
        <v>477</v>
      </c>
      <c r="U8" s="5" t="n">
        <v>198</v>
      </c>
      <c r="V8" s="5" t="n">
        <v>80</v>
      </c>
      <c r="W8" s="10">
        <f>U8/T8</f>
        <v/>
      </c>
      <c r="Y8" s="7" t="n">
        <v>3</v>
      </c>
      <c r="Z8" s="8" t="inlineStr">
        <is>
          <t>340</t>
        </is>
      </c>
      <c r="AA8" s="9" t="inlineStr">
        <is>
          <t>Draw</t>
        </is>
      </c>
      <c r="AB8" s="5" t="n">
        <v>417</v>
      </c>
      <c r="AC8" s="5" t="n">
        <v>335</v>
      </c>
      <c r="AD8" s="5" t="n">
        <v>174</v>
      </c>
      <c r="AE8" s="10">
        <f>AC8/AB8</f>
        <v/>
      </c>
    </row>
    <row r="9">
      <c r="A9" s="7" t="n">
        <v>4</v>
      </c>
      <c r="B9" s="8" t="inlineStr">
        <is>
          <t>640</t>
        </is>
      </c>
      <c r="C9" s="11" t="inlineStr">
        <is>
          <t>General</t>
        </is>
      </c>
      <c r="D9" s="5" t="n">
        <v>2776</v>
      </c>
      <c r="E9" s="5" t="n">
        <v>1225</v>
      </c>
      <c r="F9" s="5" t="n">
        <v>993</v>
      </c>
      <c r="G9" s="10">
        <f>E9/D9</f>
        <v/>
      </c>
      <c r="I9" s="7" t="n">
        <v>4</v>
      </c>
      <c r="J9" s="8" t="inlineStr">
        <is>
          <t>445</t>
        </is>
      </c>
      <c r="K9" s="11" t="inlineStr">
        <is>
          <t>General</t>
        </is>
      </c>
      <c r="L9" s="5" t="n">
        <v>1281</v>
      </c>
      <c r="M9" s="5" t="n">
        <v>658</v>
      </c>
      <c r="N9" s="5" t="n">
        <v>296</v>
      </c>
      <c r="O9" s="10">
        <f>M9/L9</f>
        <v/>
      </c>
      <c r="Q9" s="7" t="n">
        <v>4</v>
      </c>
      <c r="R9" s="8" t="inlineStr">
        <is>
          <t>445</t>
        </is>
      </c>
      <c r="S9" s="11" t="inlineStr">
        <is>
          <t>General</t>
        </is>
      </c>
      <c r="T9" s="5" t="n">
        <v>847</v>
      </c>
      <c r="U9" s="5" t="n">
        <v>350</v>
      </c>
      <c r="V9" s="5" t="n">
        <v>147</v>
      </c>
      <c r="W9" s="10">
        <f>U9/T9</f>
        <v/>
      </c>
      <c r="Y9" s="7" t="n">
        <v>4</v>
      </c>
      <c r="Z9" s="8" t="inlineStr">
        <is>
          <t>586</t>
        </is>
      </c>
      <c r="AA9" s="9" t="inlineStr">
        <is>
          <t>Draw</t>
        </is>
      </c>
      <c r="AB9" s="5" t="n">
        <v>392</v>
      </c>
      <c r="AC9" s="5" t="n">
        <v>306</v>
      </c>
      <c r="AD9" s="5" t="n">
        <v>203</v>
      </c>
      <c r="AE9" s="10">
        <f>AC9/AB9</f>
        <v/>
      </c>
    </row>
    <row r="10">
      <c r="A10" s="7" t="n">
        <v>5</v>
      </c>
      <c r="B10" s="8" t="inlineStr">
        <is>
          <t>403</t>
        </is>
      </c>
      <c r="C10" s="11" t="inlineStr">
        <is>
          <t>General</t>
        </is>
      </c>
      <c r="D10" s="5" t="n">
        <v>418</v>
      </c>
      <c r="E10" s="5" t="n">
        <v>183</v>
      </c>
      <c r="F10" s="5" t="n">
        <v>137</v>
      </c>
      <c r="G10" s="10">
        <f>E10/D10</f>
        <v/>
      </c>
      <c r="I10" s="7" t="n">
        <v>5</v>
      </c>
      <c r="J10" s="8" t="inlineStr">
        <is>
          <t>309</t>
        </is>
      </c>
      <c r="K10" s="11" t="inlineStr">
        <is>
          <t>General</t>
        </is>
      </c>
      <c r="L10" s="5" t="n">
        <v>802</v>
      </c>
      <c r="M10" s="5" t="n">
        <v>346</v>
      </c>
      <c r="N10" s="5" t="n">
        <v>174</v>
      </c>
      <c r="O10" s="10">
        <f>M10/L10</f>
        <v/>
      </c>
      <c r="Q10" s="7" t="n">
        <v>5</v>
      </c>
      <c r="R10" s="8" t="inlineStr">
        <is>
          <t>411W</t>
        </is>
      </c>
      <c r="S10" s="11" t="inlineStr">
        <is>
          <t>General</t>
        </is>
      </c>
      <c r="T10" s="5" t="n">
        <v>902</v>
      </c>
      <c r="U10" s="5" t="n">
        <v>355</v>
      </c>
      <c r="V10" s="5" t="n">
        <v>156</v>
      </c>
      <c r="W10" s="10">
        <f>U10/T10</f>
        <v/>
      </c>
      <c r="Y10" s="7" t="n">
        <v>5</v>
      </c>
      <c r="Z10" s="8" t="inlineStr">
        <is>
          <t>650</t>
        </is>
      </c>
      <c r="AA10" s="9" t="inlineStr">
        <is>
          <t>Draw</t>
        </is>
      </c>
      <c r="AB10" s="5" t="n">
        <v>459</v>
      </c>
      <c r="AC10" s="5" t="n">
        <v>344</v>
      </c>
      <c r="AD10" s="5" t="n">
        <v>264</v>
      </c>
      <c r="AE10" s="10">
        <f>AC10/AB10</f>
        <v/>
      </c>
    </row>
    <row r="11">
      <c r="A11" s="7" t="n">
        <v>6</v>
      </c>
      <c r="B11" s="8" t="inlineStr">
        <is>
          <t>652</t>
        </is>
      </c>
      <c r="C11" s="9" t="inlineStr">
        <is>
          <t>Draw</t>
        </is>
      </c>
      <c r="D11" s="5" t="n">
        <v>123</v>
      </c>
      <c r="E11" s="5" t="n">
        <v>52</v>
      </c>
      <c r="F11" s="5" t="n">
        <v>48</v>
      </c>
      <c r="G11" s="10">
        <f>E11/D11</f>
        <v/>
      </c>
      <c r="I11" s="7" t="n">
        <v>6</v>
      </c>
      <c r="J11" s="8" t="inlineStr">
        <is>
          <t>262</t>
        </is>
      </c>
      <c r="K11" s="11" t="inlineStr">
        <is>
          <t>General</t>
        </is>
      </c>
      <c r="L11" s="5" t="n">
        <v>804</v>
      </c>
      <c r="M11" s="5" t="n">
        <v>327</v>
      </c>
      <c r="N11" s="5" t="n">
        <v>172</v>
      </c>
      <c r="O11" s="10">
        <f>M11/L11</f>
        <v/>
      </c>
      <c r="Q11" s="7" t="n">
        <v>6</v>
      </c>
      <c r="R11" s="8" t="inlineStr">
        <is>
          <t>250</t>
        </is>
      </c>
      <c r="S11" s="9" t="inlineStr">
        <is>
          <t>Draw</t>
        </is>
      </c>
      <c r="T11" s="5" t="n">
        <v>130</v>
      </c>
      <c r="U11" s="5" t="n">
        <v>51</v>
      </c>
      <c r="V11" s="5" t="n">
        <v>36</v>
      </c>
      <c r="W11" s="10">
        <f>U11/T11</f>
        <v/>
      </c>
      <c r="Y11" s="7" t="n">
        <v>6</v>
      </c>
      <c r="Z11" s="8" t="inlineStr">
        <is>
          <t>620</t>
        </is>
      </c>
      <c r="AA11" s="9" t="inlineStr">
        <is>
          <t>Draw</t>
        </is>
      </c>
      <c r="AB11" s="5" t="n">
        <v>434</v>
      </c>
      <c r="AC11" s="5" t="n">
        <v>310</v>
      </c>
      <c r="AD11" s="5" t="n">
        <v>264</v>
      </c>
      <c r="AE11" s="10">
        <f>AC11/AB11</f>
        <v/>
      </c>
    </row>
    <row r="12">
      <c r="A12" s="7" t="n">
        <v>7</v>
      </c>
      <c r="B12" s="8" t="inlineStr">
        <is>
          <t>650</t>
        </is>
      </c>
      <c r="C12" s="11" t="inlineStr">
        <is>
          <t>General</t>
        </is>
      </c>
      <c r="D12" s="5" t="n">
        <v>2010</v>
      </c>
      <c r="E12" s="5" t="n">
        <v>843</v>
      </c>
      <c r="F12" s="5" t="n">
        <v>796</v>
      </c>
      <c r="G12" s="10">
        <f>E12/D12</f>
        <v/>
      </c>
      <c r="I12" s="7" t="n">
        <v>7</v>
      </c>
      <c r="J12" s="8" t="inlineStr">
        <is>
          <t>311</t>
        </is>
      </c>
      <c r="K12" s="11" t="inlineStr">
        <is>
          <t>General</t>
        </is>
      </c>
      <c r="L12" s="5" t="n">
        <v>1633</v>
      </c>
      <c r="M12" s="5" t="n">
        <v>653</v>
      </c>
      <c r="N12" s="5" t="n">
        <v>298</v>
      </c>
      <c r="O12" s="10">
        <f>M12/L12</f>
        <v/>
      </c>
      <c r="Q12" s="7" t="n">
        <v>7</v>
      </c>
      <c r="R12" s="8" t="inlineStr">
        <is>
          <t>411E</t>
        </is>
      </c>
      <c r="S12" s="11" t="inlineStr">
        <is>
          <t>General</t>
        </is>
      </c>
      <c r="T12" s="5" t="n">
        <v>1381</v>
      </c>
      <c r="U12" s="5" t="n">
        <v>534</v>
      </c>
      <c r="V12" s="5" t="n">
        <v>220</v>
      </c>
      <c r="W12" s="10">
        <f>U12/T12</f>
        <v/>
      </c>
      <c r="Y12" s="7" t="n">
        <v>7</v>
      </c>
      <c r="Z12" s="8" t="inlineStr">
        <is>
          <t>690</t>
        </is>
      </c>
      <c r="AA12" s="9" t="inlineStr">
        <is>
          <t>Draw</t>
        </is>
      </c>
      <c r="AB12" s="5" t="n">
        <v>341</v>
      </c>
      <c r="AC12" s="5" t="n">
        <v>239</v>
      </c>
      <c r="AD12" s="5" t="n">
        <v>171</v>
      </c>
      <c r="AE12" s="10">
        <f>AC12/AB12</f>
        <v/>
      </c>
    </row>
    <row r="13">
      <c r="A13" s="7" t="n">
        <v>8</v>
      </c>
      <c r="B13" s="8" t="inlineStr">
        <is>
          <t>704</t>
        </is>
      </c>
      <c r="C13" s="11" t="inlineStr">
        <is>
          <t>General</t>
        </is>
      </c>
      <c r="D13" s="5" t="n">
        <v>4306</v>
      </c>
      <c r="E13" s="5" t="n">
        <v>1770</v>
      </c>
      <c r="F13" s="5" t="n">
        <v>1720</v>
      </c>
      <c r="G13" s="10">
        <f>E13/D13</f>
        <v/>
      </c>
      <c r="I13" s="7" t="n">
        <v>8</v>
      </c>
      <c r="J13" s="8" t="inlineStr">
        <is>
          <t>121</t>
        </is>
      </c>
      <c r="K13" s="11" t="inlineStr">
        <is>
          <t>General</t>
        </is>
      </c>
      <c r="L13" s="5" t="n">
        <v>2639</v>
      </c>
      <c r="M13" s="5" t="n">
        <v>979</v>
      </c>
      <c r="N13" s="5" t="n">
        <v>868</v>
      </c>
      <c r="O13" s="10">
        <f>M13/L13</f>
        <v/>
      </c>
      <c r="Q13" s="7" t="n">
        <v>8</v>
      </c>
      <c r="R13" s="8" t="inlineStr">
        <is>
          <t>700</t>
        </is>
      </c>
      <c r="S13" s="9" t="inlineStr">
        <is>
          <t>Draw</t>
        </is>
      </c>
      <c r="T13" s="5" t="n">
        <v>1757</v>
      </c>
      <c r="U13" s="5" t="n">
        <v>660</v>
      </c>
      <c r="V13" s="5" t="n">
        <v>294</v>
      </c>
      <c r="W13" s="10">
        <f>U13/T13</f>
        <v/>
      </c>
      <c r="Y13" s="7" t="n">
        <v>8</v>
      </c>
      <c r="Z13" s="8" t="inlineStr">
        <is>
          <t>670</t>
        </is>
      </c>
      <c r="AA13" s="9" t="inlineStr">
        <is>
          <t>Draw</t>
        </is>
      </c>
      <c r="AB13" s="5" t="n">
        <v>314</v>
      </c>
      <c r="AC13" s="5" t="n">
        <v>220</v>
      </c>
      <c r="AD13" s="5" t="n">
        <v>187</v>
      </c>
      <c r="AE13" s="10">
        <f>AC13/AB13</f>
        <v/>
      </c>
    </row>
    <row r="14">
      <c r="A14" s="7" t="n">
        <v>9</v>
      </c>
      <c r="B14" s="8" t="inlineStr">
        <is>
          <t>690</t>
        </is>
      </c>
      <c r="C14" s="11" t="inlineStr">
        <is>
          <t>General</t>
        </is>
      </c>
      <c r="D14" s="5" t="n">
        <v>2914</v>
      </c>
      <c r="E14" s="5" t="n">
        <v>1194</v>
      </c>
      <c r="F14" s="5" t="n">
        <v>1087</v>
      </c>
      <c r="G14" s="10">
        <f>E14/D14</f>
        <v/>
      </c>
      <c r="I14" s="7" t="n">
        <v>9</v>
      </c>
      <c r="J14" s="8" t="inlineStr">
        <is>
          <t>100</t>
        </is>
      </c>
      <c r="K14" s="11" t="inlineStr">
        <is>
          <t>General</t>
        </is>
      </c>
      <c r="L14" s="5" t="n">
        <v>2765</v>
      </c>
      <c r="M14" s="5" t="n">
        <v>1021</v>
      </c>
      <c r="N14" s="5" t="n">
        <v>750</v>
      </c>
      <c r="O14" s="10">
        <f>M14/L14</f>
        <v/>
      </c>
      <c r="Q14" s="7" t="n">
        <v>9</v>
      </c>
      <c r="R14" s="8" t="inlineStr">
        <is>
          <t>702</t>
        </is>
      </c>
      <c r="S14" s="11" t="inlineStr">
        <is>
          <t>General</t>
        </is>
      </c>
      <c r="T14" s="5" t="n">
        <v>771</v>
      </c>
      <c r="U14" s="5" t="n">
        <v>284</v>
      </c>
      <c r="V14" s="5" t="n">
        <v>102</v>
      </c>
      <c r="W14" s="10">
        <f>U14/T14</f>
        <v/>
      </c>
      <c r="Y14" s="7" t="n">
        <v>9</v>
      </c>
      <c r="Z14" s="8" t="inlineStr">
        <is>
          <t>430</t>
        </is>
      </c>
      <c r="AA14" s="9" t="inlineStr">
        <is>
          <t>Draw</t>
        </is>
      </c>
      <c r="AB14" s="5" t="n">
        <v>214</v>
      </c>
      <c r="AC14" s="5" t="n">
        <v>148</v>
      </c>
      <c r="AD14" s="5" t="n">
        <v>112</v>
      </c>
      <c r="AE14" s="10">
        <f>AC14/AB14</f>
        <v/>
      </c>
    </row>
    <row r="15">
      <c r="A15" s="7" t="n">
        <v>10</v>
      </c>
      <c r="B15" s="8" t="inlineStr">
        <is>
          <t>705</t>
        </is>
      </c>
      <c r="C15" s="11" t="inlineStr">
        <is>
          <t>General</t>
        </is>
      </c>
      <c r="D15" s="5" t="n">
        <v>3585</v>
      </c>
      <c r="E15" s="5" t="n">
        <v>1463</v>
      </c>
      <c r="F15" s="5" t="n">
        <v>1409</v>
      </c>
      <c r="G15" s="10">
        <f>E15/D15</f>
        <v/>
      </c>
      <c r="I15" s="7" t="n">
        <v>10</v>
      </c>
      <c r="J15" s="8" t="inlineStr">
        <is>
          <t>101</t>
        </is>
      </c>
      <c r="K15" s="11" t="inlineStr">
        <is>
          <t>General</t>
        </is>
      </c>
      <c r="L15" s="5" t="n">
        <v>2913</v>
      </c>
      <c r="M15" s="5" t="n">
        <v>1066</v>
      </c>
      <c r="N15" s="5" t="n">
        <v>770</v>
      </c>
      <c r="O15" s="10">
        <f>M15/L15</f>
        <v/>
      </c>
      <c r="Q15" s="7" t="n">
        <v>10</v>
      </c>
      <c r="R15" s="8" t="inlineStr">
        <is>
          <t>580N</t>
        </is>
      </c>
      <c r="S15" s="11" t="inlineStr">
        <is>
          <t>General</t>
        </is>
      </c>
      <c r="T15" s="5" t="n">
        <v>1353</v>
      </c>
      <c r="U15" s="5" t="n">
        <v>482</v>
      </c>
      <c r="V15" s="5" t="n">
        <v>186</v>
      </c>
      <c r="W15" s="10">
        <f>U15/T15</f>
        <v/>
      </c>
      <c r="Y15" s="7" t="n">
        <v>10</v>
      </c>
      <c r="Z15" s="8" t="inlineStr">
        <is>
          <t>700</t>
        </is>
      </c>
      <c r="AA15" s="9" t="inlineStr">
        <is>
          <t>Draw</t>
        </is>
      </c>
      <c r="AB15" s="5" t="n">
        <v>1385</v>
      </c>
      <c r="AC15" s="5" t="n">
        <v>956</v>
      </c>
      <c r="AD15" s="5" t="n">
        <v>791</v>
      </c>
      <c r="AE15" s="10">
        <f>AC15/AB15</f>
        <v/>
      </c>
    </row>
    <row r="16">
      <c r="A16" s="7" t="n">
        <v>11</v>
      </c>
      <c r="B16" s="8" t="inlineStr">
        <is>
          <t>426</t>
        </is>
      </c>
      <c r="C16" s="11" t="inlineStr">
        <is>
          <t>General</t>
        </is>
      </c>
      <c r="D16" s="5" t="n">
        <v>835</v>
      </c>
      <c r="E16" s="5" t="n">
        <v>335</v>
      </c>
      <c r="F16" s="5" t="n">
        <v>316</v>
      </c>
      <c r="G16" s="10">
        <f>E16/D16</f>
        <v/>
      </c>
      <c r="I16" s="7" t="n">
        <v>11</v>
      </c>
      <c r="J16" s="8" t="inlineStr">
        <is>
          <t>261</t>
        </is>
      </c>
      <c r="K16" s="11" t="inlineStr">
        <is>
          <t>General</t>
        </is>
      </c>
      <c r="L16" s="5" t="n">
        <v>486</v>
      </c>
      <c r="M16" s="5" t="n">
        <v>174</v>
      </c>
      <c r="N16" s="5" t="n">
        <v>140</v>
      </c>
      <c r="O16" s="10">
        <f>M16/L16</f>
        <v/>
      </c>
      <c r="Q16" s="7" t="n">
        <v>11</v>
      </c>
      <c r="R16" s="8" t="inlineStr">
        <is>
          <t>446</t>
        </is>
      </c>
      <c r="S16" s="11" t="inlineStr">
        <is>
          <t>General</t>
        </is>
      </c>
      <c r="T16" s="5" t="n">
        <v>1140</v>
      </c>
      <c r="U16" s="5" t="n">
        <v>399</v>
      </c>
      <c r="V16" s="5" t="n">
        <v>167</v>
      </c>
      <c r="W16" s="10">
        <f>U16/T16</f>
        <v/>
      </c>
      <c r="Y16" s="7" t="n">
        <v>11</v>
      </c>
      <c r="Z16" s="8" t="inlineStr">
        <is>
          <t>480</t>
        </is>
      </c>
      <c r="AA16" s="9" t="inlineStr">
        <is>
          <t>Draw</t>
        </is>
      </c>
      <c r="AB16" s="5" t="n">
        <v>173</v>
      </c>
      <c r="AC16" s="5" t="n">
        <v>118</v>
      </c>
      <c r="AD16" s="5" t="n">
        <v>100</v>
      </c>
      <c r="AE16" s="10">
        <f>AC16/AB16</f>
        <v/>
      </c>
    </row>
    <row r="17">
      <c r="A17" s="7" t="n">
        <v>12</v>
      </c>
      <c r="B17" s="8" t="inlineStr">
        <is>
          <t>502</t>
        </is>
      </c>
      <c r="C17" s="11" t="inlineStr">
        <is>
          <t>General</t>
        </is>
      </c>
      <c r="D17" s="5" t="n">
        <v>1625</v>
      </c>
      <c r="E17" s="5" t="n">
        <v>650</v>
      </c>
      <c r="F17" s="5" t="n">
        <v>552</v>
      </c>
      <c r="G17" s="10">
        <f>E17/D17</f>
        <v/>
      </c>
      <c r="I17" s="7" t="n">
        <v>12</v>
      </c>
      <c r="J17" s="8" t="inlineStr">
        <is>
          <t>580</t>
        </is>
      </c>
      <c r="K17" s="11" t="inlineStr">
        <is>
          <t>General</t>
        </is>
      </c>
      <c r="L17" s="5" t="n">
        <v>1399</v>
      </c>
      <c r="M17" s="5" t="n">
        <v>496</v>
      </c>
      <c r="N17" s="5" t="n">
        <v>254</v>
      </c>
      <c r="O17" s="10">
        <f>M17/L17</f>
        <v/>
      </c>
      <c r="Q17" s="7" t="n">
        <v>12</v>
      </c>
      <c r="R17" s="8" t="inlineStr">
        <is>
          <t>317</t>
        </is>
      </c>
      <c r="S17" s="11" t="inlineStr">
        <is>
          <t>General</t>
        </is>
      </c>
      <c r="T17" s="5" t="n">
        <v>1303</v>
      </c>
      <c r="U17" s="5" t="n">
        <v>437</v>
      </c>
      <c r="V17" s="5" t="n">
        <v>94</v>
      </c>
      <c r="W17" s="10">
        <f>U17/T17</f>
        <v/>
      </c>
      <c r="Y17" s="7" t="n">
        <v>12</v>
      </c>
      <c r="Z17" s="8" t="inlineStr">
        <is>
          <t>701</t>
        </is>
      </c>
      <c r="AA17" s="9" t="inlineStr">
        <is>
          <t>Draw</t>
        </is>
      </c>
      <c r="AB17" s="5" t="n">
        <v>1093</v>
      </c>
      <c r="AC17" s="5" t="n">
        <v>728</v>
      </c>
      <c r="AD17" s="5" t="n">
        <v>627</v>
      </c>
      <c r="AE17" s="10">
        <f>AC17/AB17</f>
        <v/>
      </c>
    </row>
    <row r="18">
      <c r="A18" s="7" t="n">
        <v>13</v>
      </c>
      <c r="B18" s="8" t="inlineStr">
        <is>
          <t>600</t>
        </is>
      </c>
      <c r="C18" s="11" t="inlineStr">
        <is>
          <t>General</t>
        </is>
      </c>
      <c r="D18" s="5" t="n">
        <v>1998</v>
      </c>
      <c r="E18" s="5" t="n">
        <v>783</v>
      </c>
      <c r="F18" s="5" t="n">
        <v>568</v>
      </c>
      <c r="G18" s="10">
        <f>E18/D18</f>
        <v/>
      </c>
      <c r="I18" s="7" t="n">
        <v>13</v>
      </c>
      <c r="J18" s="8" t="inlineStr">
        <is>
          <t>250</t>
        </is>
      </c>
      <c r="K18" s="11" t="inlineStr">
        <is>
          <t>General</t>
        </is>
      </c>
      <c r="L18" s="5" t="n">
        <v>449</v>
      </c>
      <c r="M18" s="5" t="n">
        <v>157</v>
      </c>
      <c r="N18" s="5" t="n">
        <v>147</v>
      </c>
      <c r="O18" s="10">
        <f>M18/L18</f>
        <v/>
      </c>
      <c r="Q18" s="7" t="n">
        <v>13</v>
      </c>
      <c r="R18" s="8" t="inlineStr">
        <is>
          <t>704</t>
        </is>
      </c>
      <c r="S18" s="11" t="inlineStr">
        <is>
          <t>General</t>
        </is>
      </c>
      <c r="T18" s="5" t="n">
        <v>1601</v>
      </c>
      <c r="U18" s="5" t="n">
        <v>534</v>
      </c>
      <c r="V18" s="5" t="n">
        <v>233</v>
      </c>
      <c r="W18" s="10">
        <f>U18/T18</f>
        <v/>
      </c>
      <c r="Y18" s="7" t="n">
        <v>13</v>
      </c>
      <c r="Z18" s="8" t="inlineStr">
        <is>
          <t>704</t>
        </is>
      </c>
      <c r="AA18" s="9" t="inlineStr">
        <is>
          <t>Draw</t>
        </is>
      </c>
      <c r="AB18" s="5" t="n">
        <v>1015</v>
      </c>
      <c r="AC18" s="5" t="n">
        <v>668</v>
      </c>
      <c r="AD18" s="5" t="n">
        <v>507</v>
      </c>
      <c r="AE18" s="10">
        <f>AC18/AB18</f>
        <v/>
      </c>
    </row>
    <row r="19">
      <c r="A19" s="7" t="n">
        <v>14</v>
      </c>
      <c r="B19" s="8" t="inlineStr">
        <is>
          <t>316</t>
        </is>
      </c>
      <c r="C19" s="11" t="inlineStr">
        <is>
          <t>General</t>
        </is>
      </c>
      <c r="D19" s="5" t="n">
        <v>185</v>
      </c>
      <c r="E19" s="5" t="n">
        <v>72</v>
      </c>
      <c r="F19" s="5" t="n">
        <v>69</v>
      </c>
      <c r="G19" s="10">
        <f>E19/D19</f>
        <v/>
      </c>
      <c r="I19" s="7" t="n">
        <v>14</v>
      </c>
      <c r="J19" s="8" t="inlineStr">
        <is>
          <t>411</t>
        </is>
      </c>
      <c r="K19" s="11" t="inlineStr">
        <is>
          <t>General</t>
        </is>
      </c>
      <c r="L19" s="5" t="n">
        <v>2383</v>
      </c>
      <c r="M19" s="5" t="n">
        <v>831</v>
      </c>
      <c r="N19" s="5" t="n">
        <v>550</v>
      </c>
      <c r="O19" s="10">
        <f>M19/L19</f>
        <v/>
      </c>
      <c r="Q19" s="7" t="n">
        <v>14</v>
      </c>
      <c r="R19" s="8" t="inlineStr">
        <is>
          <t>701W</t>
        </is>
      </c>
      <c r="S19" s="11" t="inlineStr">
        <is>
          <t>General</t>
        </is>
      </c>
      <c r="T19" s="5" t="n">
        <v>219</v>
      </c>
      <c r="U19" s="5" t="n">
        <v>73</v>
      </c>
      <c r="V19" s="5" t="n">
        <v>30</v>
      </c>
      <c r="W19" s="10">
        <f>U19/T19</f>
        <v/>
      </c>
      <c r="Y19" s="7" t="n">
        <v>14</v>
      </c>
      <c r="Z19" s="8" t="inlineStr">
        <is>
          <t>630</t>
        </is>
      </c>
      <c r="AA19" s="9" t="inlineStr">
        <is>
          <t>Draw</t>
        </is>
      </c>
      <c r="AB19" s="5" t="n">
        <v>359</v>
      </c>
      <c r="AC19" s="5" t="n">
        <v>236</v>
      </c>
      <c r="AD19" s="5" t="n">
        <v>198</v>
      </c>
      <c r="AE19" s="10">
        <f>AC19/AB19</f>
        <v/>
      </c>
    </row>
    <row r="20">
      <c r="A20" s="7" t="n">
        <v>15</v>
      </c>
      <c r="B20" s="8" t="inlineStr">
        <is>
          <t>670</t>
        </is>
      </c>
      <c r="C20" s="11" t="inlineStr">
        <is>
          <t>General</t>
        </is>
      </c>
      <c r="D20" s="5" t="n">
        <v>2456</v>
      </c>
      <c r="E20" s="5" t="n">
        <v>955</v>
      </c>
      <c r="F20" s="5" t="n">
        <v>873</v>
      </c>
      <c r="G20" s="10">
        <f>E20/D20</f>
        <v/>
      </c>
      <c r="I20" s="7" t="n">
        <v>15</v>
      </c>
      <c r="J20" s="8" t="inlineStr">
        <is>
          <t>320</t>
        </is>
      </c>
      <c r="K20" s="11" t="inlineStr">
        <is>
          <t>General</t>
        </is>
      </c>
      <c r="L20" s="5" t="n">
        <v>2611</v>
      </c>
      <c r="M20" s="5" t="n">
        <v>909</v>
      </c>
      <c r="N20" s="5" t="n">
        <v>392</v>
      </c>
      <c r="O20" s="10">
        <f>M20/L20</f>
        <v/>
      </c>
      <c r="Q20" s="7" t="n">
        <v>15</v>
      </c>
      <c r="R20" s="8" t="inlineStr">
        <is>
          <t>690</t>
        </is>
      </c>
      <c r="S20" s="9" t="inlineStr">
        <is>
          <t>Draw</t>
        </is>
      </c>
      <c r="T20" s="5" t="n">
        <v>776</v>
      </c>
      <c r="U20" s="5" t="n">
        <v>257</v>
      </c>
      <c r="V20" s="5" t="n">
        <v>82</v>
      </c>
      <c r="W20" s="10">
        <f>U20/T20</f>
        <v/>
      </c>
      <c r="Y20" s="7" t="n">
        <v>15</v>
      </c>
      <c r="Z20" s="8" t="inlineStr">
        <is>
          <t>546</t>
        </is>
      </c>
      <c r="AA20" s="9" t="inlineStr">
        <is>
          <t>Draw</t>
        </is>
      </c>
      <c r="AB20" s="5" t="n">
        <v>335</v>
      </c>
      <c r="AC20" s="5" t="n">
        <v>220</v>
      </c>
      <c r="AD20" s="5" t="n">
        <v>153</v>
      </c>
      <c r="AE20" s="10">
        <f>AC20/AB20</f>
        <v/>
      </c>
    </row>
    <row r="21">
      <c r="A21" s="7" t="n">
        <v>16</v>
      </c>
      <c r="B21" s="8" t="inlineStr">
        <is>
          <t>401</t>
        </is>
      </c>
      <c r="C21" s="11" t="inlineStr">
        <is>
          <t>General</t>
        </is>
      </c>
      <c r="D21" s="5" t="n">
        <v>1204</v>
      </c>
      <c r="E21" s="5" t="n">
        <v>467</v>
      </c>
      <c r="F21" s="5" t="n">
        <v>332</v>
      </c>
      <c r="G21" s="10">
        <f>E21/D21</f>
        <v/>
      </c>
      <c r="I21" s="7" t="n">
        <v>16</v>
      </c>
      <c r="J21" s="8" t="inlineStr">
        <is>
          <t>412</t>
        </is>
      </c>
      <c r="K21" s="11" t="inlineStr">
        <is>
          <t>General</t>
        </is>
      </c>
      <c r="L21" s="5" t="n">
        <v>1139</v>
      </c>
      <c r="M21" s="5" t="n">
        <v>379</v>
      </c>
      <c r="N21" s="5" t="n">
        <v>226</v>
      </c>
      <c r="O21" s="10">
        <f>M21/L21</f>
        <v/>
      </c>
      <c r="Q21" s="7" t="n">
        <v>16</v>
      </c>
      <c r="R21" s="8" t="inlineStr">
        <is>
          <t>360</t>
        </is>
      </c>
      <c r="S21" s="11" t="inlineStr">
        <is>
          <t>General</t>
        </is>
      </c>
      <c r="T21" s="5" t="n">
        <v>3402</v>
      </c>
      <c r="U21" s="5" t="n">
        <v>1099</v>
      </c>
      <c r="V21" s="5" t="n">
        <v>377</v>
      </c>
      <c r="W21" s="10">
        <f>U21/T21</f>
        <v/>
      </c>
      <c r="Y21" s="7" t="n">
        <v>16</v>
      </c>
      <c r="Z21" s="8" t="inlineStr">
        <is>
          <t>404</t>
        </is>
      </c>
      <c r="AA21" s="9" t="inlineStr">
        <is>
          <t>Draw</t>
        </is>
      </c>
      <c r="AB21" s="5" t="n">
        <v>430</v>
      </c>
      <c r="AC21" s="5" t="n">
        <v>278</v>
      </c>
      <c r="AD21" s="5" t="n">
        <v>207</v>
      </c>
      <c r="AE21" s="10">
        <f>AC21/AB21</f>
        <v/>
      </c>
    </row>
    <row r="22">
      <c r="A22" s="7" t="n">
        <v>17</v>
      </c>
      <c r="B22" s="8" t="inlineStr">
        <is>
          <t>703</t>
        </is>
      </c>
      <c r="C22" s="11" t="inlineStr">
        <is>
          <t>General</t>
        </is>
      </c>
      <c r="D22" s="5" t="n">
        <v>3447</v>
      </c>
      <c r="E22" s="5" t="n">
        <v>1277</v>
      </c>
      <c r="F22" s="5" t="n">
        <v>1196</v>
      </c>
      <c r="G22" s="10">
        <f>E22/D22</f>
        <v/>
      </c>
      <c r="I22" s="7" t="n">
        <v>17</v>
      </c>
      <c r="J22" s="8" t="inlineStr">
        <is>
          <t>202</t>
        </is>
      </c>
      <c r="K22" s="11" t="inlineStr">
        <is>
          <t>General</t>
        </is>
      </c>
      <c r="L22" s="5" t="n">
        <v>1814</v>
      </c>
      <c r="M22" s="5" t="n">
        <v>598</v>
      </c>
      <c r="N22" s="5" t="n">
        <v>488</v>
      </c>
      <c r="O22" s="10">
        <f>M22/L22</f>
        <v/>
      </c>
      <c r="Q22" s="7" t="n">
        <v>17</v>
      </c>
      <c r="R22" s="8" t="inlineStr">
        <is>
          <t>314</t>
        </is>
      </c>
      <c r="S22" s="11" t="inlineStr">
        <is>
          <t>General</t>
        </is>
      </c>
      <c r="T22" s="5" t="n">
        <v>2182</v>
      </c>
      <c r="U22" s="5" t="n">
        <v>692</v>
      </c>
      <c r="V22" s="5" t="n">
        <v>215</v>
      </c>
      <c r="W22" s="10">
        <f>U22/T22</f>
        <v/>
      </c>
      <c r="Y22" s="7" t="n">
        <v>17</v>
      </c>
      <c r="Z22" s="8" t="inlineStr">
        <is>
          <t>471</t>
        </is>
      </c>
      <c r="AA22" s="9" t="inlineStr">
        <is>
          <t>Draw</t>
        </is>
      </c>
      <c r="AB22" s="5" t="n">
        <v>433</v>
      </c>
      <c r="AC22" s="5" t="n">
        <v>273</v>
      </c>
      <c r="AD22" s="5" t="n">
        <v>164</v>
      </c>
      <c r="AE22" s="10">
        <f>AC22/AB22</f>
        <v/>
      </c>
    </row>
    <row r="23">
      <c r="A23" s="7" t="n">
        <v>18</v>
      </c>
      <c r="B23" s="8" t="inlineStr">
        <is>
          <t>417</t>
        </is>
      </c>
      <c r="C23" s="9" t="inlineStr">
        <is>
          <t>Draw</t>
        </is>
      </c>
      <c r="D23" s="5" t="n">
        <v>253</v>
      </c>
      <c r="E23" s="5" t="n">
        <v>93</v>
      </c>
      <c r="F23" s="5" t="n">
        <v>84</v>
      </c>
      <c r="G23" s="10">
        <f>E23/D23</f>
        <v/>
      </c>
      <c r="I23" s="7" t="n">
        <v>18</v>
      </c>
      <c r="J23" s="8" t="inlineStr">
        <is>
          <t>418</t>
        </is>
      </c>
      <c r="K23" s="11" t="inlineStr">
        <is>
          <t>General</t>
        </is>
      </c>
      <c r="L23" s="5" t="n">
        <v>495</v>
      </c>
      <c r="M23" s="5" t="n">
        <v>159</v>
      </c>
      <c r="N23" s="5" t="n">
        <v>101</v>
      </c>
      <c r="O23" s="10">
        <f>M23/L23</f>
        <v/>
      </c>
      <c r="Q23" s="7" t="n">
        <v>18</v>
      </c>
      <c r="R23" s="8" t="inlineStr">
        <is>
          <t>535E</t>
        </is>
      </c>
      <c r="S23" s="11" t="inlineStr">
        <is>
          <t>General</t>
        </is>
      </c>
      <c r="T23" s="5" t="n">
        <v>1023</v>
      </c>
      <c r="U23" s="5" t="n">
        <v>323</v>
      </c>
      <c r="V23" s="5" t="n">
        <v>69</v>
      </c>
      <c r="W23" s="10">
        <f>U23/T23</f>
        <v/>
      </c>
      <c r="Y23" s="7" t="n">
        <v>18</v>
      </c>
      <c r="Z23" s="8" t="inlineStr">
        <is>
          <t>600</t>
        </is>
      </c>
      <c r="AA23" s="9" t="inlineStr">
        <is>
          <t>Draw</t>
        </is>
      </c>
      <c r="AB23" s="5" t="n">
        <v>321</v>
      </c>
      <c r="AC23" s="5" t="n">
        <v>200</v>
      </c>
      <c r="AD23" s="5" t="n">
        <v>166</v>
      </c>
      <c r="AE23" s="10">
        <f>AC23/AB23</f>
        <v/>
      </c>
    </row>
    <row r="24">
      <c r="A24" s="7" t="n">
        <v>19</v>
      </c>
      <c r="B24" s="8" t="inlineStr">
        <is>
          <t>702</t>
        </is>
      </c>
      <c r="C24" s="11" t="inlineStr">
        <is>
          <t>General</t>
        </is>
      </c>
      <c r="D24" s="5" t="n">
        <v>1740</v>
      </c>
      <c r="E24" s="5" t="n">
        <v>631</v>
      </c>
      <c r="F24" s="5" t="n">
        <v>560</v>
      </c>
      <c r="G24" s="10">
        <f>E24/D24</f>
        <v/>
      </c>
      <c r="I24" s="7" t="n">
        <v>19</v>
      </c>
      <c r="J24" s="8" t="inlineStr">
        <is>
          <t>240</t>
        </is>
      </c>
      <c r="K24" s="11" t="inlineStr">
        <is>
          <t>General</t>
        </is>
      </c>
      <c r="L24" s="5" t="n">
        <v>2009</v>
      </c>
      <c r="M24" s="5" t="n">
        <v>640</v>
      </c>
      <c r="N24" s="5" t="n">
        <v>441</v>
      </c>
      <c r="O24" s="10">
        <f>M24/L24</f>
        <v/>
      </c>
      <c r="Q24" s="7" t="n">
        <v>19</v>
      </c>
      <c r="R24" s="8" t="inlineStr">
        <is>
          <t>535W</t>
        </is>
      </c>
      <c r="S24" s="11" t="inlineStr">
        <is>
          <t>General</t>
        </is>
      </c>
      <c r="T24" s="5" t="n">
        <v>678</v>
      </c>
      <c r="U24" s="5" t="n">
        <v>213</v>
      </c>
      <c r="V24" s="5" t="n">
        <v>55</v>
      </c>
      <c r="W24" s="10">
        <f>U24/T24</f>
        <v/>
      </c>
      <c r="Y24" s="7" t="n">
        <v>19</v>
      </c>
      <c r="Z24" s="8" t="inlineStr">
        <is>
          <t>536</t>
        </is>
      </c>
      <c r="AA24" s="9" t="inlineStr">
        <is>
          <t>Draw</t>
        </is>
      </c>
      <c r="AB24" s="5" t="n">
        <v>303</v>
      </c>
      <c r="AC24" s="5" t="n">
        <v>188</v>
      </c>
      <c r="AD24" s="5" t="n">
        <v>174</v>
      </c>
      <c r="AE24" s="10">
        <f>AC24/AB24</f>
        <v/>
      </c>
    </row>
    <row r="25">
      <c r="A25" s="7" t="n">
        <v>20</v>
      </c>
      <c r="B25" s="8" t="inlineStr">
        <is>
          <t>400</t>
        </is>
      </c>
      <c r="C25" s="11" t="inlineStr">
        <is>
          <t>General</t>
        </is>
      </c>
      <c r="D25" s="5" t="n">
        <v>2000</v>
      </c>
      <c r="E25" s="5" t="n">
        <v>725</v>
      </c>
      <c r="F25" s="5" t="n">
        <v>573</v>
      </c>
      <c r="G25" s="10">
        <f>E25/D25</f>
        <v/>
      </c>
      <c r="I25" s="7" t="n">
        <v>20</v>
      </c>
      <c r="J25" s="8" t="inlineStr">
        <is>
          <t>110</t>
        </is>
      </c>
      <c r="K25" s="11" t="inlineStr">
        <is>
          <t>General</t>
        </is>
      </c>
      <c r="L25" s="5" t="n">
        <v>1344</v>
      </c>
      <c r="M25" s="5" t="n">
        <v>427</v>
      </c>
      <c r="N25" s="5" t="n">
        <v>345</v>
      </c>
      <c r="O25" s="10">
        <f>M25/L25</f>
        <v/>
      </c>
      <c r="Q25" s="7" t="n">
        <v>20</v>
      </c>
      <c r="R25" s="8" t="inlineStr">
        <is>
          <t>309</t>
        </is>
      </c>
      <c r="S25" s="11" t="inlineStr">
        <is>
          <t>General</t>
        </is>
      </c>
      <c r="T25" s="5" t="n">
        <v>377</v>
      </c>
      <c r="U25" s="5" t="n">
        <v>117</v>
      </c>
      <c r="V25" s="5" t="n">
        <v>42</v>
      </c>
      <c r="W25" s="10">
        <f>U25/T25</f>
        <v/>
      </c>
      <c r="Y25" s="7" t="n">
        <v>20</v>
      </c>
      <c r="Z25" s="8" t="inlineStr">
        <is>
          <t>506</t>
        </is>
      </c>
      <c r="AA25" s="9" t="inlineStr">
        <is>
          <t>Draw</t>
        </is>
      </c>
      <c r="AB25" s="5" t="n">
        <v>222</v>
      </c>
      <c r="AC25" s="5" t="n">
        <v>136</v>
      </c>
      <c r="AD25" s="5" t="n">
        <v>115</v>
      </c>
      <c r="AE25" s="10">
        <f>AC25/AB25</f>
        <v/>
      </c>
    </row>
    <row r="26">
      <c r="A26" s="7" t="n">
        <v>21</v>
      </c>
      <c r="B26" s="8" t="inlineStr">
        <is>
          <t>630</t>
        </is>
      </c>
      <c r="C26" s="11" t="inlineStr">
        <is>
          <t>General</t>
        </is>
      </c>
      <c r="D26" s="5" t="n">
        <v>1664</v>
      </c>
      <c r="E26" s="5" t="n">
        <v>598</v>
      </c>
      <c r="F26" s="5" t="n">
        <v>556</v>
      </c>
      <c r="G26" s="10">
        <f>E26/D26</f>
        <v/>
      </c>
      <c r="I26" s="7" t="n">
        <v>21</v>
      </c>
      <c r="J26" s="8" t="inlineStr">
        <is>
          <t>124</t>
        </is>
      </c>
      <c r="K26" s="11" t="inlineStr">
        <is>
          <t>General</t>
        </is>
      </c>
      <c r="L26" s="5" t="n">
        <v>441</v>
      </c>
      <c r="M26" s="5" t="n">
        <v>137</v>
      </c>
      <c r="N26" s="5" t="n">
        <v>107</v>
      </c>
      <c r="O26" s="10">
        <f>M26/L26</f>
        <v/>
      </c>
      <c r="Q26" s="7" t="n">
        <v>21</v>
      </c>
      <c r="R26" s="8" t="inlineStr">
        <is>
          <t>401</t>
        </is>
      </c>
      <c r="S26" s="11" t="inlineStr">
        <is>
          <t>General</t>
        </is>
      </c>
      <c r="T26" s="5" t="n">
        <v>405</v>
      </c>
      <c r="U26" s="5" t="n">
        <v>125</v>
      </c>
      <c r="V26" s="5" t="n">
        <v>65</v>
      </c>
      <c r="W26" s="10">
        <f>U26/T26</f>
        <v/>
      </c>
      <c r="Y26" s="7" t="n">
        <v>21</v>
      </c>
      <c r="Z26" s="8" t="inlineStr">
        <is>
          <t>490</t>
        </is>
      </c>
      <c r="AA26" s="9" t="inlineStr">
        <is>
          <t>Draw</t>
        </is>
      </c>
      <c r="AB26" s="5" t="n">
        <v>256</v>
      </c>
      <c r="AC26" s="5" t="n">
        <v>156</v>
      </c>
      <c r="AD26" s="5" t="n">
        <v>91</v>
      </c>
      <c r="AE26" s="10">
        <f>AC26/AB26</f>
        <v/>
      </c>
    </row>
    <row r="27">
      <c r="A27" s="7" t="n">
        <v>22</v>
      </c>
      <c r="B27" s="8" t="inlineStr">
        <is>
          <t>406</t>
        </is>
      </c>
      <c r="C27" s="11" t="inlineStr">
        <is>
          <t>General</t>
        </is>
      </c>
      <c r="D27" s="5" t="n">
        <v>731</v>
      </c>
      <c r="E27" s="5" t="n">
        <v>239</v>
      </c>
      <c r="F27" s="5" t="n">
        <v>158</v>
      </c>
      <c r="G27" s="10">
        <f>E27/D27</f>
        <v/>
      </c>
      <c r="I27" s="7" t="n">
        <v>22</v>
      </c>
      <c r="J27" s="8" t="inlineStr">
        <is>
          <t>285</t>
        </is>
      </c>
      <c r="K27" s="11" t="inlineStr">
        <is>
          <t>General</t>
        </is>
      </c>
      <c r="L27" s="5" t="n">
        <v>3133</v>
      </c>
      <c r="M27" s="5" t="n">
        <v>962</v>
      </c>
      <c r="N27" s="5" t="n">
        <v>868</v>
      </c>
      <c r="O27" s="10">
        <f>M27/L27</f>
        <v/>
      </c>
      <c r="Q27" s="7" t="n">
        <v>22</v>
      </c>
      <c r="R27" s="8" t="inlineStr">
        <is>
          <t>412</t>
        </is>
      </c>
      <c r="S27" s="11" t="inlineStr">
        <is>
          <t>General</t>
        </is>
      </c>
      <c r="T27" s="5" t="n">
        <v>614</v>
      </c>
      <c r="U27" s="5" t="n">
        <v>186</v>
      </c>
      <c r="V27" s="5" t="n">
        <v>107</v>
      </c>
      <c r="W27" s="10">
        <f>U27/T27</f>
        <v/>
      </c>
      <c r="Y27" s="7" t="n">
        <v>22</v>
      </c>
      <c r="Z27" s="8" t="inlineStr">
        <is>
          <t>516</t>
        </is>
      </c>
      <c r="AA27" s="9" t="inlineStr">
        <is>
          <t>Draw</t>
        </is>
      </c>
      <c r="AB27" s="5" t="n">
        <v>700</v>
      </c>
      <c r="AC27" s="5" t="n">
        <v>424</v>
      </c>
      <c r="AD27" s="5" t="n">
        <v>335</v>
      </c>
      <c r="AE27" s="10">
        <f>AC27/AB27</f>
        <v/>
      </c>
    </row>
    <row r="28">
      <c r="A28" s="7" t="n">
        <v>23</v>
      </c>
      <c r="B28" s="8" t="inlineStr">
        <is>
          <t>620</t>
        </is>
      </c>
      <c r="C28" s="11" t="inlineStr">
        <is>
          <t>General</t>
        </is>
      </c>
      <c r="D28" s="5" t="n">
        <v>1199</v>
      </c>
      <c r="E28" s="5" t="n">
        <v>392</v>
      </c>
      <c r="F28" s="5" t="n">
        <v>369</v>
      </c>
      <c r="G28" s="10">
        <f>E28/D28</f>
        <v/>
      </c>
      <c r="I28" s="7" t="n">
        <v>23</v>
      </c>
      <c r="J28" s="8" t="inlineStr">
        <is>
          <t>525</t>
        </is>
      </c>
      <c r="K28" s="11" t="inlineStr">
        <is>
          <t>General</t>
        </is>
      </c>
      <c r="L28" s="5" t="n">
        <v>2334</v>
      </c>
      <c r="M28" s="5" t="n">
        <v>714</v>
      </c>
      <c r="N28" s="5" t="n">
        <v>375</v>
      </c>
      <c r="O28" s="10">
        <f>M28/L28</f>
        <v/>
      </c>
      <c r="Q28" s="7" t="n">
        <v>23</v>
      </c>
      <c r="R28" s="8" t="inlineStr">
        <is>
          <t>590</t>
        </is>
      </c>
      <c r="S28" s="11" t="inlineStr">
        <is>
          <t>General</t>
        </is>
      </c>
      <c r="T28" s="5" t="n">
        <v>2494</v>
      </c>
      <c r="U28" s="5" t="n">
        <v>750</v>
      </c>
      <c r="V28" s="5" t="n">
        <v>310</v>
      </c>
      <c r="W28" s="10">
        <f>U28/T28</f>
        <v/>
      </c>
      <c r="Y28" s="7" t="n">
        <v>23</v>
      </c>
      <c r="Z28" s="8" t="inlineStr">
        <is>
          <t>702</t>
        </is>
      </c>
      <c r="AA28" s="9" t="inlineStr">
        <is>
          <t>Draw</t>
        </is>
      </c>
      <c r="AB28" s="5" t="n">
        <v>549</v>
      </c>
      <c r="AC28" s="5" t="n">
        <v>331</v>
      </c>
      <c r="AD28" s="5" t="n">
        <v>270</v>
      </c>
      <c r="AE28" s="10">
        <f>AC28/AB28</f>
        <v/>
      </c>
    </row>
    <row r="29">
      <c r="A29" s="7" t="n">
        <v>24</v>
      </c>
      <c r="B29" s="8" t="inlineStr">
        <is>
          <t>419</t>
        </is>
      </c>
      <c r="C29" s="11" t="inlineStr">
        <is>
          <t>General</t>
        </is>
      </c>
      <c r="D29" s="5" t="n">
        <v>861</v>
      </c>
      <c r="E29" s="5" t="n">
        <v>278</v>
      </c>
      <c r="F29" s="5" t="n">
        <v>257</v>
      </c>
      <c r="G29" s="10">
        <f>E29/D29</f>
        <v/>
      </c>
      <c r="I29" s="7" t="n">
        <v>24</v>
      </c>
      <c r="J29" s="8" t="inlineStr">
        <is>
          <t>421</t>
        </is>
      </c>
      <c r="K29" s="11" t="inlineStr">
        <is>
          <t>General</t>
        </is>
      </c>
      <c r="L29" s="5" t="n">
        <v>1325</v>
      </c>
      <c r="M29" s="5" t="n">
        <v>397</v>
      </c>
      <c r="N29" s="5" t="n">
        <v>218</v>
      </c>
      <c r="O29" s="10">
        <f>M29/L29</f>
        <v/>
      </c>
      <c r="Q29" s="7" t="n">
        <v>24</v>
      </c>
      <c r="R29" s="8" t="inlineStr">
        <is>
          <t>311</t>
        </is>
      </c>
      <c r="S29" s="11" t="inlineStr">
        <is>
          <t>General</t>
        </is>
      </c>
      <c r="T29" s="5" t="n">
        <v>794</v>
      </c>
      <c r="U29" s="5" t="n">
        <v>238</v>
      </c>
      <c r="V29" s="5" t="n">
        <v>75</v>
      </c>
      <c r="W29" s="10">
        <f>U29/T29</f>
        <v/>
      </c>
      <c r="Y29" s="7" t="n">
        <v>24</v>
      </c>
      <c r="Z29" s="8" t="inlineStr">
        <is>
          <t>640</t>
        </is>
      </c>
      <c r="AA29" s="9" t="inlineStr">
        <is>
          <t>Draw</t>
        </is>
      </c>
      <c r="AB29" s="5" t="n">
        <v>158</v>
      </c>
      <c r="AC29" s="5" t="n">
        <v>93</v>
      </c>
      <c r="AD29" s="5" t="n">
        <v>77</v>
      </c>
      <c r="AE29" s="10">
        <f>AC29/AB29</f>
        <v/>
      </c>
    </row>
    <row r="30">
      <c r="A30" s="7" t="n">
        <v>25</v>
      </c>
      <c r="B30" s="8" t="inlineStr">
        <is>
          <t>700</t>
        </is>
      </c>
      <c r="C30" s="11" t="inlineStr">
        <is>
          <t>General</t>
        </is>
      </c>
      <c r="D30" s="5" t="n">
        <v>3259</v>
      </c>
      <c r="E30" s="5" t="n">
        <v>1015</v>
      </c>
      <c r="F30" s="5" t="n">
        <v>886</v>
      </c>
      <c r="G30" s="10">
        <f>E30/D30</f>
        <v/>
      </c>
      <c r="I30" s="7" t="n">
        <v>25</v>
      </c>
      <c r="J30" s="8" t="inlineStr">
        <is>
          <t>104</t>
        </is>
      </c>
      <c r="K30" s="11" t="inlineStr">
        <is>
          <t>General</t>
        </is>
      </c>
      <c r="L30" s="5" t="n">
        <v>1575</v>
      </c>
      <c r="M30" s="5" t="n">
        <v>469</v>
      </c>
      <c r="N30" s="5" t="n">
        <v>337</v>
      </c>
      <c r="O30" s="10">
        <f>M30/L30</f>
        <v/>
      </c>
      <c r="Q30" s="7" t="n">
        <v>25</v>
      </c>
      <c r="R30" s="8" t="inlineStr">
        <is>
          <t>393</t>
        </is>
      </c>
      <c r="S30" s="11" t="inlineStr">
        <is>
          <t>General</t>
        </is>
      </c>
      <c r="T30" s="5" t="n">
        <v>2048</v>
      </c>
      <c r="U30" s="5" t="n">
        <v>590</v>
      </c>
      <c r="V30" s="5" t="n">
        <v>237</v>
      </c>
      <c r="W30" s="10">
        <f>U30/T30</f>
        <v/>
      </c>
      <c r="Y30" s="7" t="n">
        <v>25</v>
      </c>
      <c r="Z30" s="8" t="inlineStr">
        <is>
          <t>420</t>
        </is>
      </c>
      <c r="AA30" s="9" t="inlineStr">
        <is>
          <t>Draw</t>
        </is>
      </c>
      <c r="AB30" s="5" t="n">
        <v>178</v>
      </c>
      <c r="AC30" s="5" t="n">
        <v>103</v>
      </c>
      <c r="AD30" s="5" t="n">
        <v>81</v>
      </c>
      <c r="AE30" s="10">
        <f>AC30/AB30</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59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1" t="inlineStr">
        <is>
          <t>Harvest by district and year</t>
        </is>
      </c>
    </row>
    <row r="2">
      <c r="A2" s="2" t="inlineStr">
        <is>
          <t>Darker green = more animals taken (shaded per species). Change compares the first and latest year.</t>
        </is>
      </c>
    </row>
    <row r="4">
      <c r="A4" s="6" t="inlineStr">
        <is>
          <t>Mule Deer</t>
        </is>
      </c>
    </row>
    <row r="5">
      <c r="A5" s="3" t="inlineStr">
        <is>
          <t>District</t>
        </is>
      </c>
      <c r="B5" s="3" t="inlineStr">
        <is>
          <t>License</t>
        </is>
      </c>
      <c r="C5" s="3" t="inlineStr">
        <is>
          <t>2021</t>
        </is>
      </c>
      <c r="D5" s="3" t="inlineStr">
        <is>
          <t>2022</t>
        </is>
      </c>
      <c r="E5" s="3" t="inlineStr">
        <is>
          <t>2023</t>
        </is>
      </c>
      <c r="F5" s="3" t="inlineStr">
        <is>
          <t>2024</t>
        </is>
      </c>
      <c r="G5" s="3" t="inlineStr">
        <is>
          <t>2025</t>
        </is>
      </c>
      <c r="H5" s="3" t="inlineStr">
        <is>
          <t>Change</t>
        </is>
      </c>
    </row>
    <row r="6">
      <c r="A6" s="12" t="inlineStr">
        <is>
          <t>100</t>
        </is>
      </c>
      <c r="B6" s="13" t="inlineStr">
        <is>
          <t>General</t>
        </is>
      </c>
      <c r="C6" s="5" t="n">
        <v>165</v>
      </c>
      <c r="D6" s="5" t="n">
        <v>176</v>
      </c>
      <c r="E6" s="5" t="n">
        <v>169</v>
      </c>
      <c r="F6" s="5" t="n">
        <v>113</v>
      </c>
      <c r="G6" s="5" t="n">
        <v>119</v>
      </c>
      <c r="H6" s="14">
        <f>IF(AND(ISNUMBER(C6),C6&gt;0,ISNUMBER(G6)),G6/C6-1,"")</f>
        <v/>
      </c>
    </row>
    <row r="7">
      <c r="A7" s="12" t="inlineStr">
        <is>
          <t>101</t>
        </is>
      </c>
      <c r="B7" s="13" t="inlineStr">
        <is>
          <t>General</t>
        </is>
      </c>
      <c r="C7" s="5" t="n">
        <v>74</v>
      </c>
      <c r="D7" s="5" t="n">
        <v>110</v>
      </c>
      <c r="E7" s="5" t="n">
        <v>106</v>
      </c>
      <c r="F7" s="5" t="n">
        <v>125</v>
      </c>
      <c r="G7" s="5" t="n">
        <v>92</v>
      </c>
      <c r="H7" s="14">
        <f>IF(AND(ISNUMBER(C7),C7&gt;0,ISNUMBER(G7)),G7/C7-1,"")</f>
        <v/>
      </c>
    </row>
    <row r="8">
      <c r="A8" s="12" t="inlineStr">
        <is>
          <t>102</t>
        </is>
      </c>
      <c r="B8" s="4" t="inlineStr"/>
      <c r="C8" s="5" t="n">
        <v>54</v>
      </c>
      <c r="D8" s="5" t="n"/>
      <c r="E8" s="5" t="n"/>
      <c r="F8" s="5" t="n"/>
      <c r="G8" s="5" t="n"/>
      <c r="H8" s="14">
        <f>IF(AND(ISNUMBER(C8),C8&gt;0,ISNUMBER(G8)),G8/C8-1,"")</f>
        <v/>
      </c>
    </row>
    <row r="9">
      <c r="A9" s="12" t="inlineStr">
        <is>
          <t>103</t>
        </is>
      </c>
      <c r="B9" s="13" t="inlineStr">
        <is>
          <t>General</t>
        </is>
      </c>
      <c r="C9" s="5" t="n">
        <v>138</v>
      </c>
      <c r="D9" s="5" t="n">
        <v>158</v>
      </c>
      <c r="E9" s="5" t="n">
        <v>207</v>
      </c>
      <c r="F9" s="5" t="n">
        <v>233</v>
      </c>
      <c r="G9" s="5" t="n">
        <v>212</v>
      </c>
      <c r="H9" s="14">
        <f>IF(AND(ISNUMBER(C9),C9&gt;0,ISNUMBER(G9)),G9/C9-1,"")</f>
        <v/>
      </c>
    </row>
    <row r="10">
      <c r="A10" s="12" t="inlineStr">
        <is>
          <t>104</t>
        </is>
      </c>
      <c r="B10" s="13" t="inlineStr">
        <is>
          <t>General</t>
        </is>
      </c>
      <c r="C10" s="5" t="n">
        <v>57</v>
      </c>
      <c r="D10" s="5" t="n">
        <v>39</v>
      </c>
      <c r="E10" s="5" t="n">
        <v>59</v>
      </c>
      <c r="F10" s="5" t="n">
        <v>66</v>
      </c>
      <c r="G10" s="5" t="n">
        <v>64</v>
      </c>
      <c r="H10" s="14">
        <f>IF(AND(ISNUMBER(C10),C10&gt;0,ISNUMBER(G10)),G10/C10-1,"")</f>
        <v/>
      </c>
    </row>
    <row r="11">
      <c r="A11" s="12" t="inlineStr">
        <is>
          <t>109</t>
        </is>
      </c>
      <c r="B11" s="4" t="inlineStr"/>
      <c r="C11" s="5" t="n">
        <v>39</v>
      </c>
      <c r="D11" s="5" t="n"/>
      <c r="E11" s="5" t="n"/>
      <c r="F11" s="5" t="n"/>
      <c r="G11" s="5" t="n"/>
      <c r="H11" s="14">
        <f>IF(AND(ISNUMBER(C11),C11&gt;0,ISNUMBER(G11)),G11/C11-1,"")</f>
        <v/>
      </c>
    </row>
    <row r="12">
      <c r="A12" s="12" t="inlineStr">
        <is>
          <t>110</t>
        </is>
      </c>
      <c r="B12" s="13" t="inlineStr">
        <is>
          <t>General</t>
        </is>
      </c>
      <c r="C12" s="5" t="n">
        <v>8</v>
      </c>
      <c r="D12" s="5" t="n">
        <v>20</v>
      </c>
      <c r="E12" s="5" t="n">
        <v>40</v>
      </c>
      <c r="F12" s="5" t="n">
        <v>25</v>
      </c>
      <c r="G12" s="5" t="n">
        <v>38</v>
      </c>
      <c r="H12" s="14">
        <f>IF(AND(ISNUMBER(C12),C12&gt;0,ISNUMBER(G12)),G12/C12-1,"")</f>
        <v/>
      </c>
    </row>
    <row r="13">
      <c r="A13" s="12" t="inlineStr">
        <is>
          <t>120</t>
        </is>
      </c>
      <c r="B13" s="13" t="inlineStr">
        <is>
          <t>General</t>
        </is>
      </c>
      <c r="C13" s="5" t="n">
        <v>36</v>
      </c>
      <c r="D13" s="5" t="n">
        <v>49</v>
      </c>
      <c r="E13" s="5" t="n">
        <v>47</v>
      </c>
      <c r="F13" s="5" t="n">
        <v>34</v>
      </c>
      <c r="G13" s="5" t="n">
        <v>52</v>
      </c>
      <c r="H13" s="14">
        <f>IF(AND(ISNUMBER(C13),C13&gt;0,ISNUMBER(G13)),G13/C13-1,"")</f>
        <v/>
      </c>
    </row>
    <row r="14">
      <c r="A14" s="12" t="inlineStr">
        <is>
          <t>121</t>
        </is>
      </c>
      <c r="B14" s="13" t="inlineStr">
        <is>
          <t>General</t>
        </is>
      </c>
      <c r="C14" s="5" t="n">
        <v>130</v>
      </c>
      <c r="D14" s="5" t="n">
        <v>120</v>
      </c>
      <c r="E14" s="5" t="n">
        <v>131</v>
      </c>
      <c r="F14" s="5" t="n">
        <v>169</v>
      </c>
      <c r="G14" s="5" t="n">
        <v>176</v>
      </c>
      <c r="H14" s="14">
        <f>IF(AND(ISNUMBER(C14),C14&gt;0,ISNUMBER(G14)),G14/C14-1,"")</f>
        <v/>
      </c>
    </row>
    <row r="15">
      <c r="A15" s="12" t="inlineStr">
        <is>
          <t>122</t>
        </is>
      </c>
      <c r="B15" s="13" t="inlineStr">
        <is>
          <t>General</t>
        </is>
      </c>
      <c r="C15" s="5" t="n">
        <v>123</v>
      </c>
      <c r="D15" s="5" t="n">
        <v>158</v>
      </c>
      <c r="E15" s="5" t="n">
        <v>189</v>
      </c>
      <c r="F15" s="5" t="n">
        <v>201</v>
      </c>
      <c r="G15" s="5" t="n">
        <v>160</v>
      </c>
      <c r="H15" s="14">
        <f>IF(AND(ISNUMBER(C15),C15&gt;0,ISNUMBER(G15)),G15/C15-1,"")</f>
        <v/>
      </c>
    </row>
    <row r="16">
      <c r="A16" s="12" t="inlineStr">
        <is>
          <t>123</t>
        </is>
      </c>
      <c r="B16" s="13" t="inlineStr">
        <is>
          <t>General</t>
        </is>
      </c>
      <c r="C16" s="5" t="n">
        <v>19</v>
      </c>
      <c r="D16" s="5" t="n">
        <v>26</v>
      </c>
      <c r="E16" s="5" t="n">
        <v>47</v>
      </c>
      <c r="F16" s="5" t="n">
        <v>72</v>
      </c>
      <c r="G16" s="5" t="n">
        <v>53</v>
      </c>
      <c r="H16" s="14">
        <f>IF(AND(ISNUMBER(C16),C16&gt;0,ISNUMBER(G16)),G16/C16-1,"")</f>
        <v/>
      </c>
    </row>
    <row r="17">
      <c r="A17" s="12" t="inlineStr">
        <is>
          <t>124</t>
        </is>
      </c>
      <c r="B17" s="13" t="inlineStr">
        <is>
          <t>General</t>
        </is>
      </c>
      <c r="C17" s="5" t="n">
        <v>27</v>
      </c>
      <c r="D17" s="5" t="n">
        <v>71</v>
      </c>
      <c r="E17" s="5" t="n">
        <v>65</v>
      </c>
      <c r="F17" s="5" t="n">
        <v>53</v>
      </c>
      <c r="G17" s="5" t="n">
        <v>75</v>
      </c>
      <c r="H17" s="14">
        <f>IF(AND(ISNUMBER(C17),C17&gt;0,ISNUMBER(G17)),G17/C17-1,"")</f>
        <v/>
      </c>
    </row>
    <row r="18">
      <c r="A18" s="12" t="inlineStr">
        <is>
          <t>130</t>
        </is>
      </c>
      <c r="B18" s="13" t="inlineStr">
        <is>
          <t>General</t>
        </is>
      </c>
      <c r="C18" s="5" t="n">
        <v>14</v>
      </c>
      <c r="D18" s="5" t="n">
        <v>33</v>
      </c>
      <c r="E18" s="5" t="n">
        <v>20</v>
      </c>
      <c r="F18" s="5" t="n">
        <v>32</v>
      </c>
      <c r="G18" s="5" t="n">
        <v>45</v>
      </c>
      <c r="H18" s="14">
        <f>IF(AND(ISNUMBER(C18),C18&gt;0,ISNUMBER(G18)),G18/C18-1,"")</f>
        <v/>
      </c>
    </row>
    <row r="19">
      <c r="A19" s="12" t="inlineStr">
        <is>
          <t>140</t>
        </is>
      </c>
      <c r="B19" s="13" t="inlineStr">
        <is>
          <t>General</t>
        </is>
      </c>
      <c r="C19" s="5" t="n">
        <v>28</v>
      </c>
      <c r="D19" s="5" t="n">
        <v>36</v>
      </c>
      <c r="E19" s="5" t="n">
        <v>44</v>
      </c>
      <c r="F19" s="5" t="n">
        <v>31</v>
      </c>
      <c r="G19" s="5" t="n">
        <v>33</v>
      </c>
      <c r="H19" s="14">
        <f>IF(AND(ISNUMBER(C19),C19&gt;0,ISNUMBER(G19)),G19/C19-1,"")</f>
        <v/>
      </c>
    </row>
    <row r="20">
      <c r="A20" s="12" t="inlineStr">
        <is>
          <t>141</t>
        </is>
      </c>
      <c r="B20" s="13" t="inlineStr">
        <is>
          <t>General</t>
        </is>
      </c>
      <c r="C20" s="5" t="n">
        <v>11</v>
      </c>
      <c r="D20" s="5" t="n">
        <v>7</v>
      </c>
      <c r="E20" s="5" t="n">
        <v>10</v>
      </c>
      <c r="F20" s="5" t="n">
        <v>3</v>
      </c>
      <c r="G20" s="5" t="n">
        <v>7</v>
      </c>
      <c r="H20" s="14">
        <f>IF(AND(ISNUMBER(C20),C20&gt;0,ISNUMBER(G20)),G20/C20-1,"")</f>
        <v/>
      </c>
    </row>
    <row r="21">
      <c r="A21" s="12" t="inlineStr">
        <is>
          <t>150</t>
        </is>
      </c>
      <c r="B21" s="13" t="inlineStr">
        <is>
          <t>General</t>
        </is>
      </c>
      <c r="C21" s="5" t="n">
        <v>8</v>
      </c>
      <c r="D21" s="5" t="n">
        <v>10</v>
      </c>
      <c r="E21" s="5" t="n">
        <v>9</v>
      </c>
      <c r="F21" s="5" t="n">
        <v>12</v>
      </c>
      <c r="G21" s="5" t="n">
        <v>10</v>
      </c>
      <c r="H21" s="14">
        <f>IF(AND(ISNUMBER(C21),C21&gt;0,ISNUMBER(G21)),G21/C21-1,"")</f>
        <v/>
      </c>
    </row>
    <row r="22">
      <c r="A22" s="12" t="inlineStr">
        <is>
          <t>170</t>
        </is>
      </c>
      <c r="B22" s="13" t="inlineStr">
        <is>
          <t>General</t>
        </is>
      </c>
      <c r="C22" s="5" t="n">
        <v>48</v>
      </c>
      <c r="D22" s="5" t="n">
        <v>40</v>
      </c>
      <c r="E22" s="5" t="n">
        <v>44</v>
      </c>
      <c r="F22" s="5" t="n">
        <v>36</v>
      </c>
      <c r="G22" s="5" t="n">
        <v>22</v>
      </c>
      <c r="H22" s="14">
        <f>IF(AND(ISNUMBER(C22),C22&gt;0,ISNUMBER(G22)),G22/C22-1,"")</f>
        <v/>
      </c>
    </row>
    <row r="23">
      <c r="A23" s="12" t="inlineStr">
        <is>
          <t>200</t>
        </is>
      </c>
      <c r="B23" s="13" t="inlineStr">
        <is>
          <t>General</t>
        </is>
      </c>
      <c r="C23" s="5" t="n">
        <v>23</v>
      </c>
      <c r="D23" s="5" t="n">
        <v>10</v>
      </c>
      <c r="E23" s="5" t="n">
        <v>45</v>
      </c>
      <c r="F23" s="5" t="n">
        <v>34</v>
      </c>
      <c r="G23" s="5" t="n">
        <v>28</v>
      </c>
      <c r="H23" s="14">
        <f>IF(AND(ISNUMBER(C23),C23&gt;0,ISNUMBER(G23)),G23/C23-1,"")</f>
        <v/>
      </c>
    </row>
    <row r="24">
      <c r="A24" s="12" t="inlineStr">
        <is>
          <t>201</t>
        </is>
      </c>
      <c r="B24" s="13" t="inlineStr">
        <is>
          <t>General</t>
        </is>
      </c>
      <c r="C24" s="5" t="n">
        <v>87</v>
      </c>
      <c r="D24" s="5" t="n">
        <v>166</v>
      </c>
      <c r="E24" s="5" t="n">
        <v>211</v>
      </c>
      <c r="F24" s="5" t="n">
        <v>205</v>
      </c>
      <c r="G24" s="5" t="n">
        <v>185</v>
      </c>
      <c r="H24" s="14">
        <f>IF(AND(ISNUMBER(C24),C24&gt;0,ISNUMBER(G24)),G24/C24-1,"")</f>
        <v/>
      </c>
    </row>
    <row r="25">
      <c r="A25" s="12" t="inlineStr">
        <is>
          <t>202</t>
        </is>
      </c>
      <c r="B25" s="15" t="inlineStr">
        <is>
          <t>Draw</t>
        </is>
      </c>
      <c r="C25" s="5" t="n">
        <v>95</v>
      </c>
      <c r="D25" s="5" t="n">
        <v>67</v>
      </c>
      <c r="E25" s="5" t="n">
        <v>83</v>
      </c>
      <c r="F25" s="5" t="n">
        <v>99</v>
      </c>
      <c r="G25" s="5" t="n">
        <v>104</v>
      </c>
      <c r="H25" s="14">
        <f>IF(AND(ISNUMBER(C25),C25&gt;0,ISNUMBER(G25)),G25/C25-1,"")</f>
        <v/>
      </c>
    </row>
    <row r="26">
      <c r="A26" s="12" t="inlineStr">
        <is>
          <t>203</t>
        </is>
      </c>
      <c r="B26" s="4" t="inlineStr"/>
      <c r="C26" s="5" t="n">
        <v>96</v>
      </c>
      <c r="D26" s="5" t="n"/>
      <c r="E26" s="5" t="n"/>
      <c r="F26" s="5" t="n"/>
      <c r="G26" s="5" t="n"/>
      <c r="H26" s="14">
        <f>IF(AND(ISNUMBER(C26),C26&gt;0,ISNUMBER(G26)),G26/C26-1,"")</f>
        <v/>
      </c>
    </row>
    <row r="27">
      <c r="A27" s="12" t="inlineStr">
        <is>
          <t>204</t>
        </is>
      </c>
      <c r="B27" s="13" t="inlineStr">
        <is>
          <t>General</t>
        </is>
      </c>
      <c r="C27" s="5" t="n">
        <v>72</v>
      </c>
      <c r="D27" s="5" t="n">
        <v>95</v>
      </c>
      <c r="E27" s="5" t="n">
        <v>138</v>
      </c>
      <c r="F27" s="5" t="n">
        <v>67</v>
      </c>
      <c r="G27" s="5" t="n">
        <v>92</v>
      </c>
      <c r="H27" s="14">
        <f>IF(AND(ISNUMBER(C27),C27&gt;0,ISNUMBER(G27)),G27/C27-1,"")</f>
        <v/>
      </c>
    </row>
    <row r="28">
      <c r="A28" s="12" t="inlineStr">
        <is>
          <t>210</t>
        </is>
      </c>
      <c r="B28" s="15" t="inlineStr">
        <is>
          <t>Draw</t>
        </is>
      </c>
      <c r="C28" s="5" t="n">
        <v>49</v>
      </c>
      <c r="D28" s="5" t="n">
        <v>57</v>
      </c>
      <c r="E28" s="5" t="n">
        <v>67</v>
      </c>
      <c r="F28" s="5" t="n">
        <v>74</v>
      </c>
      <c r="G28" s="5" t="n">
        <v>62</v>
      </c>
      <c r="H28" s="14">
        <f>IF(AND(ISNUMBER(C28),C28&gt;0,ISNUMBER(G28)),G28/C28-1,"")</f>
        <v/>
      </c>
    </row>
    <row r="29">
      <c r="A29" s="12" t="inlineStr">
        <is>
          <t>211</t>
        </is>
      </c>
      <c r="B29" s="13" t="inlineStr">
        <is>
          <t>General</t>
        </is>
      </c>
      <c r="C29" s="5" t="n">
        <v>35</v>
      </c>
      <c r="D29" s="5" t="n">
        <v>31</v>
      </c>
      <c r="E29" s="5" t="n">
        <v>40</v>
      </c>
      <c r="F29" s="5" t="n">
        <v>53</v>
      </c>
      <c r="G29" s="5" t="n">
        <v>37</v>
      </c>
      <c r="H29" s="14">
        <f>IF(AND(ISNUMBER(C29),C29&gt;0,ISNUMBER(G29)),G29/C29-1,"")</f>
        <v/>
      </c>
    </row>
    <row r="30">
      <c r="A30" s="12" t="inlineStr">
        <is>
          <t>212</t>
        </is>
      </c>
      <c r="B30" s="13" t="inlineStr">
        <is>
          <t>General</t>
        </is>
      </c>
      <c r="C30" s="5" t="n">
        <v>38</v>
      </c>
      <c r="D30" s="5" t="n">
        <v>49</v>
      </c>
      <c r="E30" s="5" t="n">
        <v>43</v>
      </c>
      <c r="F30" s="5" t="n">
        <v>62</v>
      </c>
      <c r="G30" s="5" t="n">
        <v>79</v>
      </c>
      <c r="H30" s="14">
        <f>IF(AND(ISNUMBER(C30),C30&gt;0,ISNUMBER(G30)),G30/C30-1,"")</f>
        <v/>
      </c>
    </row>
    <row r="31">
      <c r="A31" s="12" t="inlineStr">
        <is>
          <t>213</t>
        </is>
      </c>
      <c r="B31" s="13" t="inlineStr">
        <is>
          <t>General</t>
        </is>
      </c>
      <c r="C31" s="5" t="n">
        <v>104</v>
      </c>
      <c r="D31" s="5" t="n">
        <v>129</v>
      </c>
      <c r="E31" s="5" t="n">
        <v>145</v>
      </c>
      <c r="F31" s="5" t="n">
        <v>180</v>
      </c>
      <c r="G31" s="5" t="n">
        <v>199</v>
      </c>
      <c r="H31" s="14">
        <f>IF(AND(ISNUMBER(C31),C31&gt;0,ISNUMBER(G31)),G31/C31-1,"")</f>
        <v/>
      </c>
    </row>
    <row r="32">
      <c r="A32" s="12" t="inlineStr">
        <is>
          <t>214</t>
        </is>
      </c>
      <c r="B32" s="13" t="inlineStr">
        <is>
          <t>General</t>
        </is>
      </c>
      <c r="C32" s="5" t="n">
        <v>16</v>
      </c>
      <c r="D32" s="5" t="n">
        <v>20</v>
      </c>
      <c r="E32" s="5" t="n">
        <v>27</v>
      </c>
      <c r="F32" s="5" t="n">
        <v>45</v>
      </c>
      <c r="G32" s="5" t="n">
        <v>14</v>
      </c>
      <c r="H32" s="14">
        <f>IF(AND(ISNUMBER(C32),C32&gt;0,ISNUMBER(G32)),G32/C32-1,"")</f>
        <v/>
      </c>
    </row>
    <row r="33">
      <c r="A33" s="12" t="inlineStr">
        <is>
          <t>215</t>
        </is>
      </c>
      <c r="B33" s="13" t="inlineStr">
        <is>
          <t>General</t>
        </is>
      </c>
      <c r="C33" s="5" t="n">
        <v>86</v>
      </c>
      <c r="D33" s="5" t="n">
        <v>150</v>
      </c>
      <c r="E33" s="5" t="n">
        <v>140</v>
      </c>
      <c r="F33" s="5" t="n">
        <v>188</v>
      </c>
      <c r="G33" s="5" t="n">
        <v>161</v>
      </c>
      <c r="H33" s="14">
        <f>IF(AND(ISNUMBER(C33),C33&gt;0,ISNUMBER(G33)),G33/C33-1,"")</f>
        <v/>
      </c>
    </row>
    <row r="34">
      <c r="A34" s="12" t="inlineStr">
        <is>
          <t>216</t>
        </is>
      </c>
      <c r="B34" s="13" t="inlineStr">
        <is>
          <t>General</t>
        </is>
      </c>
      <c r="C34" s="5" t="n">
        <v>55</v>
      </c>
      <c r="D34" s="5" t="n">
        <v>74</v>
      </c>
      <c r="E34" s="5" t="n">
        <v>72</v>
      </c>
      <c r="F34" s="5" t="n">
        <v>75</v>
      </c>
      <c r="G34" s="5" t="n">
        <v>90</v>
      </c>
      <c r="H34" s="14">
        <f>IF(AND(ISNUMBER(C34),C34&gt;0,ISNUMBER(G34)),G34/C34-1,"")</f>
        <v/>
      </c>
    </row>
    <row r="35">
      <c r="A35" s="12" t="inlineStr">
        <is>
          <t>217</t>
        </is>
      </c>
      <c r="B35" s="13" t="inlineStr">
        <is>
          <t>General</t>
        </is>
      </c>
      <c r="C35" s="5" t="n">
        <v>44</v>
      </c>
      <c r="D35" s="5" t="n">
        <v>40</v>
      </c>
      <c r="E35" s="5" t="n">
        <v>32</v>
      </c>
      <c r="F35" s="5" t="n">
        <v>44</v>
      </c>
      <c r="G35" s="5" t="n">
        <v>52</v>
      </c>
      <c r="H35" s="14">
        <f>IF(AND(ISNUMBER(C35),C35&gt;0,ISNUMBER(G35)),G35/C35-1,"")</f>
        <v/>
      </c>
    </row>
    <row r="36">
      <c r="A36" s="12" t="inlineStr">
        <is>
          <t>240</t>
        </is>
      </c>
      <c r="B36" s="13" t="inlineStr">
        <is>
          <t>General</t>
        </is>
      </c>
      <c r="C36" s="5" t="n">
        <v>114</v>
      </c>
      <c r="D36" s="5" t="n">
        <v>108</v>
      </c>
      <c r="E36" s="5" t="n">
        <v>114</v>
      </c>
      <c r="F36" s="5" t="n">
        <v>132</v>
      </c>
      <c r="G36" s="5" t="n">
        <v>135</v>
      </c>
      <c r="H36" s="14">
        <f>IF(AND(ISNUMBER(C36),C36&gt;0,ISNUMBER(G36)),G36/C36-1,"")</f>
        <v/>
      </c>
    </row>
    <row r="37">
      <c r="A37" s="12" t="inlineStr">
        <is>
          <t>250</t>
        </is>
      </c>
      <c r="B37" s="15" t="inlineStr">
        <is>
          <t>Draw</t>
        </is>
      </c>
      <c r="C37" s="5" t="n">
        <v>17</v>
      </c>
      <c r="D37" s="5" t="n">
        <v>22</v>
      </c>
      <c r="E37" s="5" t="n">
        <v>23</v>
      </c>
      <c r="F37" s="5" t="n">
        <v>17</v>
      </c>
      <c r="G37" s="5" t="n">
        <v>18</v>
      </c>
      <c r="H37" s="14">
        <f>IF(AND(ISNUMBER(C37),C37&gt;0,ISNUMBER(G37)),G37/C37-1,"")</f>
        <v/>
      </c>
    </row>
    <row r="38">
      <c r="A38" s="12" t="inlineStr">
        <is>
          <t>260</t>
        </is>
      </c>
      <c r="B38" s="13" t="inlineStr">
        <is>
          <t>General</t>
        </is>
      </c>
      <c r="C38" s="5" t="n">
        <v>33</v>
      </c>
      <c r="D38" s="5" t="n">
        <v>42</v>
      </c>
      <c r="E38" s="5" t="n">
        <v>45</v>
      </c>
      <c r="F38" s="5" t="n">
        <v>6</v>
      </c>
      <c r="G38" s="5" t="n">
        <v>35</v>
      </c>
      <c r="H38" s="14">
        <f>IF(AND(ISNUMBER(C38),C38&gt;0,ISNUMBER(G38)),G38/C38-1,"")</f>
        <v/>
      </c>
    </row>
    <row r="39">
      <c r="A39" s="12" t="inlineStr">
        <is>
          <t>261</t>
        </is>
      </c>
      <c r="B39" s="15" t="inlineStr">
        <is>
          <t>Draw</t>
        </is>
      </c>
      <c r="C39" s="5" t="n">
        <v>12</v>
      </c>
      <c r="D39" s="5" t="n">
        <v>14</v>
      </c>
      <c r="E39" s="5" t="n">
        <v>8</v>
      </c>
      <c r="F39" s="5" t="n">
        <v>15</v>
      </c>
      <c r="G39" s="5" t="n">
        <v>9</v>
      </c>
      <c r="H39" s="14">
        <f>IF(AND(ISNUMBER(C39),C39&gt;0,ISNUMBER(G39)),G39/C39-1,"")</f>
        <v/>
      </c>
    </row>
    <row r="40">
      <c r="A40" s="12" t="inlineStr">
        <is>
          <t>262</t>
        </is>
      </c>
      <c r="B40" s="15" t="inlineStr">
        <is>
          <t>Draw</t>
        </is>
      </c>
      <c r="C40" s="5" t="n">
        <v>71</v>
      </c>
      <c r="D40" s="5" t="n">
        <v>50</v>
      </c>
      <c r="E40" s="5" t="n">
        <v>34</v>
      </c>
      <c r="F40" s="5" t="n">
        <v>47</v>
      </c>
      <c r="G40" s="5" t="n">
        <v>41</v>
      </c>
      <c r="H40" s="14">
        <f>IF(AND(ISNUMBER(C40),C40&gt;0,ISNUMBER(G40)),G40/C40-1,"")</f>
        <v/>
      </c>
    </row>
    <row r="41">
      <c r="A41" s="12" t="inlineStr">
        <is>
          <t>270</t>
        </is>
      </c>
      <c r="B41" s="15" t="inlineStr">
        <is>
          <t>Draw</t>
        </is>
      </c>
      <c r="C41" s="5" t="n">
        <v>92</v>
      </c>
      <c r="D41" s="5" t="n">
        <v>67</v>
      </c>
      <c r="E41" s="5" t="n">
        <v>87</v>
      </c>
      <c r="F41" s="5" t="n">
        <v>80</v>
      </c>
      <c r="G41" s="5" t="n">
        <v>77</v>
      </c>
      <c r="H41" s="14">
        <f>IF(AND(ISNUMBER(C41),C41&gt;0,ISNUMBER(G41)),G41/C41-1,"")</f>
        <v/>
      </c>
    </row>
    <row r="42">
      <c r="A42" s="12" t="inlineStr">
        <is>
          <t>280</t>
        </is>
      </c>
      <c r="B42" s="13" t="inlineStr">
        <is>
          <t>General</t>
        </is>
      </c>
      <c r="C42" s="5" t="n">
        <v>3</v>
      </c>
      <c r="D42" s="5" t="n">
        <v>7</v>
      </c>
      <c r="E42" s="5" t="n">
        <v>3</v>
      </c>
      <c r="F42" s="5" t="n">
        <v>12</v>
      </c>
      <c r="G42" s="5" t="n">
        <v>7</v>
      </c>
      <c r="H42" s="14">
        <f>IF(AND(ISNUMBER(C42),C42&gt;0,ISNUMBER(G42)),G42/C42-1,"")</f>
        <v/>
      </c>
    </row>
    <row r="43">
      <c r="A43" s="12" t="inlineStr">
        <is>
          <t>281</t>
        </is>
      </c>
      <c r="B43" s="13" t="inlineStr">
        <is>
          <t>General</t>
        </is>
      </c>
      <c r="C43" s="5" t="n">
        <v>51</v>
      </c>
      <c r="D43" s="5" t="n">
        <v>71</v>
      </c>
      <c r="E43" s="5" t="n">
        <v>69</v>
      </c>
      <c r="F43" s="5" t="n">
        <v>75</v>
      </c>
      <c r="G43" s="5" t="n">
        <v>88</v>
      </c>
      <c r="H43" s="14">
        <f>IF(AND(ISNUMBER(C43),C43&gt;0,ISNUMBER(G43)),G43/C43-1,"")</f>
        <v/>
      </c>
    </row>
    <row r="44">
      <c r="A44" s="12" t="inlineStr">
        <is>
          <t>282</t>
        </is>
      </c>
      <c r="B44" s="13" t="inlineStr">
        <is>
          <t>General</t>
        </is>
      </c>
      <c r="C44" s="5" t="n">
        <v>8</v>
      </c>
      <c r="D44" s="5" t="n">
        <v>17</v>
      </c>
      <c r="E44" s="5" t="n">
        <v>5</v>
      </c>
      <c r="F44" s="5" t="n">
        <v>11</v>
      </c>
      <c r="G44" s="5" t="n">
        <v>11</v>
      </c>
      <c r="H44" s="14">
        <f>IF(AND(ISNUMBER(C44),C44&gt;0,ISNUMBER(G44)),G44/C44-1,"")</f>
        <v/>
      </c>
    </row>
    <row r="45">
      <c r="A45" s="12" t="inlineStr">
        <is>
          <t>283</t>
        </is>
      </c>
      <c r="B45" s="4" t="inlineStr"/>
      <c r="C45" s="5" t="n">
        <v>35</v>
      </c>
      <c r="D45" s="5" t="n"/>
      <c r="E45" s="5" t="n"/>
      <c r="F45" s="5" t="n"/>
      <c r="G45" s="5" t="n"/>
      <c r="H45" s="14">
        <f>IF(AND(ISNUMBER(C45),C45&gt;0,ISNUMBER(G45)),G45/C45-1,"")</f>
        <v/>
      </c>
    </row>
    <row r="46">
      <c r="A46" s="12" t="inlineStr">
        <is>
          <t>284</t>
        </is>
      </c>
      <c r="B46" s="13" t="inlineStr">
        <is>
          <t>General</t>
        </is>
      </c>
      <c r="C46" s="5" t="n">
        <v>3</v>
      </c>
      <c r="D46" s="5" t="n">
        <v>10</v>
      </c>
      <c r="E46" s="5" t="n">
        <v>7</v>
      </c>
      <c r="F46" s="5" t="n">
        <v>3</v>
      </c>
      <c r="G46" s="5" t="n">
        <v>13</v>
      </c>
      <c r="H46" s="14">
        <f>IF(AND(ISNUMBER(C46),C46&gt;0,ISNUMBER(G46)),G46/C46-1,"")</f>
        <v/>
      </c>
    </row>
    <row r="47">
      <c r="A47" s="12" t="inlineStr">
        <is>
          <t>285</t>
        </is>
      </c>
      <c r="B47" s="13" t="inlineStr">
        <is>
          <t>General</t>
        </is>
      </c>
      <c r="C47" s="5" t="n">
        <v>44</v>
      </c>
      <c r="D47" s="5" t="n">
        <v>85</v>
      </c>
      <c r="E47" s="5" t="n">
        <v>100</v>
      </c>
      <c r="F47" s="5" t="n">
        <v>109</v>
      </c>
      <c r="G47" s="5" t="n">
        <v>144</v>
      </c>
      <c r="H47" s="14">
        <f>IF(AND(ISNUMBER(C47),C47&gt;0,ISNUMBER(G47)),G47/C47-1,"")</f>
        <v/>
      </c>
    </row>
    <row r="48">
      <c r="A48" s="12" t="inlineStr">
        <is>
          <t>290</t>
        </is>
      </c>
      <c r="B48" s="13" t="inlineStr">
        <is>
          <t>General</t>
        </is>
      </c>
      <c r="C48" s="5" t="n">
        <v>19</v>
      </c>
      <c r="D48" s="5" t="n">
        <v>26</v>
      </c>
      <c r="E48" s="5" t="n">
        <v>20</v>
      </c>
      <c r="F48" s="5" t="n">
        <v>9</v>
      </c>
      <c r="G48" s="5" t="n">
        <v>17</v>
      </c>
      <c r="H48" s="14">
        <f>IF(AND(ISNUMBER(C48),C48&gt;0,ISNUMBER(G48)),G48/C48-1,"")</f>
        <v/>
      </c>
    </row>
    <row r="49">
      <c r="A49" s="12" t="inlineStr">
        <is>
          <t>291</t>
        </is>
      </c>
      <c r="B49" s="15" t="inlineStr">
        <is>
          <t>Draw</t>
        </is>
      </c>
      <c r="C49" s="5" t="n">
        <v>65</v>
      </c>
      <c r="D49" s="5" t="n">
        <v>39</v>
      </c>
      <c r="E49" s="5" t="n">
        <v>44</v>
      </c>
      <c r="F49" s="5" t="n">
        <v>60</v>
      </c>
      <c r="G49" s="5" t="n">
        <v>65</v>
      </c>
      <c r="H49" s="14">
        <f>IF(AND(ISNUMBER(C49),C49&gt;0,ISNUMBER(G49)),G49/C49-1,"")</f>
        <v/>
      </c>
    </row>
    <row r="50">
      <c r="A50" s="12" t="inlineStr">
        <is>
          <t>292</t>
        </is>
      </c>
      <c r="B50" s="13" t="inlineStr">
        <is>
          <t>General</t>
        </is>
      </c>
      <c r="C50" s="5" t="n">
        <v>149</v>
      </c>
      <c r="D50" s="5" t="n">
        <v>112</v>
      </c>
      <c r="E50" s="5" t="n">
        <v>158</v>
      </c>
      <c r="F50" s="5" t="n">
        <v>235</v>
      </c>
      <c r="G50" s="5" t="n">
        <v>242</v>
      </c>
      <c r="H50" s="14">
        <f>IF(AND(ISNUMBER(C50),C50&gt;0,ISNUMBER(G50)),G50/C50-1,"")</f>
        <v/>
      </c>
    </row>
    <row r="51">
      <c r="A51" s="12" t="inlineStr">
        <is>
          <t>293</t>
        </is>
      </c>
      <c r="B51" s="13" t="inlineStr">
        <is>
          <t>General</t>
        </is>
      </c>
      <c r="C51" s="5" t="n">
        <v>50</v>
      </c>
      <c r="D51" s="5" t="n">
        <v>81</v>
      </c>
      <c r="E51" s="5" t="n">
        <v>83</v>
      </c>
      <c r="F51" s="5" t="n">
        <v>60</v>
      </c>
      <c r="G51" s="5" t="n">
        <v>66</v>
      </c>
      <c r="H51" s="14">
        <f>IF(AND(ISNUMBER(C51),C51&gt;0,ISNUMBER(G51)),G51/C51-1,"")</f>
        <v/>
      </c>
    </row>
    <row r="52">
      <c r="A52" s="12" t="inlineStr">
        <is>
          <t>298</t>
        </is>
      </c>
      <c r="B52" s="13" t="inlineStr">
        <is>
          <t>General</t>
        </is>
      </c>
      <c r="C52" s="5" t="n">
        <v>12</v>
      </c>
      <c r="D52" s="5" t="n">
        <v>17</v>
      </c>
      <c r="E52" s="5" t="n">
        <v>20</v>
      </c>
      <c r="F52" s="5" t="n">
        <v>28</v>
      </c>
      <c r="G52" s="5" t="n">
        <v>42</v>
      </c>
      <c r="H52" s="14">
        <f>IF(AND(ISNUMBER(C52),C52&gt;0,ISNUMBER(G52)),G52/C52-1,"")</f>
        <v/>
      </c>
    </row>
    <row r="53">
      <c r="A53" s="12" t="inlineStr">
        <is>
          <t>300</t>
        </is>
      </c>
      <c r="B53" s="4" t="inlineStr"/>
      <c r="C53" s="5" t="n">
        <v>129</v>
      </c>
      <c r="D53" s="5" t="n"/>
      <c r="E53" s="5" t="n"/>
      <c r="F53" s="5" t="n"/>
      <c r="G53" s="5" t="n"/>
      <c r="H53" s="14">
        <f>IF(AND(ISNUMBER(C53),C53&gt;0,ISNUMBER(G53)),G53/C53-1,"")</f>
        <v/>
      </c>
    </row>
    <row r="54">
      <c r="A54" s="12" t="inlineStr">
        <is>
          <t>301</t>
        </is>
      </c>
      <c r="B54" s="13" t="inlineStr">
        <is>
          <t>General</t>
        </is>
      </c>
      <c r="C54" s="5" t="n">
        <v>76</v>
      </c>
      <c r="D54" s="5" t="n">
        <v>105</v>
      </c>
      <c r="E54" s="5" t="n">
        <v>102</v>
      </c>
      <c r="F54" s="5" t="n">
        <v>99</v>
      </c>
      <c r="G54" s="5" t="n">
        <v>146</v>
      </c>
      <c r="H54" s="14">
        <f>IF(AND(ISNUMBER(C54),C54&gt;0,ISNUMBER(G54)),G54/C54-1,"")</f>
        <v/>
      </c>
    </row>
    <row r="55">
      <c r="A55" s="12" t="inlineStr">
        <is>
          <t>302</t>
        </is>
      </c>
      <c r="B55" s="13" t="inlineStr">
        <is>
          <t>General</t>
        </is>
      </c>
      <c r="C55" s="5" t="n">
        <v>183</v>
      </c>
      <c r="D55" s="5" t="n">
        <v>130</v>
      </c>
      <c r="E55" s="5" t="n">
        <v>140</v>
      </c>
      <c r="F55" s="5" t="n">
        <v>194</v>
      </c>
      <c r="G55" s="5" t="n">
        <v>232</v>
      </c>
      <c r="H55" s="14">
        <f>IF(AND(ISNUMBER(C55),C55&gt;0,ISNUMBER(G55)),G55/C55-1,"")</f>
        <v/>
      </c>
    </row>
    <row r="56">
      <c r="A56" s="12" t="inlineStr">
        <is>
          <t>303</t>
        </is>
      </c>
      <c r="B56" s="15" t="inlineStr">
        <is>
          <t>Draw</t>
        </is>
      </c>
      <c r="C56" s="5" t="n"/>
      <c r="D56" s="5" t="n">
        <v>68</v>
      </c>
      <c r="E56" s="5" t="n">
        <v>78</v>
      </c>
      <c r="F56" s="5" t="n">
        <v>50</v>
      </c>
      <c r="G56" s="5" t="n">
        <v>47</v>
      </c>
      <c r="H56" s="14">
        <f>IF(AND(ISNUMBER(C56),C56&gt;0,ISNUMBER(G56)),G56/C56-1,"")</f>
        <v/>
      </c>
    </row>
    <row r="57">
      <c r="A57" s="12" t="inlineStr">
        <is>
          <t>304</t>
        </is>
      </c>
      <c r="B57" s="13" t="inlineStr">
        <is>
          <t>General</t>
        </is>
      </c>
      <c r="C57" s="5" t="n"/>
      <c r="D57" s="5" t="n">
        <v>108</v>
      </c>
      <c r="E57" s="5" t="n">
        <v>63</v>
      </c>
      <c r="F57" s="5" t="n">
        <v>103</v>
      </c>
      <c r="G57" s="5" t="n">
        <v>74</v>
      </c>
      <c r="H57" s="14">
        <f>IF(AND(ISNUMBER(C57),C57&gt;0,ISNUMBER(G57)),G57/C57-1,"")</f>
        <v/>
      </c>
    </row>
    <row r="58">
      <c r="A58" s="12" t="inlineStr">
        <is>
          <t>309</t>
        </is>
      </c>
      <c r="B58" s="13" t="inlineStr">
        <is>
          <t>General</t>
        </is>
      </c>
      <c r="C58" s="5" t="n">
        <v>21</v>
      </c>
      <c r="D58" s="5" t="n">
        <v>33</v>
      </c>
      <c r="E58" s="5" t="n">
        <v>23</v>
      </c>
      <c r="F58" s="5" t="n">
        <v>40</v>
      </c>
      <c r="G58" s="5" t="n">
        <v>68</v>
      </c>
      <c r="H58" s="14">
        <f>IF(AND(ISNUMBER(C58),C58&gt;0,ISNUMBER(G58)),G58/C58-1,"")</f>
        <v/>
      </c>
    </row>
    <row r="59">
      <c r="A59" s="12" t="inlineStr">
        <is>
          <t>310</t>
        </is>
      </c>
      <c r="B59" s="13" t="inlineStr">
        <is>
          <t>General</t>
        </is>
      </c>
      <c r="C59" s="5" t="n">
        <v>31</v>
      </c>
      <c r="D59" s="5" t="n">
        <v>32</v>
      </c>
      <c r="E59" s="5" t="n">
        <v>55</v>
      </c>
      <c r="F59" s="5" t="n">
        <v>39</v>
      </c>
      <c r="G59" s="5" t="n">
        <v>37</v>
      </c>
      <c r="H59" s="14">
        <f>IF(AND(ISNUMBER(C59),C59&gt;0,ISNUMBER(G59)),G59/C59-1,"")</f>
        <v/>
      </c>
    </row>
    <row r="60">
      <c r="A60" s="12" t="inlineStr">
        <is>
          <t>311</t>
        </is>
      </c>
      <c r="B60" s="13" t="inlineStr">
        <is>
          <t>General</t>
        </is>
      </c>
      <c r="C60" s="5" t="n">
        <v>413</v>
      </c>
      <c r="D60" s="5" t="n">
        <v>306</v>
      </c>
      <c r="E60" s="5" t="n">
        <v>320</v>
      </c>
      <c r="F60" s="5" t="n">
        <v>395</v>
      </c>
      <c r="G60" s="5" t="n">
        <v>295</v>
      </c>
      <c r="H60" s="14">
        <f>IF(AND(ISNUMBER(C60),C60&gt;0,ISNUMBER(G60)),G60/C60-1,"")</f>
        <v/>
      </c>
    </row>
    <row r="61">
      <c r="A61" s="12" t="inlineStr">
        <is>
          <t>312</t>
        </is>
      </c>
      <c r="B61" s="13" t="inlineStr">
        <is>
          <t>General</t>
        </is>
      </c>
      <c r="C61" s="5" t="n">
        <v>194</v>
      </c>
      <c r="D61" s="5" t="n">
        <v>191</v>
      </c>
      <c r="E61" s="5" t="n">
        <v>189</v>
      </c>
      <c r="F61" s="5" t="n">
        <v>171</v>
      </c>
      <c r="G61" s="5" t="n">
        <v>178</v>
      </c>
      <c r="H61" s="14">
        <f>IF(AND(ISNUMBER(C61),C61&gt;0,ISNUMBER(G61)),G61/C61-1,"")</f>
        <v/>
      </c>
    </row>
    <row r="62">
      <c r="A62" s="12" t="inlineStr">
        <is>
          <t>313</t>
        </is>
      </c>
      <c r="B62" s="13" t="inlineStr">
        <is>
          <t>General</t>
        </is>
      </c>
      <c r="C62" s="5" t="n">
        <v>164</v>
      </c>
      <c r="D62" s="5" t="n">
        <v>189</v>
      </c>
      <c r="E62" s="5" t="n">
        <v>156</v>
      </c>
      <c r="F62" s="5" t="n">
        <v>233</v>
      </c>
      <c r="G62" s="5" t="n">
        <v>198</v>
      </c>
      <c r="H62" s="14">
        <f>IF(AND(ISNUMBER(C62),C62&gt;0,ISNUMBER(G62)),G62/C62-1,"")</f>
        <v/>
      </c>
    </row>
    <row r="63">
      <c r="A63" s="12" t="inlineStr">
        <is>
          <t>314</t>
        </is>
      </c>
      <c r="B63" s="13" t="inlineStr">
        <is>
          <t>General</t>
        </is>
      </c>
      <c r="C63" s="5" t="n">
        <v>233</v>
      </c>
      <c r="D63" s="5" t="n">
        <v>236</v>
      </c>
      <c r="E63" s="5" t="n">
        <v>235</v>
      </c>
      <c r="F63" s="5" t="n">
        <v>335</v>
      </c>
      <c r="G63" s="5" t="n">
        <v>307</v>
      </c>
      <c r="H63" s="14">
        <f>IF(AND(ISNUMBER(C63),C63&gt;0,ISNUMBER(G63)),G63/C63-1,"")</f>
        <v/>
      </c>
    </row>
    <row r="64">
      <c r="A64" s="12" t="inlineStr">
        <is>
          <t>315</t>
        </is>
      </c>
      <c r="B64" s="13" t="inlineStr">
        <is>
          <t>General</t>
        </is>
      </c>
      <c r="C64" s="5" t="n">
        <v>197</v>
      </c>
      <c r="D64" s="5" t="n">
        <v>293</v>
      </c>
      <c r="E64" s="5" t="n">
        <v>253</v>
      </c>
      <c r="F64" s="5" t="n">
        <v>321</v>
      </c>
      <c r="G64" s="5" t="n">
        <v>316</v>
      </c>
      <c r="H64" s="14">
        <f>IF(AND(ISNUMBER(C64),C64&gt;0,ISNUMBER(G64)),G64/C64-1,"")</f>
        <v/>
      </c>
    </row>
    <row r="65">
      <c r="A65" s="12" t="inlineStr">
        <is>
          <t>316</t>
        </is>
      </c>
      <c r="B65" s="13" t="inlineStr">
        <is>
          <t>General</t>
        </is>
      </c>
      <c r="C65" s="5" t="n">
        <v>11</v>
      </c>
      <c r="D65" s="5" t="n">
        <v>17</v>
      </c>
      <c r="E65" s="5" t="n">
        <v>23</v>
      </c>
      <c r="F65" s="5" t="n">
        <v>42</v>
      </c>
      <c r="G65" s="5" t="n">
        <v>72</v>
      </c>
      <c r="H65" s="14">
        <f>IF(AND(ISNUMBER(C65),C65&gt;0,ISNUMBER(G65)),G65/C65-1,"")</f>
        <v/>
      </c>
    </row>
    <row r="66">
      <c r="A66" s="12" t="inlineStr">
        <is>
          <t>317</t>
        </is>
      </c>
      <c r="B66" s="13" t="inlineStr">
        <is>
          <t>General</t>
        </is>
      </c>
      <c r="C66" s="5" t="n">
        <v>217</v>
      </c>
      <c r="D66" s="5" t="n">
        <v>298</v>
      </c>
      <c r="E66" s="5" t="n">
        <v>241</v>
      </c>
      <c r="F66" s="5" t="n">
        <v>184</v>
      </c>
      <c r="G66" s="5" t="n">
        <v>205</v>
      </c>
      <c r="H66" s="14">
        <f>IF(AND(ISNUMBER(C66),C66&gt;0,ISNUMBER(G66)),G66/C66-1,"")</f>
        <v/>
      </c>
    </row>
    <row r="67">
      <c r="A67" s="12" t="inlineStr">
        <is>
          <t>318</t>
        </is>
      </c>
      <c r="B67" s="13" t="inlineStr">
        <is>
          <t>General</t>
        </is>
      </c>
      <c r="C67" s="5" t="n">
        <v>91</v>
      </c>
      <c r="D67" s="5" t="n">
        <v>93</v>
      </c>
      <c r="E67" s="5" t="n">
        <v>101</v>
      </c>
      <c r="F67" s="5" t="n">
        <v>151</v>
      </c>
      <c r="G67" s="5" t="n">
        <v>78</v>
      </c>
      <c r="H67" s="14">
        <f>IF(AND(ISNUMBER(C67),C67&gt;0,ISNUMBER(G67)),G67/C67-1,"")</f>
        <v/>
      </c>
    </row>
    <row r="68">
      <c r="A68" s="12" t="inlineStr">
        <is>
          <t>319</t>
        </is>
      </c>
      <c r="B68" s="15" t="inlineStr">
        <is>
          <t>Draw</t>
        </is>
      </c>
      <c r="C68" s="5" t="n">
        <v>57</v>
      </c>
      <c r="D68" s="5" t="n">
        <v>106</v>
      </c>
      <c r="E68" s="5" t="n">
        <v>67</v>
      </c>
      <c r="F68" s="5" t="n">
        <v>94</v>
      </c>
      <c r="G68" s="5" t="n">
        <v>89</v>
      </c>
      <c r="H68" s="14">
        <f>IF(AND(ISNUMBER(C68),C68&gt;0,ISNUMBER(G68)),G68/C68-1,"")</f>
        <v/>
      </c>
    </row>
    <row r="69">
      <c r="A69" s="12" t="inlineStr">
        <is>
          <t>320</t>
        </is>
      </c>
      <c r="B69" s="13" t="inlineStr">
        <is>
          <t>General</t>
        </is>
      </c>
      <c r="C69" s="5" t="n">
        <v>263</v>
      </c>
      <c r="D69" s="5" t="n">
        <v>434</v>
      </c>
      <c r="E69" s="5" t="n">
        <v>393</v>
      </c>
      <c r="F69" s="5" t="n">
        <v>381</v>
      </c>
      <c r="G69" s="5" t="n">
        <v>396</v>
      </c>
      <c r="H69" s="14">
        <f>IF(AND(ISNUMBER(C69),C69&gt;0,ISNUMBER(G69)),G69/C69-1,"")</f>
        <v/>
      </c>
    </row>
    <row r="70">
      <c r="A70" s="12" t="inlineStr">
        <is>
          <t>321</t>
        </is>
      </c>
      <c r="B70" s="13" t="inlineStr">
        <is>
          <t>General</t>
        </is>
      </c>
      <c r="C70" s="5" t="n">
        <v>30</v>
      </c>
      <c r="D70" s="5" t="n">
        <v>54</v>
      </c>
      <c r="E70" s="5" t="n">
        <v>93</v>
      </c>
      <c r="F70" s="5" t="n">
        <v>65</v>
      </c>
      <c r="G70" s="5" t="n">
        <v>85</v>
      </c>
      <c r="H70" s="14">
        <f>IF(AND(ISNUMBER(C70),C70&gt;0,ISNUMBER(G70)),G70/C70-1,"")</f>
        <v/>
      </c>
    </row>
    <row r="71">
      <c r="A71" s="12" t="inlineStr">
        <is>
          <t>322</t>
        </is>
      </c>
      <c r="B71" s="13" t="inlineStr">
        <is>
          <t>General</t>
        </is>
      </c>
      <c r="C71" s="5" t="n">
        <v>239</v>
      </c>
      <c r="D71" s="5" t="n">
        <v>1304</v>
      </c>
      <c r="E71" s="5" t="n">
        <v>1248</v>
      </c>
      <c r="F71" s="5" t="n">
        <v>338</v>
      </c>
      <c r="G71" s="5" t="n">
        <v>261</v>
      </c>
      <c r="H71" s="14">
        <f>IF(AND(ISNUMBER(C71),C71&gt;0,ISNUMBER(G71)),G71/C71-1,"")</f>
        <v/>
      </c>
    </row>
    <row r="72">
      <c r="A72" s="12" t="inlineStr">
        <is>
          <t>323</t>
        </is>
      </c>
      <c r="B72" s="13" t="inlineStr">
        <is>
          <t>General</t>
        </is>
      </c>
      <c r="C72" s="5" t="n">
        <v>56</v>
      </c>
      <c r="D72" s="5" t="n"/>
      <c r="E72" s="5" t="n"/>
      <c r="F72" s="5" t="n">
        <v>474</v>
      </c>
      <c r="G72" s="5" t="n">
        <v>400</v>
      </c>
      <c r="H72" s="14">
        <f>IF(AND(ISNUMBER(C72),C72&gt;0,ISNUMBER(G72)),G72/C72-1,"")</f>
        <v/>
      </c>
    </row>
    <row r="73">
      <c r="A73" s="12" t="inlineStr">
        <is>
          <t>324</t>
        </is>
      </c>
      <c r="B73" s="13" t="inlineStr">
        <is>
          <t>General</t>
        </is>
      </c>
      <c r="C73" s="5" t="n">
        <v>60</v>
      </c>
      <c r="D73" s="5" t="n"/>
      <c r="E73" s="5" t="n"/>
      <c r="F73" s="5" t="n">
        <v>295</v>
      </c>
      <c r="G73" s="5" t="n">
        <v>274</v>
      </c>
      <c r="H73" s="14">
        <f>IF(AND(ISNUMBER(C73),C73&gt;0,ISNUMBER(G73)),G73/C73-1,"")</f>
        <v/>
      </c>
    </row>
    <row r="74">
      <c r="A74" s="12" t="inlineStr">
        <is>
          <t>325</t>
        </is>
      </c>
      <c r="B74" s="4" t="inlineStr"/>
      <c r="C74" s="5" t="n">
        <v>463</v>
      </c>
      <c r="D74" s="5" t="n"/>
      <c r="E74" s="5" t="n"/>
      <c r="F74" s="5" t="n"/>
      <c r="G74" s="5" t="n"/>
      <c r="H74" s="14">
        <f>IF(AND(ISNUMBER(C74),C74&gt;0,ISNUMBER(G74)),G74/C74-1,"")</f>
        <v/>
      </c>
    </row>
    <row r="75">
      <c r="A75" s="12" t="inlineStr">
        <is>
          <t>326</t>
        </is>
      </c>
      <c r="B75" s="4" t="inlineStr"/>
      <c r="C75" s="5" t="n">
        <v>150</v>
      </c>
      <c r="D75" s="5" t="n"/>
      <c r="E75" s="5" t="n"/>
      <c r="F75" s="5" t="n"/>
      <c r="G75" s="5" t="n"/>
      <c r="H75" s="14">
        <f>IF(AND(ISNUMBER(C75),C75&gt;0,ISNUMBER(G75)),G75/C75-1,"")</f>
        <v/>
      </c>
    </row>
    <row r="76">
      <c r="A76" s="12" t="inlineStr">
        <is>
          <t>327</t>
        </is>
      </c>
      <c r="B76" s="4" t="inlineStr"/>
      <c r="C76" s="5" t="n">
        <v>70</v>
      </c>
      <c r="D76" s="5" t="n"/>
      <c r="E76" s="5" t="n"/>
      <c r="F76" s="5" t="n"/>
      <c r="G76" s="5" t="n"/>
      <c r="H76" s="14">
        <f>IF(AND(ISNUMBER(C76),C76&gt;0,ISNUMBER(G76)),G76/C76-1,"")</f>
        <v/>
      </c>
    </row>
    <row r="77">
      <c r="A77" s="12" t="inlineStr">
        <is>
          <t>328</t>
        </is>
      </c>
      <c r="B77" s="4" t="inlineStr"/>
      <c r="C77" s="5" t="n">
        <v>57</v>
      </c>
      <c r="D77" s="5" t="n"/>
      <c r="E77" s="5" t="n"/>
      <c r="F77" s="5" t="n"/>
      <c r="G77" s="5" t="n"/>
      <c r="H77" s="14">
        <f>IF(AND(ISNUMBER(C77),C77&gt;0,ISNUMBER(G77)),G77/C77-1,"")</f>
        <v/>
      </c>
    </row>
    <row r="78">
      <c r="A78" s="12" t="inlineStr">
        <is>
          <t>329</t>
        </is>
      </c>
      <c r="B78" s="13" t="inlineStr">
        <is>
          <t>General</t>
        </is>
      </c>
      <c r="C78" s="5" t="n">
        <v>123</v>
      </c>
      <c r="D78" s="5" t="n">
        <v>116</v>
      </c>
      <c r="E78" s="5" t="n">
        <v>136</v>
      </c>
      <c r="F78" s="5" t="n">
        <v>160</v>
      </c>
      <c r="G78" s="5" t="n">
        <v>192</v>
      </c>
      <c r="H78" s="14">
        <f>IF(AND(ISNUMBER(C78),C78&gt;0,ISNUMBER(G78)),G78/C78-1,"")</f>
        <v/>
      </c>
    </row>
    <row r="79">
      <c r="A79" s="12" t="inlineStr">
        <is>
          <t>330</t>
        </is>
      </c>
      <c r="B79" s="4" t="inlineStr"/>
      <c r="C79" s="5" t="n">
        <v>200</v>
      </c>
      <c r="D79" s="5" t="n"/>
      <c r="E79" s="5" t="n"/>
      <c r="F79" s="5" t="n"/>
      <c r="G79" s="5" t="n"/>
      <c r="H79" s="14">
        <f>IF(AND(ISNUMBER(C79),C79&gt;0,ISNUMBER(G79)),G79/C79-1,"")</f>
        <v/>
      </c>
    </row>
    <row r="80">
      <c r="A80" s="12" t="inlineStr">
        <is>
          <t>331</t>
        </is>
      </c>
      <c r="B80" s="13" t="inlineStr">
        <is>
          <t>General</t>
        </is>
      </c>
      <c r="C80" s="5" t="n">
        <v>297</v>
      </c>
      <c r="D80" s="5" t="n">
        <v>345</v>
      </c>
      <c r="E80" s="5" t="n">
        <v>310</v>
      </c>
      <c r="F80" s="5" t="n">
        <v>481</v>
      </c>
      <c r="G80" s="5" t="n">
        <v>415</v>
      </c>
      <c r="H80" s="14">
        <f>IF(AND(ISNUMBER(C80),C80&gt;0,ISNUMBER(G80)),G80/C80-1,"")</f>
        <v/>
      </c>
    </row>
    <row r="81">
      <c r="A81" s="12" t="inlineStr">
        <is>
          <t>332</t>
        </is>
      </c>
      <c r="B81" s="4" t="inlineStr"/>
      <c r="C81" s="5" t="n">
        <v>49</v>
      </c>
      <c r="D81" s="5" t="n"/>
      <c r="E81" s="5" t="n"/>
      <c r="F81" s="5" t="n"/>
      <c r="G81" s="5" t="n"/>
      <c r="H81" s="14">
        <f>IF(AND(ISNUMBER(C81),C81&gt;0,ISNUMBER(G81)),G81/C81-1,"")</f>
        <v/>
      </c>
    </row>
    <row r="82">
      <c r="A82" s="12" t="inlineStr">
        <is>
          <t>333</t>
        </is>
      </c>
      <c r="B82" s="4" t="inlineStr"/>
      <c r="C82" s="5" t="n">
        <v>259</v>
      </c>
      <c r="D82" s="5" t="n"/>
      <c r="E82" s="5" t="n"/>
      <c r="F82" s="5" t="n"/>
      <c r="G82" s="5" t="n"/>
      <c r="H82" s="14">
        <f>IF(AND(ISNUMBER(C82),C82&gt;0,ISNUMBER(G82)),G82/C82-1,"")</f>
        <v/>
      </c>
    </row>
    <row r="83">
      <c r="A83" s="12" t="inlineStr">
        <is>
          <t>334</t>
        </is>
      </c>
      <c r="B83" s="4" t="inlineStr"/>
      <c r="C83" s="5" t="n">
        <v>20</v>
      </c>
      <c r="D83" s="5" t="n"/>
      <c r="E83" s="5" t="n"/>
      <c r="F83" s="5" t="n"/>
      <c r="G83" s="5" t="n"/>
      <c r="H83" s="14">
        <f>IF(AND(ISNUMBER(C83),C83&gt;0,ISNUMBER(G83)),G83/C83-1,"")</f>
        <v/>
      </c>
    </row>
    <row r="84">
      <c r="A84" s="12" t="inlineStr">
        <is>
          <t>335</t>
        </is>
      </c>
      <c r="B84" s="13" t="inlineStr">
        <is>
          <t>General</t>
        </is>
      </c>
      <c r="C84" s="5" t="n">
        <v>206</v>
      </c>
      <c r="D84" s="5" t="n">
        <v>249</v>
      </c>
      <c r="E84" s="5" t="n">
        <v>245</v>
      </c>
      <c r="F84" s="5" t="n">
        <v>244</v>
      </c>
      <c r="G84" s="5" t="n">
        <v>256</v>
      </c>
      <c r="H84" s="14">
        <f>IF(AND(ISNUMBER(C84),C84&gt;0,ISNUMBER(G84)),G84/C84-1,"")</f>
        <v/>
      </c>
    </row>
    <row r="85">
      <c r="A85" s="12" t="inlineStr">
        <is>
          <t>339</t>
        </is>
      </c>
      <c r="B85" s="13" t="inlineStr">
        <is>
          <t>General</t>
        </is>
      </c>
      <c r="C85" s="5" t="n">
        <v>105</v>
      </c>
      <c r="D85" s="5" t="n">
        <v>110</v>
      </c>
      <c r="E85" s="5" t="n">
        <v>111</v>
      </c>
      <c r="F85" s="5" t="n">
        <v>121</v>
      </c>
      <c r="G85" s="5" t="n">
        <v>132</v>
      </c>
      <c r="H85" s="14">
        <f>IF(AND(ISNUMBER(C85),C85&gt;0,ISNUMBER(G85)),G85/C85-1,"")</f>
        <v/>
      </c>
    </row>
    <row r="86">
      <c r="A86" s="12" t="inlineStr">
        <is>
          <t>340</t>
        </is>
      </c>
      <c r="B86" s="13" t="inlineStr">
        <is>
          <t>General</t>
        </is>
      </c>
      <c r="C86" s="5" t="n">
        <v>355</v>
      </c>
      <c r="D86" s="5" t="n">
        <v>187</v>
      </c>
      <c r="E86" s="5" t="n">
        <v>221</v>
      </c>
      <c r="F86" s="5" t="n">
        <v>307</v>
      </c>
      <c r="G86" s="5" t="n">
        <v>273</v>
      </c>
      <c r="H86" s="14">
        <f>IF(AND(ISNUMBER(C86),C86&gt;0,ISNUMBER(G86)),G86/C86-1,"")</f>
        <v/>
      </c>
    </row>
    <row r="87">
      <c r="A87" s="12" t="inlineStr">
        <is>
          <t>341</t>
        </is>
      </c>
      <c r="B87" s="4" t="inlineStr"/>
      <c r="C87" s="5" t="n">
        <v>113</v>
      </c>
      <c r="D87" s="5" t="n"/>
      <c r="E87" s="5" t="n"/>
      <c r="F87" s="5" t="n"/>
      <c r="G87" s="5" t="n"/>
      <c r="H87" s="14">
        <f>IF(AND(ISNUMBER(C87),C87&gt;0,ISNUMBER(G87)),G87/C87-1,"")</f>
        <v/>
      </c>
    </row>
    <row r="88">
      <c r="A88" s="12" t="inlineStr">
        <is>
          <t>343</t>
        </is>
      </c>
      <c r="B88" s="13" t="inlineStr">
        <is>
          <t>General</t>
        </is>
      </c>
      <c r="C88" s="5" t="n">
        <v>107</v>
      </c>
      <c r="D88" s="5" t="n">
        <v>104</v>
      </c>
      <c r="E88" s="5" t="n">
        <v>172</v>
      </c>
      <c r="F88" s="5" t="n">
        <v>201</v>
      </c>
      <c r="G88" s="5" t="n">
        <v>190</v>
      </c>
      <c r="H88" s="14">
        <f>IF(AND(ISNUMBER(C88),C88&gt;0,ISNUMBER(G88)),G88/C88-1,"")</f>
        <v/>
      </c>
    </row>
    <row r="89">
      <c r="A89" s="12" t="inlineStr">
        <is>
          <t>350</t>
        </is>
      </c>
      <c r="B89" s="13" t="inlineStr">
        <is>
          <t>General</t>
        </is>
      </c>
      <c r="C89" s="5" t="n">
        <v>56</v>
      </c>
      <c r="D89" s="5" t="n">
        <v>122</v>
      </c>
      <c r="E89" s="5" t="n">
        <v>111</v>
      </c>
      <c r="F89" s="5" t="n">
        <v>125</v>
      </c>
      <c r="G89" s="5" t="n">
        <v>134</v>
      </c>
      <c r="H89" s="14">
        <f>IF(AND(ISNUMBER(C89),C89&gt;0,ISNUMBER(G89)),G89/C89-1,"")</f>
        <v/>
      </c>
    </row>
    <row r="90">
      <c r="A90" s="12" t="inlineStr">
        <is>
          <t>360</t>
        </is>
      </c>
      <c r="B90" s="13" t="inlineStr">
        <is>
          <t>General</t>
        </is>
      </c>
      <c r="C90" s="5" t="n">
        <v>141</v>
      </c>
      <c r="D90" s="5" t="n">
        <v>198</v>
      </c>
      <c r="E90" s="5" t="n">
        <v>182</v>
      </c>
      <c r="F90" s="5" t="n">
        <v>221</v>
      </c>
      <c r="G90" s="5" t="n">
        <v>221</v>
      </c>
      <c r="H90" s="14">
        <f>IF(AND(ISNUMBER(C90),C90&gt;0,ISNUMBER(G90)),G90/C90-1,"")</f>
        <v/>
      </c>
    </row>
    <row r="91">
      <c r="A91" s="12" t="inlineStr">
        <is>
          <t>361</t>
        </is>
      </c>
      <c r="B91" s="13" t="inlineStr">
        <is>
          <t>General</t>
        </is>
      </c>
      <c r="C91" s="5" t="n">
        <v>38</v>
      </c>
      <c r="D91" s="5" t="n">
        <v>28</v>
      </c>
      <c r="E91" s="5" t="n">
        <v>17</v>
      </c>
      <c r="F91" s="5" t="n">
        <v>29</v>
      </c>
      <c r="G91" s="5" t="n">
        <v>37</v>
      </c>
      <c r="H91" s="14">
        <f>IF(AND(ISNUMBER(C91),C91&gt;0,ISNUMBER(G91)),G91/C91-1,"")</f>
        <v/>
      </c>
    </row>
    <row r="92">
      <c r="A92" s="12" t="inlineStr">
        <is>
          <t>362</t>
        </is>
      </c>
      <c r="B92" s="4" t="inlineStr"/>
      <c r="C92" s="5" t="n">
        <v>37</v>
      </c>
      <c r="D92" s="5" t="n"/>
      <c r="E92" s="5" t="n"/>
      <c r="F92" s="5" t="n"/>
      <c r="G92" s="5" t="n"/>
      <c r="H92" s="14">
        <f>IF(AND(ISNUMBER(C92),C92&gt;0,ISNUMBER(G92)),G92/C92-1,"")</f>
        <v/>
      </c>
    </row>
    <row r="93">
      <c r="A93" s="12" t="inlineStr">
        <is>
          <t>370</t>
        </is>
      </c>
      <c r="B93" s="13" t="inlineStr">
        <is>
          <t>General</t>
        </is>
      </c>
      <c r="C93" s="5" t="n">
        <v>38</v>
      </c>
      <c r="D93" s="5" t="n">
        <v>49</v>
      </c>
      <c r="E93" s="5" t="n">
        <v>78</v>
      </c>
      <c r="F93" s="5" t="n">
        <v>81</v>
      </c>
      <c r="G93" s="5" t="n">
        <v>58</v>
      </c>
      <c r="H93" s="14">
        <f>IF(AND(ISNUMBER(C93),C93&gt;0,ISNUMBER(G93)),G93/C93-1,"")</f>
        <v/>
      </c>
    </row>
    <row r="94">
      <c r="A94" s="12" t="inlineStr">
        <is>
          <t>380</t>
        </is>
      </c>
      <c r="B94" s="15" t="inlineStr">
        <is>
          <t>Draw</t>
        </is>
      </c>
      <c r="C94" s="5" t="n">
        <v>383</v>
      </c>
      <c r="D94" s="5" t="n">
        <v>325</v>
      </c>
      <c r="E94" s="5" t="n">
        <v>337</v>
      </c>
      <c r="F94" s="5" t="n">
        <v>371</v>
      </c>
      <c r="G94" s="5" t="n">
        <v>357</v>
      </c>
      <c r="H94" s="14">
        <f>IF(AND(ISNUMBER(C94),C94&gt;0,ISNUMBER(G94)),G94/C94-1,"")</f>
        <v/>
      </c>
    </row>
    <row r="95">
      <c r="A95" s="12" t="inlineStr">
        <is>
          <t>388</t>
        </is>
      </c>
      <c r="B95" s="13" t="inlineStr">
        <is>
          <t>General</t>
        </is>
      </c>
      <c r="C95" s="5" t="n">
        <v>79</v>
      </c>
      <c r="D95" s="5" t="n">
        <v>97</v>
      </c>
      <c r="E95" s="5" t="n">
        <v>117</v>
      </c>
      <c r="F95" s="5" t="n">
        <v>161</v>
      </c>
      <c r="G95" s="5" t="n">
        <v>88</v>
      </c>
      <c r="H95" s="14">
        <f>IF(AND(ISNUMBER(C95),C95&gt;0,ISNUMBER(G95)),G95/C95-1,"")</f>
        <v/>
      </c>
    </row>
    <row r="96">
      <c r="A96" s="12" t="inlineStr">
        <is>
          <t>390</t>
        </is>
      </c>
      <c r="B96" s="13" t="inlineStr">
        <is>
          <t>General</t>
        </is>
      </c>
      <c r="C96" s="5" t="n">
        <v>150</v>
      </c>
      <c r="D96" s="5" t="n">
        <v>150</v>
      </c>
      <c r="E96" s="5" t="n">
        <v>150</v>
      </c>
      <c r="F96" s="5" t="n">
        <v>147</v>
      </c>
      <c r="G96" s="5" t="n">
        <v>162</v>
      </c>
      <c r="H96" s="14">
        <f>IF(AND(ISNUMBER(C96),C96&gt;0,ISNUMBER(G96)),G96/C96-1,"")</f>
        <v/>
      </c>
    </row>
    <row r="97">
      <c r="A97" s="12" t="inlineStr">
        <is>
          <t>391</t>
        </is>
      </c>
      <c r="B97" s="13" t="inlineStr">
        <is>
          <t>General</t>
        </is>
      </c>
      <c r="C97" s="5" t="n">
        <v>399</v>
      </c>
      <c r="D97" s="5" t="n">
        <v>365</v>
      </c>
      <c r="E97" s="5" t="n">
        <v>384</v>
      </c>
      <c r="F97" s="5" t="n">
        <v>432</v>
      </c>
      <c r="G97" s="5" t="n">
        <v>447</v>
      </c>
      <c r="H97" s="14">
        <f>IF(AND(ISNUMBER(C97),C97&gt;0,ISNUMBER(G97)),G97/C97-1,"")</f>
        <v/>
      </c>
    </row>
    <row r="98">
      <c r="A98" s="12" t="inlineStr">
        <is>
          <t>392</t>
        </is>
      </c>
      <c r="B98" s="15" t="inlineStr">
        <is>
          <t>Draw</t>
        </is>
      </c>
      <c r="C98" s="5" t="n">
        <v>207</v>
      </c>
      <c r="D98" s="5" t="n">
        <v>235</v>
      </c>
      <c r="E98" s="5" t="n">
        <v>233</v>
      </c>
      <c r="F98" s="5" t="n">
        <v>211</v>
      </c>
      <c r="G98" s="5" t="n">
        <v>327</v>
      </c>
      <c r="H98" s="14">
        <f>IF(AND(ISNUMBER(C98),C98&gt;0,ISNUMBER(G98)),G98/C98-1,"")</f>
        <v/>
      </c>
    </row>
    <row r="99">
      <c r="A99" s="12" t="inlineStr">
        <is>
          <t>393</t>
        </is>
      </c>
      <c r="B99" s="13" t="inlineStr">
        <is>
          <t>General</t>
        </is>
      </c>
      <c r="C99" s="5" t="n">
        <v>354</v>
      </c>
      <c r="D99" s="5" t="n">
        <v>332</v>
      </c>
      <c r="E99" s="5" t="n">
        <v>375</v>
      </c>
      <c r="F99" s="5" t="n">
        <v>345</v>
      </c>
      <c r="G99" s="5" t="n">
        <v>353</v>
      </c>
      <c r="H99" s="14">
        <f>IF(AND(ISNUMBER(C99),C99&gt;0,ISNUMBER(G99)),G99/C99-1,"")</f>
        <v/>
      </c>
    </row>
    <row r="100">
      <c r="A100" s="12" t="inlineStr">
        <is>
          <t>400</t>
        </is>
      </c>
      <c r="B100" s="13" t="inlineStr">
        <is>
          <t>General</t>
        </is>
      </c>
      <c r="C100" s="5" t="n">
        <v>788</v>
      </c>
      <c r="D100" s="5" t="n">
        <v>642</v>
      </c>
      <c r="E100" s="5" t="n">
        <v>849</v>
      </c>
      <c r="F100" s="5" t="n">
        <v>759</v>
      </c>
      <c r="G100" s="5" t="n">
        <v>725</v>
      </c>
      <c r="H100" s="14">
        <f>IF(AND(ISNUMBER(C100),C100&gt;0,ISNUMBER(G100)),G100/C100-1,"")</f>
        <v/>
      </c>
    </row>
    <row r="101">
      <c r="A101" s="12" t="inlineStr">
        <is>
          <t>401</t>
        </is>
      </c>
      <c r="B101" s="13" t="inlineStr">
        <is>
          <t>General</t>
        </is>
      </c>
      <c r="C101" s="5" t="n">
        <v>517</v>
      </c>
      <c r="D101" s="5" t="n">
        <v>511</v>
      </c>
      <c r="E101" s="5" t="n">
        <v>480</v>
      </c>
      <c r="F101" s="5" t="n">
        <v>443</v>
      </c>
      <c r="G101" s="5" t="n">
        <v>467</v>
      </c>
      <c r="H101" s="14">
        <f>IF(AND(ISNUMBER(C101),C101&gt;0,ISNUMBER(G101)),G101/C101-1,"")</f>
        <v/>
      </c>
    </row>
    <row r="102">
      <c r="A102" s="12" t="inlineStr">
        <is>
          <t>403</t>
        </is>
      </c>
      <c r="B102" s="13" t="inlineStr">
        <is>
          <t>General</t>
        </is>
      </c>
      <c r="C102" s="5" t="n">
        <v>167</v>
      </c>
      <c r="D102" s="5" t="n">
        <v>198</v>
      </c>
      <c r="E102" s="5" t="n">
        <v>206</v>
      </c>
      <c r="F102" s="5" t="n">
        <v>243</v>
      </c>
      <c r="G102" s="5" t="n">
        <v>183</v>
      </c>
      <c r="H102" s="14">
        <f>IF(AND(ISNUMBER(C102),C102&gt;0,ISNUMBER(G102)),G102/C102-1,"")</f>
        <v/>
      </c>
    </row>
    <row r="103">
      <c r="A103" s="12" t="inlineStr">
        <is>
          <t>404</t>
        </is>
      </c>
      <c r="B103" s="13" t="inlineStr">
        <is>
          <t>General</t>
        </is>
      </c>
      <c r="C103" s="5" t="n">
        <v>651</v>
      </c>
      <c r="D103" s="5" t="n">
        <v>496</v>
      </c>
      <c r="E103" s="5" t="n">
        <v>636</v>
      </c>
      <c r="F103" s="5" t="n">
        <v>653</v>
      </c>
      <c r="G103" s="5" t="n">
        <v>491</v>
      </c>
      <c r="H103" s="14">
        <f>IF(AND(ISNUMBER(C103),C103&gt;0,ISNUMBER(G103)),G103/C103-1,"")</f>
        <v/>
      </c>
    </row>
    <row r="104">
      <c r="A104" s="12" t="inlineStr">
        <is>
          <t>405</t>
        </is>
      </c>
      <c r="B104" s="13" t="inlineStr">
        <is>
          <t>General</t>
        </is>
      </c>
      <c r="C104" s="5" t="n">
        <v>574</v>
      </c>
      <c r="D104" s="5" t="n">
        <v>682</v>
      </c>
      <c r="E104" s="5" t="n">
        <v>583</v>
      </c>
      <c r="F104" s="5" t="n">
        <v>698</v>
      </c>
      <c r="G104" s="5" t="n">
        <v>588</v>
      </c>
      <c r="H104" s="14">
        <f>IF(AND(ISNUMBER(C104),C104&gt;0,ISNUMBER(G104)),G104/C104-1,"")</f>
        <v/>
      </c>
    </row>
    <row r="105">
      <c r="A105" s="12" t="inlineStr">
        <is>
          <t>406</t>
        </is>
      </c>
      <c r="B105" s="13" t="inlineStr">
        <is>
          <t>General</t>
        </is>
      </c>
      <c r="C105" s="5" t="n">
        <v>210</v>
      </c>
      <c r="D105" s="5" t="n">
        <v>262</v>
      </c>
      <c r="E105" s="5" t="n">
        <v>275</v>
      </c>
      <c r="F105" s="5" t="n">
        <v>297</v>
      </c>
      <c r="G105" s="5" t="n">
        <v>239</v>
      </c>
      <c r="H105" s="14">
        <f>IF(AND(ISNUMBER(C105),C105&gt;0,ISNUMBER(G105)),G105/C105-1,"")</f>
        <v/>
      </c>
    </row>
    <row r="106">
      <c r="A106" s="12" t="inlineStr">
        <is>
          <t>410</t>
        </is>
      </c>
      <c r="B106" s="15" t="inlineStr">
        <is>
          <t>Draw</t>
        </is>
      </c>
      <c r="C106" s="5" t="n">
        <v>538</v>
      </c>
      <c r="D106" s="5" t="n">
        <v>418</v>
      </c>
      <c r="E106" s="5" t="n">
        <v>373</v>
      </c>
      <c r="F106" s="5" t="n">
        <v>79</v>
      </c>
      <c r="G106" s="5" t="n">
        <v>92</v>
      </c>
      <c r="H106" s="14">
        <f>IF(AND(ISNUMBER(C106),C106&gt;0,ISNUMBER(G106)),G106/C106-1,"")</f>
        <v/>
      </c>
    </row>
    <row r="107">
      <c r="A107" s="12" t="inlineStr">
        <is>
          <t>411</t>
        </is>
      </c>
      <c r="B107" s="13" t="inlineStr">
        <is>
          <t>General</t>
        </is>
      </c>
      <c r="C107" s="5" t="n">
        <v>635</v>
      </c>
      <c r="D107" s="5" t="n">
        <v>435</v>
      </c>
      <c r="E107" s="5" t="n">
        <v>433</v>
      </c>
      <c r="F107" s="5" t="n">
        <v>439</v>
      </c>
      <c r="G107" s="5" t="n">
        <v>394</v>
      </c>
      <c r="H107" s="14">
        <f>IF(AND(ISNUMBER(C107),C107&gt;0,ISNUMBER(G107)),G107/C107-1,"")</f>
        <v/>
      </c>
    </row>
    <row r="108">
      <c r="A108" s="12" t="inlineStr">
        <is>
          <t>412</t>
        </is>
      </c>
      <c r="B108" s="13" t="inlineStr">
        <is>
          <t>General</t>
        </is>
      </c>
      <c r="C108" s="5" t="n">
        <v>524</v>
      </c>
      <c r="D108" s="5" t="n">
        <v>467</v>
      </c>
      <c r="E108" s="5" t="n">
        <v>393</v>
      </c>
      <c r="F108" s="5" t="n">
        <v>361</v>
      </c>
      <c r="G108" s="5" t="n">
        <v>353</v>
      </c>
      <c r="H108" s="14">
        <f>IF(AND(ISNUMBER(C108),C108&gt;0,ISNUMBER(G108)),G108/C108-1,"")</f>
        <v/>
      </c>
    </row>
    <row r="109">
      <c r="A109" s="12" t="inlineStr">
        <is>
          <t>413</t>
        </is>
      </c>
      <c r="B109" s="13" t="inlineStr">
        <is>
          <t>General</t>
        </is>
      </c>
      <c r="C109" s="5" t="n">
        <v>532</v>
      </c>
      <c r="D109" s="5" t="n">
        <v>776</v>
      </c>
      <c r="E109" s="5" t="n">
        <v>732</v>
      </c>
      <c r="F109" s="5" t="n">
        <v>754</v>
      </c>
      <c r="G109" s="5" t="n">
        <v>564</v>
      </c>
      <c r="H109" s="14">
        <f>IF(AND(ISNUMBER(C109),C109&gt;0,ISNUMBER(G109)),G109/C109-1,"")</f>
        <v/>
      </c>
    </row>
    <row r="110">
      <c r="A110" s="12" t="inlineStr">
        <is>
          <t>415</t>
        </is>
      </c>
      <c r="B110" s="13" t="inlineStr">
        <is>
          <t>General</t>
        </is>
      </c>
      <c r="C110" s="5" t="n">
        <v>8</v>
      </c>
      <c r="D110" s="5" t="n">
        <v>7</v>
      </c>
      <c r="E110" s="5" t="n">
        <v>24</v>
      </c>
      <c r="F110" s="5" t="n">
        <v>18</v>
      </c>
      <c r="G110" s="5" t="n">
        <v>11</v>
      </c>
      <c r="H110" s="14">
        <f>IF(AND(ISNUMBER(C110),C110&gt;0,ISNUMBER(G110)),G110/C110-1,"")</f>
        <v/>
      </c>
    </row>
    <row r="111">
      <c r="A111" s="12" t="inlineStr">
        <is>
          <t>416</t>
        </is>
      </c>
      <c r="B111" s="13" t="inlineStr">
        <is>
          <t>General</t>
        </is>
      </c>
      <c r="C111" s="5" t="n">
        <v>247</v>
      </c>
      <c r="D111" s="5" t="n">
        <v>353</v>
      </c>
      <c r="E111" s="5" t="n">
        <v>319</v>
      </c>
      <c r="F111" s="5" t="n">
        <v>291</v>
      </c>
      <c r="G111" s="5" t="n">
        <v>267</v>
      </c>
      <c r="H111" s="14">
        <f>IF(AND(ISNUMBER(C111),C111&gt;0,ISNUMBER(G111)),G111/C111-1,"")</f>
        <v/>
      </c>
    </row>
    <row r="112">
      <c r="A112" s="12" t="inlineStr">
        <is>
          <t>417</t>
        </is>
      </c>
      <c r="B112" s="15" t="inlineStr">
        <is>
          <t>Draw</t>
        </is>
      </c>
      <c r="C112" s="5" t="n">
        <v>519</v>
      </c>
      <c r="D112" s="5" t="n">
        <v>339</v>
      </c>
      <c r="E112" s="5" t="n">
        <v>262</v>
      </c>
      <c r="F112" s="5" t="n">
        <v>74</v>
      </c>
      <c r="G112" s="5" t="n">
        <v>93</v>
      </c>
      <c r="H112" s="14">
        <f>IF(AND(ISNUMBER(C112),C112&gt;0,ISNUMBER(G112)),G112/C112-1,"")</f>
        <v/>
      </c>
    </row>
    <row r="113">
      <c r="A113" s="12" t="inlineStr">
        <is>
          <t>418</t>
        </is>
      </c>
      <c r="B113" s="13" t="inlineStr">
        <is>
          <t>General</t>
        </is>
      </c>
      <c r="C113" s="5" t="n">
        <v>163</v>
      </c>
      <c r="D113" s="5" t="n">
        <v>97</v>
      </c>
      <c r="E113" s="5" t="n">
        <v>105</v>
      </c>
      <c r="F113" s="5" t="n">
        <v>150</v>
      </c>
      <c r="G113" s="5" t="n">
        <v>119</v>
      </c>
      <c r="H113" s="14">
        <f>IF(AND(ISNUMBER(C113),C113&gt;0,ISNUMBER(G113)),G113/C113-1,"")</f>
        <v/>
      </c>
    </row>
    <row r="114">
      <c r="A114" s="12" t="inlineStr">
        <is>
          <t>419</t>
        </is>
      </c>
      <c r="B114" s="13" t="inlineStr">
        <is>
          <t>General</t>
        </is>
      </c>
      <c r="C114" s="5" t="n">
        <v>234</v>
      </c>
      <c r="D114" s="5" t="n">
        <v>242</v>
      </c>
      <c r="E114" s="5" t="n">
        <v>255</v>
      </c>
      <c r="F114" s="5" t="n">
        <v>316</v>
      </c>
      <c r="G114" s="5" t="n">
        <v>278</v>
      </c>
      <c r="H114" s="14">
        <f>IF(AND(ISNUMBER(C114),C114&gt;0,ISNUMBER(G114)),G114/C114-1,"")</f>
        <v/>
      </c>
    </row>
    <row r="115">
      <c r="A115" s="12" t="inlineStr">
        <is>
          <t>420</t>
        </is>
      </c>
      <c r="B115" s="13" t="inlineStr">
        <is>
          <t>General</t>
        </is>
      </c>
      <c r="C115" s="5" t="n">
        <v>81</v>
      </c>
      <c r="D115" s="5" t="n">
        <v>40</v>
      </c>
      <c r="E115" s="5" t="n">
        <v>66</v>
      </c>
      <c r="F115" s="5" t="n">
        <v>71</v>
      </c>
      <c r="G115" s="5" t="n">
        <v>78</v>
      </c>
      <c r="H115" s="14">
        <f>IF(AND(ISNUMBER(C115),C115&gt;0,ISNUMBER(G115)),G115/C115-1,"")</f>
        <v/>
      </c>
    </row>
    <row r="116">
      <c r="A116" s="12" t="inlineStr">
        <is>
          <t>421</t>
        </is>
      </c>
      <c r="B116" s="13" t="inlineStr">
        <is>
          <t>General</t>
        </is>
      </c>
      <c r="C116" s="5" t="n">
        <v>185</v>
      </c>
      <c r="D116" s="5" t="n">
        <v>296</v>
      </c>
      <c r="E116" s="5" t="n">
        <v>370</v>
      </c>
      <c r="F116" s="5" t="n">
        <v>413</v>
      </c>
      <c r="G116" s="5" t="n">
        <v>403</v>
      </c>
      <c r="H116" s="14">
        <f>IF(AND(ISNUMBER(C116),C116&gt;0,ISNUMBER(G116)),G116/C116-1,"")</f>
        <v/>
      </c>
    </row>
    <row r="117">
      <c r="A117" s="12" t="inlineStr">
        <is>
          <t>422</t>
        </is>
      </c>
      <c r="B117" s="13" t="inlineStr">
        <is>
          <t>General</t>
        </is>
      </c>
      <c r="C117" s="5" t="n">
        <v>91</v>
      </c>
      <c r="D117" s="5" t="n">
        <v>80</v>
      </c>
      <c r="E117" s="5" t="n">
        <v>141</v>
      </c>
      <c r="F117" s="5" t="n">
        <v>136</v>
      </c>
      <c r="G117" s="5" t="n">
        <v>119</v>
      </c>
      <c r="H117" s="14">
        <f>IF(AND(ISNUMBER(C117),C117&gt;0,ISNUMBER(G117)),G117/C117-1,"")</f>
        <v/>
      </c>
    </row>
    <row r="118">
      <c r="A118" s="12" t="inlineStr">
        <is>
          <t>423</t>
        </is>
      </c>
      <c r="B118" s="4" t="inlineStr"/>
      <c r="C118" s="5" t="n">
        <v>121</v>
      </c>
      <c r="D118" s="5" t="n"/>
      <c r="E118" s="5" t="n"/>
      <c r="F118" s="5" t="n"/>
      <c r="G118" s="5" t="n"/>
      <c r="H118" s="14">
        <f>IF(AND(ISNUMBER(C118),C118&gt;0,ISNUMBER(G118)),G118/C118-1,"")</f>
        <v/>
      </c>
    </row>
    <row r="119">
      <c r="A119" s="12" t="inlineStr">
        <is>
          <t>424</t>
        </is>
      </c>
      <c r="B119" s="13" t="inlineStr">
        <is>
          <t>General</t>
        </is>
      </c>
      <c r="C119" s="5" t="n">
        <v>11</v>
      </c>
      <c r="D119" s="5" t="n">
        <v>29</v>
      </c>
      <c r="E119" s="5" t="n">
        <v>32</v>
      </c>
      <c r="F119" s="5" t="n">
        <v>36</v>
      </c>
      <c r="G119" s="5" t="n">
        <v>37</v>
      </c>
      <c r="H119" s="14">
        <f>IF(AND(ISNUMBER(C119),C119&gt;0,ISNUMBER(G119)),G119/C119-1,"")</f>
        <v/>
      </c>
    </row>
    <row r="120">
      <c r="A120" s="12" t="inlineStr">
        <is>
          <t>425</t>
        </is>
      </c>
      <c r="B120" s="13" t="inlineStr">
        <is>
          <t>General</t>
        </is>
      </c>
      <c r="C120" s="5" t="n">
        <v>76</v>
      </c>
      <c r="D120" s="5" t="n">
        <v>99</v>
      </c>
      <c r="E120" s="5" t="n">
        <v>148</v>
      </c>
      <c r="F120" s="5" t="n">
        <v>130</v>
      </c>
      <c r="G120" s="5" t="n">
        <v>89</v>
      </c>
      <c r="H120" s="14">
        <f>IF(AND(ISNUMBER(C120),C120&gt;0,ISNUMBER(G120)),G120/C120-1,"")</f>
        <v/>
      </c>
    </row>
    <row r="121">
      <c r="A121" s="12" t="inlineStr">
        <is>
          <t>426</t>
        </is>
      </c>
      <c r="B121" s="13" t="inlineStr">
        <is>
          <t>General</t>
        </is>
      </c>
      <c r="C121" s="5" t="n">
        <v>725</v>
      </c>
      <c r="D121" s="5" t="n">
        <v>556</v>
      </c>
      <c r="E121" s="5" t="n">
        <v>519</v>
      </c>
      <c r="F121" s="5" t="n">
        <v>498</v>
      </c>
      <c r="G121" s="5" t="n">
        <v>335</v>
      </c>
      <c r="H121" s="14">
        <f>IF(AND(ISNUMBER(C121),C121&gt;0,ISNUMBER(G121)),G121/C121-1,"")</f>
        <v/>
      </c>
    </row>
    <row r="122">
      <c r="A122" s="12" t="inlineStr">
        <is>
          <t>432</t>
        </is>
      </c>
      <c r="B122" s="13" t="inlineStr">
        <is>
          <t>General</t>
        </is>
      </c>
      <c r="C122" s="5" t="n">
        <v>208</v>
      </c>
      <c r="D122" s="5" t="n"/>
      <c r="E122" s="5" t="n"/>
      <c r="F122" s="5" t="n"/>
      <c r="G122" s="5" t="n"/>
      <c r="H122" s="14">
        <f>IF(AND(ISNUMBER(C122),C122&gt;0,ISNUMBER(G122)),G122/C122-1,"")</f>
        <v/>
      </c>
    </row>
    <row r="123">
      <c r="A123" s="12" t="inlineStr">
        <is>
          <t>441</t>
        </is>
      </c>
      <c r="B123" s="13" t="inlineStr">
        <is>
          <t>General</t>
        </is>
      </c>
      <c r="C123" s="5" t="n">
        <v>77</v>
      </c>
      <c r="D123" s="5" t="n">
        <v>71</v>
      </c>
      <c r="E123" s="5" t="n">
        <v>147</v>
      </c>
      <c r="F123" s="5" t="n">
        <v>125</v>
      </c>
      <c r="G123" s="5" t="n">
        <v>99</v>
      </c>
      <c r="H123" s="14">
        <f>IF(AND(ISNUMBER(C123),C123&gt;0,ISNUMBER(G123)),G123/C123-1,"")</f>
        <v/>
      </c>
    </row>
    <row r="124">
      <c r="A124" s="12" t="inlineStr">
        <is>
          <t>442</t>
        </is>
      </c>
      <c r="B124" s="13" t="inlineStr">
        <is>
          <t>General</t>
        </is>
      </c>
      <c r="C124" s="5" t="n">
        <v>51</v>
      </c>
      <c r="D124" s="5" t="n">
        <v>22</v>
      </c>
      <c r="E124" s="5" t="n">
        <v>50</v>
      </c>
      <c r="F124" s="5" t="n">
        <v>37</v>
      </c>
      <c r="G124" s="5" t="n">
        <v>27</v>
      </c>
      <c r="H124" s="14">
        <f>IF(AND(ISNUMBER(C124),C124&gt;0,ISNUMBER(G124)),G124/C124-1,"")</f>
        <v/>
      </c>
    </row>
    <row r="125">
      <c r="A125" s="12" t="inlineStr">
        <is>
          <t>444</t>
        </is>
      </c>
      <c r="B125" s="13" t="inlineStr">
        <is>
          <t>General</t>
        </is>
      </c>
      <c r="C125" s="5" t="n">
        <v>121</v>
      </c>
      <c r="D125" s="5" t="n">
        <v>147</v>
      </c>
      <c r="E125" s="5" t="n">
        <v>139</v>
      </c>
      <c r="F125" s="5" t="n">
        <v>159</v>
      </c>
      <c r="G125" s="5" t="n">
        <v>101</v>
      </c>
      <c r="H125" s="14">
        <f>IF(AND(ISNUMBER(C125),C125&gt;0,ISNUMBER(G125)),G125/C125-1,"")</f>
        <v/>
      </c>
    </row>
    <row r="126">
      <c r="A126" s="12" t="inlineStr">
        <is>
          <t>445</t>
        </is>
      </c>
      <c r="B126" s="13" t="inlineStr">
        <is>
          <t>General</t>
        </is>
      </c>
      <c r="C126" s="5" t="n">
        <v>283</v>
      </c>
      <c r="D126" s="5" t="n">
        <v>249</v>
      </c>
      <c r="E126" s="5" t="n">
        <v>242</v>
      </c>
      <c r="F126" s="5" t="n">
        <v>319</v>
      </c>
      <c r="G126" s="5" t="n">
        <v>221</v>
      </c>
      <c r="H126" s="14">
        <f>IF(AND(ISNUMBER(C126),C126&gt;0,ISNUMBER(G126)),G126/C126-1,"")</f>
        <v/>
      </c>
    </row>
    <row r="127">
      <c r="A127" s="12" t="inlineStr">
        <is>
          <t>446</t>
        </is>
      </c>
      <c r="B127" s="13" t="inlineStr">
        <is>
          <t>General</t>
        </is>
      </c>
      <c r="C127" s="5" t="n">
        <v>140</v>
      </c>
      <c r="D127" s="5" t="n">
        <v>81</v>
      </c>
      <c r="E127" s="5" t="n">
        <v>127</v>
      </c>
      <c r="F127" s="5" t="n">
        <v>136</v>
      </c>
      <c r="G127" s="5" t="n">
        <v>108</v>
      </c>
      <c r="H127" s="14">
        <f>IF(AND(ISNUMBER(C127),C127&gt;0,ISNUMBER(G127)),G127/C127-1,"")</f>
        <v/>
      </c>
    </row>
    <row r="128">
      <c r="A128" s="12" t="inlineStr">
        <is>
          <t>447</t>
        </is>
      </c>
      <c r="B128" s="13" t="inlineStr">
        <is>
          <t>General</t>
        </is>
      </c>
      <c r="C128" s="5" t="n">
        <v>681</v>
      </c>
      <c r="D128" s="5" t="n">
        <v>630</v>
      </c>
      <c r="E128" s="5" t="n">
        <v>602</v>
      </c>
      <c r="F128" s="5" t="n">
        <v>581</v>
      </c>
      <c r="G128" s="5" t="n">
        <v>431</v>
      </c>
      <c r="H128" s="14">
        <f>IF(AND(ISNUMBER(C128),C128&gt;0,ISNUMBER(G128)),G128/C128-1,"")</f>
        <v/>
      </c>
    </row>
    <row r="129">
      <c r="A129" s="12" t="inlineStr">
        <is>
          <t>448</t>
        </is>
      </c>
      <c r="B129" s="13" t="inlineStr">
        <is>
          <t>General</t>
        </is>
      </c>
      <c r="C129" s="5" t="n">
        <v>126</v>
      </c>
      <c r="D129" s="5" t="n">
        <v>144</v>
      </c>
      <c r="E129" s="5" t="n">
        <v>172</v>
      </c>
      <c r="F129" s="5" t="n">
        <v>174</v>
      </c>
      <c r="G129" s="5" t="n">
        <v>213</v>
      </c>
      <c r="H129" s="14">
        <f>IF(AND(ISNUMBER(C129),C129&gt;0,ISNUMBER(G129)),G129/C129-1,"")</f>
        <v/>
      </c>
    </row>
    <row r="130">
      <c r="A130" s="12" t="inlineStr">
        <is>
          <t>450</t>
        </is>
      </c>
      <c r="B130" s="13" t="inlineStr">
        <is>
          <t>General</t>
        </is>
      </c>
      <c r="C130" s="5" t="n">
        <v>89</v>
      </c>
      <c r="D130" s="5" t="n">
        <v>129</v>
      </c>
      <c r="E130" s="5" t="n">
        <v>125</v>
      </c>
      <c r="F130" s="5" t="n">
        <v>114</v>
      </c>
      <c r="G130" s="5" t="n">
        <v>112</v>
      </c>
      <c r="H130" s="14">
        <f>IF(AND(ISNUMBER(C130),C130&gt;0,ISNUMBER(G130)),G130/C130-1,"")</f>
        <v/>
      </c>
    </row>
    <row r="131">
      <c r="A131" s="12" t="inlineStr">
        <is>
          <t>451</t>
        </is>
      </c>
      <c r="B131" s="13" t="inlineStr">
        <is>
          <t>General</t>
        </is>
      </c>
      <c r="C131" s="5" t="n">
        <v>7</v>
      </c>
      <c r="D131" s="5" t="n">
        <v>16</v>
      </c>
      <c r="E131" s="5" t="n">
        <v>23</v>
      </c>
      <c r="F131" s="5" t="n">
        <v>30</v>
      </c>
      <c r="G131" s="5" t="n">
        <v>42</v>
      </c>
      <c r="H131" s="14">
        <f>IF(AND(ISNUMBER(C131),C131&gt;0,ISNUMBER(G131)),G131/C131-1,"")</f>
        <v/>
      </c>
    </row>
    <row r="132">
      <c r="A132" s="12" t="inlineStr">
        <is>
          <t>452</t>
        </is>
      </c>
      <c r="B132" s="13" t="inlineStr">
        <is>
          <t>General</t>
        </is>
      </c>
      <c r="C132" s="5" t="n">
        <v>190</v>
      </c>
      <c r="D132" s="5" t="n">
        <v>148</v>
      </c>
      <c r="E132" s="5" t="n">
        <v>161</v>
      </c>
      <c r="F132" s="5" t="n">
        <v>211</v>
      </c>
      <c r="G132" s="5" t="n">
        <v>232</v>
      </c>
      <c r="H132" s="14">
        <f>IF(AND(ISNUMBER(C132),C132&gt;0,ISNUMBER(G132)),G132/C132-1,"")</f>
        <v/>
      </c>
    </row>
    <row r="133">
      <c r="A133" s="12" t="inlineStr">
        <is>
          <t>454</t>
        </is>
      </c>
      <c r="B133" s="4" t="inlineStr"/>
      <c r="C133" s="5" t="n">
        <v>88</v>
      </c>
      <c r="D133" s="5" t="n"/>
      <c r="E133" s="5" t="n"/>
      <c r="F133" s="5" t="n"/>
      <c r="G133" s="5" t="n"/>
      <c r="H133" s="14">
        <f>IF(AND(ISNUMBER(C133),C133&gt;0,ISNUMBER(G133)),G133/C133-1,"")</f>
        <v/>
      </c>
    </row>
    <row r="134">
      <c r="A134" s="12" t="inlineStr">
        <is>
          <t>455</t>
        </is>
      </c>
      <c r="B134" s="15" t="inlineStr">
        <is>
          <t>Draw</t>
        </is>
      </c>
      <c r="C134" s="5" t="n">
        <v>15</v>
      </c>
      <c r="D134" s="5" t="n">
        <v>12</v>
      </c>
      <c r="E134" s="5" t="n">
        <v>7</v>
      </c>
      <c r="F134" s="5" t="n">
        <v>6</v>
      </c>
      <c r="G134" s="5" t="n">
        <v>19</v>
      </c>
      <c r="H134" s="14">
        <f>IF(AND(ISNUMBER(C134),C134&gt;0,ISNUMBER(G134)),G134/C134-1,"")</f>
        <v/>
      </c>
    </row>
    <row r="135">
      <c r="A135" s="12" t="inlineStr">
        <is>
          <t>471</t>
        </is>
      </c>
      <c r="B135" s="13" t="inlineStr">
        <is>
          <t>General</t>
        </is>
      </c>
      <c r="C135" s="5" t="n">
        <v>423</v>
      </c>
      <c r="D135" s="5" t="n">
        <v>408</v>
      </c>
      <c r="E135" s="5" t="n">
        <v>436</v>
      </c>
      <c r="F135" s="5" t="n">
        <v>422</v>
      </c>
      <c r="G135" s="5" t="n">
        <v>284</v>
      </c>
      <c r="H135" s="14">
        <f>IF(AND(ISNUMBER(C135),C135&gt;0,ISNUMBER(G135)),G135/C135-1,"")</f>
        <v/>
      </c>
    </row>
    <row r="136">
      <c r="A136" s="12" t="inlineStr">
        <is>
          <t>500</t>
        </is>
      </c>
      <c r="B136" s="4" t="inlineStr"/>
      <c r="C136" s="5" t="n">
        <v>751</v>
      </c>
      <c r="D136" s="5" t="n"/>
      <c r="E136" s="5" t="n"/>
      <c r="F136" s="5" t="n"/>
      <c r="G136" s="5" t="n"/>
      <c r="H136" s="14">
        <f>IF(AND(ISNUMBER(C136),C136&gt;0,ISNUMBER(G136)),G136/C136-1,"")</f>
        <v/>
      </c>
    </row>
    <row r="137">
      <c r="A137" s="12" t="inlineStr">
        <is>
          <t>502</t>
        </is>
      </c>
      <c r="B137" s="13" t="inlineStr">
        <is>
          <t>General</t>
        </is>
      </c>
      <c r="C137" s="5" t="n">
        <v>477</v>
      </c>
      <c r="D137" s="5" t="n">
        <v>633</v>
      </c>
      <c r="E137" s="5" t="n">
        <v>565</v>
      </c>
      <c r="F137" s="5" t="n">
        <v>506</v>
      </c>
      <c r="G137" s="5" t="n">
        <v>650</v>
      </c>
      <c r="H137" s="14">
        <f>IF(AND(ISNUMBER(C137),C137&gt;0,ISNUMBER(G137)),G137/C137-1,"")</f>
        <v/>
      </c>
    </row>
    <row r="138">
      <c r="A138" s="12" t="inlineStr">
        <is>
          <t>510</t>
        </is>
      </c>
      <c r="B138" s="4" t="inlineStr"/>
      <c r="C138" s="5" t="n">
        <v>106</v>
      </c>
      <c r="D138" s="5" t="n"/>
      <c r="E138" s="5" t="n"/>
      <c r="F138" s="5" t="n"/>
      <c r="G138" s="5" t="n"/>
      <c r="H138" s="14">
        <f>IF(AND(ISNUMBER(C138),C138&gt;0,ISNUMBER(G138)),G138/C138-1,"")</f>
        <v/>
      </c>
    </row>
    <row r="139">
      <c r="A139" s="12" t="inlineStr">
        <is>
          <t>511</t>
        </is>
      </c>
      <c r="B139" s="4" t="inlineStr"/>
      <c r="C139" s="5" t="n">
        <v>148</v>
      </c>
      <c r="D139" s="5" t="n"/>
      <c r="E139" s="5" t="n"/>
      <c r="F139" s="5" t="n"/>
      <c r="G139" s="5" t="n"/>
      <c r="H139" s="14">
        <f>IF(AND(ISNUMBER(C139),C139&gt;0,ISNUMBER(G139)),G139/C139-1,"")</f>
        <v/>
      </c>
    </row>
    <row r="140">
      <c r="A140" s="12" t="inlineStr">
        <is>
          <t>515</t>
        </is>
      </c>
      <c r="B140" s="13" t="inlineStr">
        <is>
          <t>General</t>
        </is>
      </c>
      <c r="C140" s="5" t="n"/>
      <c r="D140" s="5" t="n">
        <v>809</v>
      </c>
      <c r="E140" s="5" t="n">
        <v>747</v>
      </c>
      <c r="F140" s="5" t="n">
        <v>719</v>
      </c>
      <c r="G140" s="5" t="n">
        <v>680</v>
      </c>
      <c r="H140" s="14">
        <f>IF(AND(ISNUMBER(C140),C140&gt;0,ISNUMBER(G140)),G140/C140-1,"")</f>
        <v/>
      </c>
    </row>
    <row r="141">
      <c r="A141" s="12" t="inlineStr">
        <is>
          <t>520</t>
        </is>
      </c>
      <c r="B141" s="4" t="inlineStr"/>
      <c r="C141" s="5" t="n">
        <v>187</v>
      </c>
      <c r="D141" s="5" t="n"/>
      <c r="E141" s="5" t="n"/>
      <c r="F141" s="5" t="n"/>
      <c r="G141" s="5" t="n"/>
      <c r="H141" s="14">
        <f>IF(AND(ISNUMBER(C141),C141&gt;0,ISNUMBER(G141)),G141/C141-1,"")</f>
        <v/>
      </c>
    </row>
    <row r="142">
      <c r="A142" s="12" t="inlineStr">
        <is>
          <t>525</t>
        </is>
      </c>
      <c r="B142" s="13" t="inlineStr">
        <is>
          <t>General</t>
        </is>
      </c>
      <c r="C142" s="5" t="n"/>
      <c r="D142" s="5" t="n">
        <v>395</v>
      </c>
      <c r="E142" s="5" t="n">
        <v>377</v>
      </c>
      <c r="F142" s="5" t="n">
        <v>398</v>
      </c>
      <c r="G142" s="5" t="n">
        <v>484</v>
      </c>
      <c r="H142" s="14">
        <f>IF(AND(ISNUMBER(C142),C142&gt;0,ISNUMBER(G142)),G142/C142-1,"")</f>
        <v/>
      </c>
    </row>
    <row r="143">
      <c r="A143" s="12" t="inlineStr">
        <is>
          <t>530</t>
        </is>
      </c>
      <c r="B143" s="4" t="inlineStr"/>
      <c r="C143" s="5" t="n">
        <v>460</v>
      </c>
      <c r="D143" s="5" t="n"/>
      <c r="E143" s="5" t="n"/>
      <c r="F143" s="5" t="n"/>
      <c r="G143" s="5" t="n"/>
      <c r="H143" s="14">
        <f>IF(AND(ISNUMBER(C143),C143&gt;0,ISNUMBER(G143)),G143/C143-1,"")</f>
        <v/>
      </c>
    </row>
    <row r="144">
      <c r="A144" s="12" t="inlineStr">
        <is>
          <t>535</t>
        </is>
      </c>
      <c r="B144" s="15" t="inlineStr">
        <is>
          <t>Draw</t>
        </is>
      </c>
      <c r="C144" s="5" t="n"/>
      <c r="D144" s="5" t="n">
        <v>392</v>
      </c>
      <c r="E144" s="5" t="n">
        <v>423</v>
      </c>
      <c r="F144" s="5" t="n">
        <v>264</v>
      </c>
      <c r="G144" s="5" t="n">
        <v>311</v>
      </c>
      <c r="H144" s="14">
        <f>IF(AND(ISNUMBER(C144),C144&gt;0,ISNUMBER(G144)),G144/C144-1,"")</f>
        <v/>
      </c>
    </row>
    <row r="145">
      <c r="A145" s="12" t="inlineStr">
        <is>
          <t>540</t>
        </is>
      </c>
      <c r="B145" s="13" t="inlineStr">
        <is>
          <t>General</t>
        </is>
      </c>
      <c r="C145" s="5" t="n">
        <v>133</v>
      </c>
      <c r="D145" s="5" t="n">
        <v>141</v>
      </c>
      <c r="E145" s="5" t="n">
        <v>82</v>
      </c>
      <c r="F145" s="5" t="n">
        <v>102</v>
      </c>
      <c r="G145" s="5" t="n">
        <v>123</v>
      </c>
      <c r="H145" s="14">
        <f>IF(AND(ISNUMBER(C145),C145&gt;0,ISNUMBER(G145)),G145/C145-1,"")</f>
        <v/>
      </c>
    </row>
    <row r="146">
      <c r="A146" s="12" t="inlineStr">
        <is>
          <t>555</t>
        </is>
      </c>
      <c r="B146" s="13" t="inlineStr">
        <is>
          <t>General</t>
        </is>
      </c>
      <c r="C146" s="5" t="n"/>
      <c r="D146" s="5" t="n">
        <v>106</v>
      </c>
      <c r="E146" s="5" t="n">
        <v>172</v>
      </c>
      <c r="F146" s="5" t="n">
        <v>159</v>
      </c>
      <c r="G146" s="5" t="n">
        <v>174</v>
      </c>
      <c r="H146" s="14">
        <f>IF(AND(ISNUMBER(C146),C146&gt;0,ISNUMBER(G146)),G146/C146-1,"")</f>
        <v/>
      </c>
    </row>
    <row r="147">
      <c r="A147" s="12" t="inlineStr">
        <is>
          <t>560</t>
        </is>
      </c>
      <c r="B147" s="4" t="inlineStr"/>
      <c r="C147" s="5" t="n">
        <v>263</v>
      </c>
      <c r="D147" s="5" t="n"/>
      <c r="E147" s="5" t="n"/>
      <c r="F147" s="5" t="n"/>
      <c r="G147" s="5" t="n"/>
      <c r="H147" s="14">
        <f>IF(AND(ISNUMBER(C147),C147&gt;0,ISNUMBER(G147)),G147/C147-1,"")</f>
        <v/>
      </c>
    </row>
    <row r="148">
      <c r="A148" s="12" t="inlineStr">
        <is>
          <t>565</t>
        </is>
      </c>
      <c r="B148" s="13" t="inlineStr">
        <is>
          <t>General</t>
        </is>
      </c>
      <c r="C148" s="5" t="n"/>
      <c r="D148" s="5" t="n">
        <v>22</v>
      </c>
      <c r="E148" s="5" t="n">
        <v>3</v>
      </c>
      <c r="F148" s="5" t="n">
        <v>9</v>
      </c>
      <c r="G148" s="5" t="n">
        <v>14</v>
      </c>
      <c r="H148" s="14">
        <f>IF(AND(ISNUMBER(C148),C148&gt;0,ISNUMBER(G148)),G148/C148-1,"")</f>
        <v/>
      </c>
    </row>
    <row r="149">
      <c r="A149" s="12" t="inlineStr">
        <is>
          <t>570</t>
        </is>
      </c>
      <c r="B149" s="4" t="inlineStr"/>
      <c r="C149" s="5" t="n">
        <v>312</v>
      </c>
      <c r="D149" s="5" t="n"/>
      <c r="E149" s="5" t="n"/>
      <c r="F149" s="5" t="n"/>
      <c r="G149" s="5" t="n"/>
      <c r="H149" s="14">
        <f>IF(AND(ISNUMBER(C149),C149&gt;0,ISNUMBER(G149)),G149/C149-1,"")</f>
        <v/>
      </c>
    </row>
    <row r="150">
      <c r="A150" s="12" t="inlineStr">
        <is>
          <t>575</t>
        </is>
      </c>
      <c r="B150" s="13" t="inlineStr">
        <is>
          <t>General</t>
        </is>
      </c>
      <c r="C150" s="5" t="n">
        <v>660</v>
      </c>
      <c r="D150" s="5" t="n">
        <v>654</v>
      </c>
      <c r="E150" s="5" t="n">
        <v>612</v>
      </c>
      <c r="F150" s="5" t="n">
        <v>659</v>
      </c>
      <c r="G150" s="5" t="n">
        <v>609</v>
      </c>
      <c r="H150" s="14">
        <f>IF(AND(ISNUMBER(C150),C150&gt;0,ISNUMBER(G150)),G150/C150-1,"")</f>
        <v/>
      </c>
    </row>
    <row r="151">
      <c r="A151" s="12" t="inlineStr">
        <is>
          <t>580</t>
        </is>
      </c>
      <c r="B151" s="13" t="inlineStr">
        <is>
          <t>General</t>
        </is>
      </c>
      <c r="C151" s="5" t="n">
        <v>197</v>
      </c>
      <c r="D151" s="5" t="n">
        <v>226</v>
      </c>
      <c r="E151" s="5" t="n">
        <v>204</v>
      </c>
      <c r="F151" s="5" t="n">
        <v>217</v>
      </c>
      <c r="G151" s="5" t="n">
        <v>231</v>
      </c>
      <c r="H151" s="14">
        <f>IF(AND(ISNUMBER(C151),C151&gt;0,ISNUMBER(G151)),G151/C151-1,"")</f>
        <v/>
      </c>
    </row>
    <row r="152">
      <c r="A152" s="12" t="inlineStr">
        <is>
          <t>590</t>
        </is>
      </c>
      <c r="B152" s="13" t="inlineStr">
        <is>
          <t>General</t>
        </is>
      </c>
      <c r="C152" s="5" t="n">
        <v>1001</v>
      </c>
      <c r="D152" s="5" t="n">
        <v>1034</v>
      </c>
      <c r="E152" s="5" t="n">
        <v>1033</v>
      </c>
      <c r="F152" s="5" t="n">
        <v>957</v>
      </c>
      <c r="G152" s="5" t="n">
        <v>1003</v>
      </c>
      <c r="H152" s="14">
        <f>IF(AND(ISNUMBER(C152),C152&gt;0,ISNUMBER(G152)),G152/C152-1,"")</f>
        <v/>
      </c>
    </row>
    <row r="153">
      <c r="A153" s="12" t="inlineStr">
        <is>
          <t>600</t>
        </is>
      </c>
      <c r="B153" s="13" t="inlineStr">
        <is>
          <t>General</t>
        </is>
      </c>
      <c r="C153" s="5" t="n">
        <v>1352</v>
      </c>
      <c r="D153" s="5" t="n">
        <v>999</v>
      </c>
      <c r="E153" s="5" t="n">
        <v>1021</v>
      </c>
      <c r="F153" s="5" t="n">
        <v>865</v>
      </c>
      <c r="G153" s="5" t="n">
        <v>783</v>
      </c>
      <c r="H153" s="14">
        <f>IF(AND(ISNUMBER(C153),C153&gt;0,ISNUMBER(G153)),G153/C153-1,"")</f>
        <v/>
      </c>
    </row>
    <row r="154">
      <c r="A154" s="12" t="inlineStr">
        <is>
          <t>620</t>
        </is>
      </c>
      <c r="B154" s="13" t="inlineStr">
        <is>
          <t>General</t>
        </is>
      </c>
      <c r="C154" s="5" t="n">
        <v>958</v>
      </c>
      <c r="D154" s="5" t="n">
        <v>556</v>
      </c>
      <c r="E154" s="5" t="n">
        <v>474</v>
      </c>
      <c r="F154" s="5" t="n">
        <v>332</v>
      </c>
      <c r="G154" s="5" t="n">
        <v>392</v>
      </c>
      <c r="H154" s="14">
        <f>IF(AND(ISNUMBER(C154),C154&gt;0,ISNUMBER(G154)),G154/C154-1,"")</f>
        <v/>
      </c>
    </row>
    <row r="155">
      <c r="A155" s="12" t="inlineStr">
        <is>
          <t>621</t>
        </is>
      </c>
      <c r="B155" s="13" t="inlineStr">
        <is>
          <t>General</t>
        </is>
      </c>
      <c r="C155" s="5" t="n">
        <v>403</v>
      </c>
      <c r="D155" s="5" t="n">
        <v>218</v>
      </c>
      <c r="E155" s="5" t="n">
        <v>242</v>
      </c>
      <c r="F155" s="5" t="n">
        <v>260</v>
      </c>
      <c r="G155" s="5" t="n">
        <v>229</v>
      </c>
      <c r="H155" s="14">
        <f>IF(AND(ISNUMBER(C155),C155&gt;0,ISNUMBER(G155)),G155/C155-1,"")</f>
        <v/>
      </c>
    </row>
    <row r="156">
      <c r="A156" s="12" t="inlineStr">
        <is>
          <t>622</t>
        </is>
      </c>
      <c r="B156" s="13" t="inlineStr">
        <is>
          <t>General</t>
        </is>
      </c>
      <c r="C156" s="5" t="n">
        <v>250</v>
      </c>
      <c r="D156" s="5" t="n">
        <v>124</v>
      </c>
      <c r="E156" s="5" t="n">
        <v>167</v>
      </c>
      <c r="F156" s="5" t="n">
        <v>127</v>
      </c>
      <c r="G156" s="5" t="n">
        <v>75</v>
      </c>
      <c r="H156" s="14">
        <f>IF(AND(ISNUMBER(C156),C156&gt;0,ISNUMBER(G156)),G156/C156-1,"")</f>
        <v/>
      </c>
    </row>
    <row r="157">
      <c r="A157" s="12" t="inlineStr">
        <is>
          <t>630</t>
        </is>
      </c>
      <c r="B157" s="13" t="inlineStr">
        <is>
          <t>General</t>
        </is>
      </c>
      <c r="C157" s="5" t="n">
        <v>1101</v>
      </c>
      <c r="D157" s="5" t="n">
        <v>811</v>
      </c>
      <c r="E157" s="5" t="n">
        <v>954</v>
      </c>
      <c r="F157" s="5" t="n">
        <v>654</v>
      </c>
      <c r="G157" s="5" t="n">
        <v>598</v>
      </c>
      <c r="H157" s="14">
        <f>IF(AND(ISNUMBER(C157),C157&gt;0,ISNUMBER(G157)),G157/C157-1,"")</f>
        <v/>
      </c>
    </row>
    <row r="158">
      <c r="A158" s="12" t="inlineStr">
        <is>
          <t>631</t>
        </is>
      </c>
      <c r="B158" s="4" t="inlineStr"/>
      <c r="C158" s="5" t="n">
        <v>112</v>
      </c>
      <c r="D158" s="5" t="n"/>
      <c r="E158" s="5" t="n"/>
      <c r="F158" s="5" t="n"/>
      <c r="G158" s="5" t="n"/>
      <c r="H158" s="14">
        <f>IF(AND(ISNUMBER(C158),C158&gt;0,ISNUMBER(G158)),G158/C158-1,"")</f>
        <v/>
      </c>
    </row>
    <row r="159">
      <c r="A159" s="12" t="inlineStr">
        <is>
          <t>632</t>
        </is>
      </c>
      <c r="B159" s="4" t="inlineStr"/>
      <c r="C159" s="5" t="n">
        <v>207</v>
      </c>
      <c r="D159" s="5" t="n"/>
      <c r="E159" s="5" t="n"/>
      <c r="F159" s="5" t="n"/>
      <c r="G159" s="5" t="n"/>
      <c r="H159" s="14">
        <f>IF(AND(ISNUMBER(C159),C159&gt;0,ISNUMBER(G159)),G159/C159-1,"")</f>
        <v/>
      </c>
    </row>
    <row r="160">
      <c r="A160" s="12" t="inlineStr">
        <is>
          <t>640</t>
        </is>
      </c>
      <c r="B160" s="13" t="inlineStr">
        <is>
          <t>General</t>
        </is>
      </c>
      <c r="C160" s="5" t="n">
        <v>1962</v>
      </c>
      <c r="D160" s="5" t="n">
        <v>1811</v>
      </c>
      <c r="E160" s="5" t="n">
        <v>2230</v>
      </c>
      <c r="F160" s="5" t="n">
        <v>1678</v>
      </c>
      <c r="G160" s="5" t="n">
        <v>1225</v>
      </c>
      <c r="H160" s="14">
        <f>IF(AND(ISNUMBER(C160),C160&gt;0,ISNUMBER(G160)),G160/C160-1,"")</f>
        <v/>
      </c>
    </row>
    <row r="161">
      <c r="A161" s="12" t="inlineStr">
        <is>
          <t>650</t>
        </is>
      </c>
      <c r="B161" s="13" t="inlineStr">
        <is>
          <t>General</t>
        </is>
      </c>
      <c r="C161" s="5" t="n">
        <v>2002</v>
      </c>
      <c r="D161" s="5" t="n">
        <v>1443</v>
      </c>
      <c r="E161" s="5" t="n">
        <v>1334</v>
      </c>
      <c r="F161" s="5" t="n">
        <v>981</v>
      </c>
      <c r="G161" s="5" t="n">
        <v>843</v>
      </c>
      <c r="H161" s="14">
        <f>IF(AND(ISNUMBER(C161),C161&gt;0,ISNUMBER(G161)),G161/C161-1,"")</f>
        <v/>
      </c>
    </row>
    <row r="162">
      <c r="A162" s="12" t="inlineStr">
        <is>
          <t>652</t>
        </is>
      </c>
      <c r="B162" s="15" t="inlineStr">
        <is>
          <t>Draw</t>
        </is>
      </c>
      <c r="C162" s="5" t="n">
        <v>156</v>
      </c>
      <c r="D162" s="5" t="n">
        <v>104</v>
      </c>
      <c r="E162" s="5" t="n">
        <v>87</v>
      </c>
      <c r="F162" s="5" t="n">
        <v>64</v>
      </c>
      <c r="G162" s="5" t="n">
        <v>52</v>
      </c>
      <c r="H162" s="14">
        <f>IF(AND(ISNUMBER(C162),C162&gt;0,ISNUMBER(G162)),G162/C162-1,"")</f>
        <v/>
      </c>
    </row>
    <row r="163">
      <c r="A163" s="12" t="inlineStr">
        <is>
          <t>670</t>
        </is>
      </c>
      <c r="B163" s="13" t="inlineStr">
        <is>
          <t>General</t>
        </is>
      </c>
      <c r="C163" s="5" t="n">
        <v>2917</v>
      </c>
      <c r="D163" s="5" t="n">
        <v>2306</v>
      </c>
      <c r="E163" s="5" t="n">
        <v>1923</v>
      </c>
      <c r="F163" s="5" t="n">
        <v>1200</v>
      </c>
      <c r="G163" s="5" t="n">
        <v>955</v>
      </c>
      <c r="H163" s="14">
        <f>IF(AND(ISNUMBER(C163),C163&gt;0,ISNUMBER(G163)),G163/C163-1,"")</f>
        <v/>
      </c>
    </row>
    <row r="164">
      <c r="A164" s="12" t="inlineStr">
        <is>
          <t>690</t>
        </is>
      </c>
      <c r="B164" s="13" t="inlineStr">
        <is>
          <t>General</t>
        </is>
      </c>
      <c r="C164" s="5" t="n">
        <v>2362</v>
      </c>
      <c r="D164" s="5" t="n">
        <v>1692</v>
      </c>
      <c r="E164" s="5" t="n">
        <v>1520</v>
      </c>
      <c r="F164" s="5" t="n">
        <v>1315</v>
      </c>
      <c r="G164" s="5" t="n">
        <v>1194</v>
      </c>
      <c r="H164" s="14">
        <f>IF(AND(ISNUMBER(C164),C164&gt;0,ISNUMBER(G164)),G164/C164-1,"")</f>
        <v/>
      </c>
    </row>
    <row r="165">
      <c r="A165" s="12" t="inlineStr">
        <is>
          <t>700</t>
        </is>
      </c>
      <c r="B165" s="13" t="inlineStr">
        <is>
          <t>General</t>
        </is>
      </c>
      <c r="C165" s="5" t="n">
        <v>2100</v>
      </c>
      <c r="D165" s="5" t="n">
        <v>1316</v>
      </c>
      <c r="E165" s="5" t="n">
        <v>1163</v>
      </c>
      <c r="F165" s="5" t="n">
        <v>835</v>
      </c>
      <c r="G165" s="5" t="n">
        <v>1015</v>
      </c>
      <c r="H165" s="14">
        <f>IF(AND(ISNUMBER(C165),C165&gt;0,ISNUMBER(G165)),G165/C165-1,"")</f>
        <v/>
      </c>
    </row>
    <row r="166">
      <c r="A166" s="12" t="inlineStr">
        <is>
          <t>701</t>
        </is>
      </c>
      <c r="B166" s="13" t="inlineStr">
        <is>
          <t>General</t>
        </is>
      </c>
      <c r="C166" s="5" t="n">
        <v>1561</v>
      </c>
      <c r="D166" s="5" t="n">
        <v>1376</v>
      </c>
      <c r="E166" s="5" t="n">
        <v>1038</v>
      </c>
      <c r="F166" s="5" t="n">
        <v>1181</v>
      </c>
      <c r="G166" s="5" t="n">
        <v>920</v>
      </c>
      <c r="H166" s="14">
        <f>IF(AND(ISNUMBER(C166),C166&gt;0,ISNUMBER(G166)),G166/C166-1,"")</f>
        <v/>
      </c>
    </row>
    <row r="167">
      <c r="A167" s="12" t="inlineStr">
        <is>
          <t>702</t>
        </is>
      </c>
      <c r="B167" s="13" t="inlineStr">
        <is>
          <t>General</t>
        </is>
      </c>
      <c r="C167" s="5" t="n">
        <v>797</v>
      </c>
      <c r="D167" s="5" t="n">
        <v>875</v>
      </c>
      <c r="E167" s="5" t="n">
        <v>798</v>
      </c>
      <c r="F167" s="5" t="n">
        <v>819</v>
      </c>
      <c r="G167" s="5" t="n">
        <v>631</v>
      </c>
      <c r="H167" s="14">
        <f>IF(AND(ISNUMBER(C167),C167&gt;0,ISNUMBER(G167)),G167/C167-1,"")</f>
        <v/>
      </c>
    </row>
    <row r="168">
      <c r="A168" s="12" t="inlineStr">
        <is>
          <t>703</t>
        </is>
      </c>
      <c r="B168" s="13" t="inlineStr">
        <is>
          <t>General</t>
        </is>
      </c>
      <c r="C168" s="5" t="n">
        <v>1917</v>
      </c>
      <c r="D168" s="5" t="n">
        <v>1665</v>
      </c>
      <c r="E168" s="5" t="n">
        <v>1448</v>
      </c>
      <c r="F168" s="5" t="n">
        <v>1421</v>
      </c>
      <c r="G168" s="5" t="n">
        <v>1277</v>
      </c>
      <c r="H168" s="14">
        <f>IF(AND(ISNUMBER(C168),C168&gt;0,ISNUMBER(G168)),G168/C168-1,"")</f>
        <v/>
      </c>
    </row>
    <row r="169">
      <c r="A169" s="12" t="inlineStr">
        <is>
          <t>704</t>
        </is>
      </c>
      <c r="B169" s="13" t="inlineStr">
        <is>
          <t>General</t>
        </is>
      </c>
      <c r="C169" s="5" t="n">
        <v>2295</v>
      </c>
      <c r="D169" s="5" t="n">
        <v>1780</v>
      </c>
      <c r="E169" s="5" t="n">
        <v>1703</v>
      </c>
      <c r="F169" s="5" t="n">
        <v>1572</v>
      </c>
      <c r="G169" s="5" t="n">
        <v>1770</v>
      </c>
      <c r="H169" s="14">
        <f>IF(AND(ISNUMBER(C169),C169&gt;0,ISNUMBER(G169)),G169/C169-1,"")</f>
        <v/>
      </c>
    </row>
    <row r="170">
      <c r="A170" s="12" t="inlineStr">
        <is>
          <t>705</t>
        </is>
      </c>
      <c r="B170" s="13" t="inlineStr">
        <is>
          <t>General</t>
        </is>
      </c>
      <c r="C170" s="5" t="n">
        <v>2561</v>
      </c>
      <c r="D170" s="5" t="n">
        <v>1759</v>
      </c>
      <c r="E170" s="5" t="n">
        <v>1294</v>
      </c>
      <c r="F170" s="5" t="n">
        <v>1374</v>
      </c>
      <c r="G170" s="5" t="n">
        <v>1463</v>
      </c>
      <c r="H170" s="14">
        <f>IF(AND(ISNUMBER(C170),C170&gt;0,ISNUMBER(G170)),G170/C170-1,"")</f>
        <v/>
      </c>
    </row>
    <row r="173">
      <c r="A173" s="6" t="inlineStr">
        <is>
          <t>Whitetail</t>
        </is>
      </c>
    </row>
    <row r="174">
      <c r="A174" s="3" t="inlineStr">
        <is>
          <t>District</t>
        </is>
      </c>
      <c r="B174" s="3" t="inlineStr">
        <is>
          <t>License</t>
        </is>
      </c>
      <c r="C174" s="3" t="inlineStr">
        <is>
          <t>2021</t>
        </is>
      </c>
      <c r="D174" s="3" t="inlineStr">
        <is>
          <t>2022</t>
        </is>
      </c>
      <c r="E174" s="3" t="inlineStr">
        <is>
          <t>2023</t>
        </is>
      </c>
      <c r="F174" s="3" t="inlineStr">
        <is>
          <t>2024</t>
        </is>
      </c>
      <c r="G174" s="3" t="inlineStr">
        <is>
          <t>2025</t>
        </is>
      </c>
      <c r="H174" s="3" t="inlineStr">
        <is>
          <t>Change</t>
        </is>
      </c>
    </row>
    <row r="175">
      <c r="A175" s="12" t="inlineStr">
        <is>
          <t>100</t>
        </is>
      </c>
      <c r="B175" s="13" t="inlineStr">
        <is>
          <t>General</t>
        </is>
      </c>
      <c r="C175" s="5" t="n">
        <v>1272</v>
      </c>
      <c r="D175" s="5" t="n">
        <v>1127</v>
      </c>
      <c r="E175" s="5" t="n">
        <v>1035</v>
      </c>
      <c r="F175" s="5" t="n">
        <v>1034</v>
      </c>
      <c r="G175" s="5" t="n">
        <v>1021</v>
      </c>
      <c r="H175" s="14">
        <f>IF(AND(ISNUMBER(C175),C175&gt;0,ISNUMBER(G175)),G175/C175-1,"")</f>
        <v/>
      </c>
    </row>
    <row r="176">
      <c r="A176" s="12" t="inlineStr">
        <is>
          <t>101</t>
        </is>
      </c>
      <c r="B176" s="13" t="inlineStr">
        <is>
          <t>General</t>
        </is>
      </c>
      <c r="C176" s="5" t="n">
        <v>896</v>
      </c>
      <c r="D176" s="5" t="n">
        <v>1126</v>
      </c>
      <c r="E176" s="5" t="n">
        <v>1176</v>
      </c>
      <c r="F176" s="5" t="n">
        <v>1441</v>
      </c>
      <c r="G176" s="5" t="n">
        <v>1066</v>
      </c>
      <c r="H176" s="14">
        <f>IF(AND(ISNUMBER(C176),C176&gt;0,ISNUMBER(G176)),G176/C176-1,"")</f>
        <v/>
      </c>
    </row>
    <row r="177">
      <c r="A177" s="12" t="inlineStr">
        <is>
          <t>102</t>
        </is>
      </c>
      <c r="B177" s="4" t="inlineStr"/>
      <c r="C177" s="5" t="n">
        <v>766</v>
      </c>
      <c r="D177" s="5" t="n"/>
      <c r="E177" s="5" t="n"/>
      <c r="F177" s="5" t="n"/>
      <c r="G177" s="5" t="n"/>
      <c r="H177" s="14">
        <f>IF(AND(ISNUMBER(C177),C177&gt;0,ISNUMBER(G177)),G177/C177-1,"")</f>
        <v/>
      </c>
    </row>
    <row r="178">
      <c r="A178" s="12" t="inlineStr">
        <is>
          <t>103</t>
        </is>
      </c>
      <c r="B178" s="13" t="inlineStr">
        <is>
          <t>General</t>
        </is>
      </c>
      <c r="C178" s="5" t="n">
        <v>1019</v>
      </c>
      <c r="D178" s="5" t="n">
        <v>1575</v>
      </c>
      <c r="E178" s="5" t="n">
        <v>1771</v>
      </c>
      <c r="F178" s="5" t="n">
        <v>1760</v>
      </c>
      <c r="G178" s="5" t="n">
        <v>1503</v>
      </c>
      <c r="H178" s="14">
        <f>IF(AND(ISNUMBER(C178),C178&gt;0,ISNUMBER(G178)),G178/C178-1,"")</f>
        <v/>
      </c>
    </row>
    <row r="179">
      <c r="A179" s="12" t="inlineStr">
        <is>
          <t>104</t>
        </is>
      </c>
      <c r="B179" s="13" t="inlineStr">
        <is>
          <t>General</t>
        </is>
      </c>
      <c r="C179" s="5" t="n">
        <v>464</v>
      </c>
      <c r="D179" s="5" t="n">
        <v>480</v>
      </c>
      <c r="E179" s="5" t="n">
        <v>450</v>
      </c>
      <c r="F179" s="5" t="n">
        <v>551</v>
      </c>
      <c r="G179" s="5" t="n">
        <v>469</v>
      </c>
      <c r="H179" s="14">
        <f>IF(AND(ISNUMBER(C179),C179&gt;0,ISNUMBER(G179)),G179/C179-1,"")</f>
        <v/>
      </c>
    </row>
    <row r="180">
      <c r="A180" s="12" t="inlineStr">
        <is>
          <t>109</t>
        </is>
      </c>
      <c r="B180" s="4" t="inlineStr"/>
      <c r="C180" s="5" t="n">
        <v>238</v>
      </c>
      <c r="D180" s="5" t="n"/>
      <c r="E180" s="5" t="n"/>
      <c r="F180" s="5" t="n"/>
      <c r="G180" s="5" t="n"/>
      <c r="H180" s="14">
        <f>IF(AND(ISNUMBER(C180),C180&gt;0,ISNUMBER(G180)),G180/C180-1,"")</f>
        <v/>
      </c>
    </row>
    <row r="181">
      <c r="A181" s="12" t="inlineStr">
        <is>
          <t>110</t>
        </is>
      </c>
      <c r="B181" s="13" t="inlineStr">
        <is>
          <t>General</t>
        </is>
      </c>
      <c r="C181" s="5" t="n">
        <v>315</v>
      </c>
      <c r="D181" s="5" t="n">
        <v>408</v>
      </c>
      <c r="E181" s="5" t="n">
        <v>345</v>
      </c>
      <c r="F181" s="5" t="n">
        <v>479</v>
      </c>
      <c r="G181" s="5" t="n">
        <v>427</v>
      </c>
      <c r="H181" s="14">
        <f>IF(AND(ISNUMBER(C181),C181&gt;0,ISNUMBER(G181)),G181/C181-1,"")</f>
        <v/>
      </c>
    </row>
    <row r="182">
      <c r="A182" s="12" t="inlineStr">
        <is>
          <t>120</t>
        </is>
      </c>
      <c r="B182" s="13" t="inlineStr">
        <is>
          <t>General</t>
        </is>
      </c>
      <c r="C182" s="5" t="n">
        <v>620</v>
      </c>
      <c r="D182" s="5" t="n">
        <v>662</v>
      </c>
      <c r="E182" s="5" t="n">
        <v>657</v>
      </c>
      <c r="F182" s="5" t="n">
        <v>691</v>
      </c>
      <c r="G182" s="5" t="n">
        <v>642</v>
      </c>
      <c r="H182" s="14">
        <f>IF(AND(ISNUMBER(C182),C182&gt;0,ISNUMBER(G182)),G182/C182-1,"")</f>
        <v/>
      </c>
    </row>
    <row r="183">
      <c r="A183" s="12" t="inlineStr">
        <is>
          <t>121</t>
        </is>
      </c>
      <c r="B183" s="13" t="inlineStr">
        <is>
          <t>General</t>
        </is>
      </c>
      <c r="C183" s="5" t="n">
        <v>753</v>
      </c>
      <c r="D183" s="5" t="n">
        <v>742</v>
      </c>
      <c r="E183" s="5" t="n">
        <v>808</v>
      </c>
      <c r="F183" s="5" t="n">
        <v>937</v>
      </c>
      <c r="G183" s="5" t="n">
        <v>979</v>
      </c>
      <c r="H183" s="14">
        <f>IF(AND(ISNUMBER(C183),C183&gt;0,ISNUMBER(G183)),G183/C183-1,"")</f>
        <v/>
      </c>
    </row>
    <row r="184">
      <c r="A184" s="12" t="inlineStr">
        <is>
          <t>122</t>
        </is>
      </c>
      <c r="B184" s="13" t="inlineStr">
        <is>
          <t>General</t>
        </is>
      </c>
      <c r="C184" s="5" t="n">
        <v>478</v>
      </c>
      <c r="D184" s="5" t="n">
        <v>504</v>
      </c>
      <c r="E184" s="5" t="n">
        <v>514</v>
      </c>
      <c r="F184" s="5" t="n">
        <v>595</v>
      </c>
      <c r="G184" s="5" t="n">
        <v>634</v>
      </c>
      <c r="H184" s="14">
        <f>IF(AND(ISNUMBER(C184),C184&gt;0,ISNUMBER(G184)),G184/C184-1,"")</f>
        <v/>
      </c>
    </row>
    <row r="185">
      <c r="A185" s="12" t="inlineStr">
        <is>
          <t>123</t>
        </is>
      </c>
      <c r="B185" s="13" t="inlineStr">
        <is>
          <t>General</t>
        </is>
      </c>
      <c r="C185" s="5" t="n">
        <v>107</v>
      </c>
      <c r="D185" s="5" t="n">
        <v>96</v>
      </c>
      <c r="E185" s="5" t="n">
        <v>134</v>
      </c>
      <c r="F185" s="5" t="n">
        <v>163</v>
      </c>
      <c r="G185" s="5" t="n">
        <v>161</v>
      </c>
      <c r="H185" s="14">
        <f>IF(AND(ISNUMBER(C185),C185&gt;0,ISNUMBER(G185)),G185/C185-1,"")</f>
        <v/>
      </c>
    </row>
    <row r="186">
      <c r="A186" s="12" t="inlineStr">
        <is>
          <t>124</t>
        </is>
      </c>
      <c r="B186" s="13" t="inlineStr">
        <is>
          <t>General</t>
        </is>
      </c>
      <c r="C186" s="5" t="n">
        <v>99</v>
      </c>
      <c r="D186" s="5" t="n">
        <v>87</v>
      </c>
      <c r="E186" s="5" t="n">
        <v>114</v>
      </c>
      <c r="F186" s="5" t="n">
        <v>123</v>
      </c>
      <c r="G186" s="5" t="n">
        <v>137</v>
      </c>
      <c r="H186" s="14">
        <f>IF(AND(ISNUMBER(C186),C186&gt;0,ISNUMBER(G186)),G186/C186-1,"")</f>
        <v/>
      </c>
    </row>
    <row r="187">
      <c r="A187" s="12" t="inlineStr">
        <is>
          <t>130</t>
        </is>
      </c>
      <c r="B187" s="13" t="inlineStr">
        <is>
          <t>General</t>
        </is>
      </c>
      <c r="C187" s="5" t="n">
        <v>550</v>
      </c>
      <c r="D187" s="5" t="n">
        <v>522</v>
      </c>
      <c r="E187" s="5" t="n">
        <v>534</v>
      </c>
      <c r="F187" s="5" t="n">
        <v>568</v>
      </c>
      <c r="G187" s="5" t="n">
        <v>605</v>
      </c>
      <c r="H187" s="14">
        <f>IF(AND(ISNUMBER(C187),C187&gt;0,ISNUMBER(G187)),G187/C187-1,"")</f>
        <v/>
      </c>
    </row>
    <row r="188">
      <c r="A188" s="12" t="inlineStr">
        <is>
          <t>140</t>
        </is>
      </c>
      <c r="B188" s="13" t="inlineStr">
        <is>
          <t>General</t>
        </is>
      </c>
      <c r="C188" s="5" t="n">
        <v>152</v>
      </c>
      <c r="D188" s="5" t="n">
        <v>105</v>
      </c>
      <c r="E188" s="5" t="n">
        <v>134</v>
      </c>
      <c r="F188" s="5" t="n">
        <v>180</v>
      </c>
      <c r="G188" s="5" t="n">
        <v>124</v>
      </c>
      <c r="H188" s="14">
        <f>IF(AND(ISNUMBER(C188),C188&gt;0,ISNUMBER(G188)),G188/C188-1,"")</f>
        <v/>
      </c>
    </row>
    <row r="189">
      <c r="A189" s="12" t="inlineStr">
        <is>
          <t>141</t>
        </is>
      </c>
      <c r="B189" s="13" t="inlineStr">
        <is>
          <t>General</t>
        </is>
      </c>
      <c r="C189" s="5" t="n">
        <v>8</v>
      </c>
      <c r="D189" s="5" t="n">
        <v>3</v>
      </c>
      <c r="E189" s="5" t="n">
        <v>7</v>
      </c>
      <c r="F189" s="5" t="n">
        <v>19</v>
      </c>
      <c r="G189" s="5" t="n">
        <v>18</v>
      </c>
      <c r="H189" s="14">
        <f>IF(AND(ISNUMBER(C189),C189&gt;0,ISNUMBER(G189)),G189/C189-1,"")</f>
        <v/>
      </c>
    </row>
    <row r="190">
      <c r="A190" s="12" t="inlineStr">
        <is>
          <t>150</t>
        </is>
      </c>
      <c r="B190" s="13" t="inlineStr">
        <is>
          <t>General</t>
        </is>
      </c>
      <c r="C190" s="5" t="n">
        <v>20</v>
      </c>
      <c r="D190" s="5" t="n">
        <v>30</v>
      </c>
      <c r="E190" s="5" t="n">
        <v>23</v>
      </c>
      <c r="F190" s="5" t="n">
        <v>9</v>
      </c>
      <c r="G190" s="5" t="n">
        <v>34</v>
      </c>
      <c r="H190" s="14">
        <f>IF(AND(ISNUMBER(C190),C190&gt;0,ISNUMBER(G190)),G190/C190-1,"")</f>
        <v/>
      </c>
    </row>
    <row r="191">
      <c r="A191" s="12" t="inlineStr">
        <is>
          <t>170</t>
        </is>
      </c>
      <c r="B191" s="13" t="inlineStr">
        <is>
          <t>General</t>
        </is>
      </c>
      <c r="C191" s="5" t="n">
        <v>1428</v>
      </c>
      <c r="D191" s="5" t="n">
        <v>1471</v>
      </c>
      <c r="E191" s="5" t="n">
        <v>1328</v>
      </c>
      <c r="F191" s="5" t="n">
        <v>1790</v>
      </c>
      <c r="G191" s="5" t="n">
        <v>1750</v>
      </c>
      <c r="H191" s="14">
        <f>IF(AND(ISNUMBER(C191),C191&gt;0,ISNUMBER(G191)),G191/C191-1,"")</f>
        <v/>
      </c>
    </row>
    <row r="192">
      <c r="A192" s="12" t="inlineStr">
        <is>
          <t>200</t>
        </is>
      </c>
      <c r="B192" s="13" t="inlineStr">
        <is>
          <t>General</t>
        </is>
      </c>
      <c r="C192" s="5" t="n">
        <v>212</v>
      </c>
      <c r="D192" s="5" t="n">
        <v>184</v>
      </c>
      <c r="E192" s="5" t="n">
        <v>207</v>
      </c>
      <c r="F192" s="5" t="n">
        <v>201</v>
      </c>
      <c r="G192" s="5" t="n">
        <v>175</v>
      </c>
      <c r="H192" s="14">
        <f>IF(AND(ISNUMBER(C192),C192&gt;0,ISNUMBER(G192)),G192/C192-1,"")</f>
        <v/>
      </c>
    </row>
    <row r="193">
      <c r="A193" s="12" t="inlineStr">
        <is>
          <t>201</t>
        </is>
      </c>
      <c r="B193" s="13" t="inlineStr">
        <is>
          <t>General</t>
        </is>
      </c>
      <c r="C193" s="5" t="n">
        <v>613</v>
      </c>
      <c r="D193" s="5" t="n">
        <v>863</v>
      </c>
      <c r="E193" s="5" t="n">
        <v>964</v>
      </c>
      <c r="F193" s="5" t="n">
        <v>1079</v>
      </c>
      <c r="G193" s="5" t="n">
        <v>841</v>
      </c>
      <c r="H193" s="14">
        <f>IF(AND(ISNUMBER(C193),C193&gt;0,ISNUMBER(G193)),G193/C193-1,"")</f>
        <v/>
      </c>
    </row>
    <row r="194">
      <c r="A194" s="12" t="inlineStr">
        <is>
          <t>202</t>
        </is>
      </c>
      <c r="B194" s="13" t="inlineStr">
        <is>
          <t>General</t>
        </is>
      </c>
      <c r="C194" s="5" t="n">
        <v>432</v>
      </c>
      <c r="D194" s="5" t="n">
        <v>606</v>
      </c>
      <c r="E194" s="5" t="n">
        <v>567</v>
      </c>
      <c r="F194" s="5" t="n">
        <v>547</v>
      </c>
      <c r="G194" s="5" t="n">
        <v>598</v>
      </c>
      <c r="H194" s="14">
        <f>IF(AND(ISNUMBER(C194),C194&gt;0,ISNUMBER(G194)),G194/C194-1,"")</f>
        <v/>
      </c>
    </row>
    <row r="195">
      <c r="A195" s="12" t="inlineStr">
        <is>
          <t>203</t>
        </is>
      </c>
      <c r="B195" s="4" t="inlineStr"/>
      <c r="C195" s="5" t="n">
        <v>309</v>
      </c>
      <c r="D195" s="5" t="n"/>
      <c r="E195" s="5" t="n"/>
      <c r="F195" s="5" t="n"/>
      <c r="G195" s="5" t="n"/>
      <c r="H195" s="14">
        <f>IF(AND(ISNUMBER(C195),C195&gt;0,ISNUMBER(G195)),G195/C195-1,"")</f>
        <v/>
      </c>
    </row>
    <row r="196">
      <c r="A196" s="12" t="inlineStr">
        <is>
          <t>204</t>
        </is>
      </c>
      <c r="B196" s="13" t="inlineStr">
        <is>
          <t>General</t>
        </is>
      </c>
      <c r="C196" s="5" t="n">
        <v>298</v>
      </c>
      <c r="D196" s="5" t="n">
        <v>418</v>
      </c>
      <c r="E196" s="5" t="n">
        <v>397</v>
      </c>
      <c r="F196" s="5" t="n">
        <v>402</v>
      </c>
      <c r="G196" s="5" t="n">
        <v>315</v>
      </c>
      <c r="H196" s="14">
        <f>IF(AND(ISNUMBER(C196),C196&gt;0,ISNUMBER(G196)),G196/C196-1,"")</f>
        <v/>
      </c>
    </row>
    <row r="197">
      <c r="A197" s="12" t="inlineStr">
        <is>
          <t>210</t>
        </is>
      </c>
      <c r="B197" s="13" t="inlineStr">
        <is>
          <t>General</t>
        </is>
      </c>
      <c r="C197" s="5" t="n">
        <v>224</v>
      </c>
      <c r="D197" s="5" t="n">
        <v>241</v>
      </c>
      <c r="E197" s="5" t="n">
        <v>254</v>
      </c>
      <c r="F197" s="5" t="n">
        <v>277</v>
      </c>
      <c r="G197" s="5" t="n">
        <v>233</v>
      </c>
      <c r="H197" s="14">
        <f>IF(AND(ISNUMBER(C197),C197&gt;0,ISNUMBER(G197)),G197/C197-1,"")</f>
        <v/>
      </c>
    </row>
    <row r="198">
      <c r="A198" s="12" t="inlineStr">
        <is>
          <t>211</t>
        </is>
      </c>
      <c r="B198" s="13" t="inlineStr">
        <is>
          <t>General</t>
        </is>
      </c>
      <c r="C198" s="5" t="n">
        <v>50</v>
      </c>
      <c r="D198" s="5" t="n">
        <v>39</v>
      </c>
      <c r="E198" s="5" t="n">
        <v>37</v>
      </c>
      <c r="F198" s="5" t="n">
        <v>28</v>
      </c>
      <c r="G198" s="5" t="n">
        <v>66</v>
      </c>
      <c r="H198" s="14">
        <f>IF(AND(ISNUMBER(C198),C198&gt;0,ISNUMBER(G198)),G198/C198-1,"")</f>
        <v/>
      </c>
    </row>
    <row r="199">
      <c r="A199" s="12" t="inlineStr">
        <is>
          <t>212</t>
        </is>
      </c>
      <c r="B199" s="13" t="inlineStr">
        <is>
          <t>General</t>
        </is>
      </c>
      <c r="C199" s="5" t="n">
        <v>42</v>
      </c>
      <c r="D199" s="5" t="n">
        <v>28</v>
      </c>
      <c r="E199" s="5" t="n">
        <v>26</v>
      </c>
      <c r="F199" s="5" t="n">
        <v>50</v>
      </c>
      <c r="G199" s="5" t="n">
        <v>47</v>
      </c>
      <c r="H199" s="14">
        <f>IF(AND(ISNUMBER(C199),C199&gt;0,ISNUMBER(G199)),G199/C199-1,"")</f>
        <v/>
      </c>
    </row>
    <row r="200">
      <c r="A200" s="12" t="inlineStr">
        <is>
          <t>213</t>
        </is>
      </c>
      <c r="B200" s="13" t="inlineStr">
        <is>
          <t>General</t>
        </is>
      </c>
      <c r="C200" s="5" t="n">
        <v>197</v>
      </c>
      <c r="D200" s="5" t="n">
        <v>176</v>
      </c>
      <c r="E200" s="5" t="n">
        <v>188</v>
      </c>
      <c r="F200" s="5" t="n">
        <v>156</v>
      </c>
      <c r="G200" s="5" t="n">
        <v>138</v>
      </c>
      <c r="H200" s="14">
        <f>IF(AND(ISNUMBER(C200),C200&gt;0,ISNUMBER(G200)),G200/C200-1,"")</f>
        <v/>
      </c>
    </row>
    <row r="201">
      <c r="A201" s="12" t="inlineStr">
        <is>
          <t>214</t>
        </is>
      </c>
      <c r="B201" s="13" t="inlineStr">
        <is>
          <t>General</t>
        </is>
      </c>
      <c r="C201" s="5" t="n">
        <v>16</v>
      </c>
      <c r="D201" s="5" t="n">
        <v>53</v>
      </c>
      <c r="E201" s="5" t="n">
        <v>37</v>
      </c>
      <c r="F201" s="5" t="n">
        <v>52</v>
      </c>
      <c r="G201" s="5" t="n">
        <v>59</v>
      </c>
      <c r="H201" s="14">
        <f>IF(AND(ISNUMBER(C201),C201&gt;0,ISNUMBER(G201)),G201/C201-1,"")</f>
        <v/>
      </c>
    </row>
    <row r="202">
      <c r="A202" s="12" t="inlineStr">
        <is>
          <t>215</t>
        </is>
      </c>
      <c r="B202" s="13" t="inlineStr">
        <is>
          <t>General</t>
        </is>
      </c>
      <c r="C202" s="5" t="n">
        <v>179</v>
      </c>
      <c r="D202" s="5" t="n">
        <v>127</v>
      </c>
      <c r="E202" s="5" t="n">
        <v>150</v>
      </c>
      <c r="F202" s="5" t="n">
        <v>146</v>
      </c>
      <c r="G202" s="5" t="n">
        <v>126</v>
      </c>
      <c r="H202" s="14">
        <f>IF(AND(ISNUMBER(C202),C202&gt;0,ISNUMBER(G202)),G202/C202-1,"")</f>
        <v/>
      </c>
    </row>
    <row r="203">
      <c r="A203" s="12" t="inlineStr">
        <is>
          <t>216</t>
        </is>
      </c>
      <c r="B203" s="13" t="inlineStr">
        <is>
          <t>General</t>
        </is>
      </c>
      <c r="C203" s="5" t="n">
        <v>68</v>
      </c>
      <c r="D203" s="5" t="n">
        <v>98</v>
      </c>
      <c r="E203" s="5" t="n">
        <v>123</v>
      </c>
      <c r="F203" s="5" t="n">
        <v>105</v>
      </c>
      <c r="G203" s="5" t="n">
        <v>52</v>
      </c>
      <c r="H203" s="14">
        <f>IF(AND(ISNUMBER(C203),C203&gt;0,ISNUMBER(G203)),G203/C203-1,"")</f>
        <v/>
      </c>
    </row>
    <row r="204">
      <c r="A204" s="12" t="inlineStr">
        <is>
          <t>217</t>
        </is>
      </c>
      <c r="B204" s="13" t="inlineStr">
        <is>
          <t>General</t>
        </is>
      </c>
      <c r="C204" s="5" t="n">
        <v>88</v>
      </c>
      <c r="D204" s="5" t="n">
        <v>114</v>
      </c>
      <c r="E204" s="5" t="n">
        <v>105</v>
      </c>
      <c r="F204" s="5" t="n">
        <v>97</v>
      </c>
      <c r="G204" s="5" t="n">
        <v>98</v>
      </c>
      <c r="H204" s="14">
        <f>IF(AND(ISNUMBER(C204),C204&gt;0,ISNUMBER(G204)),G204/C204-1,"")</f>
        <v/>
      </c>
    </row>
    <row r="205">
      <c r="A205" s="12" t="inlineStr">
        <is>
          <t>240</t>
        </is>
      </c>
      <c r="B205" s="13" t="inlineStr">
        <is>
          <t>General</t>
        </is>
      </c>
      <c r="C205" s="5" t="n">
        <v>763</v>
      </c>
      <c r="D205" s="5" t="n">
        <v>763</v>
      </c>
      <c r="E205" s="5" t="n">
        <v>871</v>
      </c>
      <c r="F205" s="5" t="n">
        <v>776</v>
      </c>
      <c r="G205" s="5" t="n">
        <v>640</v>
      </c>
      <c r="H205" s="14">
        <f>IF(AND(ISNUMBER(C205),C205&gt;0,ISNUMBER(G205)),G205/C205-1,"")</f>
        <v/>
      </c>
    </row>
    <row r="206">
      <c r="A206" s="12" t="inlineStr">
        <is>
          <t>250</t>
        </is>
      </c>
      <c r="B206" s="13" t="inlineStr">
        <is>
          <t>General</t>
        </is>
      </c>
      <c r="C206" s="5" t="n">
        <v>123</v>
      </c>
      <c r="D206" s="5" t="n">
        <v>158</v>
      </c>
      <c r="E206" s="5" t="n">
        <v>165</v>
      </c>
      <c r="F206" s="5" t="n">
        <v>155</v>
      </c>
      <c r="G206" s="5" t="n">
        <v>157</v>
      </c>
      <c r="H206" s="14">
        <f>IF(AND(ISNUMBER(C206),C206&gt;0,ISNUMBER(G206)),G206/C206-1,"")</f>
        <v/>
      </c>
    </row>
    <row r="207">
      <c r="A207" s="12" t="inlineStr">
        <is>
          <t>260</t>
        </is>
      </c>
      <c r="B207" s="13" t="inlineStr">
        <is>
          <t>General</t>
        </is>
      </c>
      <c r="C207" s="5" t="n">
        <v>511</v>
      </c>
      <c r="D207" s="5" t="n">
        <v>751</v>
      </c>
      <c r="E207" s="5" t="n">
        <v>542</v>
      </c>
      <c r="F207" s="5" t="n">
        <v>736</v>
      </c>
      <c r="G207" s="5" t="n">
        <v>633</v>
      </c>
      <c r="H207" s="14">
        <f>IF(AND(ISNUMBER(C207),C207&gt;0,ISNUMBER(G207)),G207/C207-1,"")</f>
        <v/>
      </c>
    </row>
    <row r="208">
      <c r="A208" s="12" t="inlineStr">
        <is>
          <t>261</t>
        </is>
      </c>
      <c r="B208" s="13" t="inlineStr">
        <is>
          <t>General</t>
        </is>
      </c>
      <c r="C208" s="5" t="n">
        <v>117</v>
      </c>
      <c r="D208" s="5" t="n">
        <v>160</v>
      </c>
      <c r="E208" s="5" t="n">
        <v>177</v>
      </c>
      <c r="F208" s="5" t="n">
        <v>132</v>
      </c>
      <c r="G208" s="5" t="n">
        <v>174</v>
      </c>
      <c r="H208" s="14">
        <f>IF(AND(ISNUMBER(C208),C208&gt;0,ISNUMBER(G208)),G208/C208-1,"")</f>
        <v/>
      </c>
    </row>
    <row r="209">
      <c r="A209" s="12" t="inlineStr">
        <is>
          <t>262</t>
        </is>
      </c>
      <c r="B209" s="13" t="inlineStr">
        <is>
          <t>General</t>
        </is>
      </c>
      <c r="C209" s="5" t="n">
        <v>303</v>
      </c>
      <c r="D209" s="5" t="n">
        <v>427</v>
      </c>
      <c r="E209" s="5" t="n">
        <v>488</v>
      </c>
      <c r="F209" s="5" t="n">
        <v>405</v>
      </c>
      <c r="G209" s="5" t="n">
        <v>327</v>
      </c>
      <c r="H209" s="14">
        <f>IF(AND(ISNUMBER(C209),C209&gt;0,ISNUMBER(G209)),G209/C209-1,"")</f>
        <v/>
      </c>
    </row>
    <row r="210">
      <c r="A210" s="12" t="inlineStr">
        <is>
          <t>270</t>
        </is>
      </c>
      <c r="B210" s="13" t="inlineStr">
        <is>
          <t>General</t>
        </is>
      </c>
      <c r="C210" s="5" t="n">
        <v>293</v>
      </c>
      <c r="D210" s="5" t="n">
        <v>279</v>
      </c>
      <c r="E210" s="5" t="n">
        <v>410</v>
      </c>
      <c r="F210" s="5" t="n">
        <v>414</v>
      </c>
      <c r="G210" s="5" t="n">
        <v>318</v>
      </c>
      <c r="H210" s="14">
        <f>IF(AND(ISNUMBER(C210),C210&gt;0,ISNUMBER(G210)),G210/C210-1,"")</f>
        <v/>
      </c>
    </row>
    <row r="211">
      <c r="A211" s="12" t="inlineStr">
        <is>
          <t>280</t>
        </is>
      </c>
      <c r="B211" s="13" t="inlineStr">
        <is>
          <t>General</t>
        </is>
      </c>
      <c r="C211" s="5" t="n">
        <v>24</v>
      </c>
      <c r="D211" s="5" t="n">
        <v>30</v>
      </c>
      <c r="E211" s="5" t="n">
        <v>10</v>
      </c>
      <c r="F211" s="5" t="n">
        <v>25</v>
      </c>
      <c r="G211" s="5" t="n">
        <v>41</v>
      </c>
      <c r="H211" s="14">
        <f>IF(AND(ISNUMBER(C211),C211&gt;0,ISNUMBER(G211)),G211/C211-1,"")</f>
        <v/>
      </c>
    </row>
    <row r="212">
      <c r="A212" s="12" t="inlineStr">
        <is>
          <t>281</t>
        </is>
      </c>
      <c r="B212" s="13" t="inlineStr">
        <is>
          <t>General</t>
        </is>
      </c>
      <c r="C212" s="5" t="n">
        <v>265</v>
      </c>
      <c r="D212" s="5" t="n">
        <v>217</v>
      </c>
      <c r="E212" s="5" t="n">
        <v>226</v>
      </c>
      <c r="F212" s="5" t="n">
        <v>279</v>
      </c>
      <c r="G212" s="5" t="n">
        <v>285</v>
      </c>
      <c r="H212" s="14">
        <f>IF(AND(ISNUMBER(C212),C212&gt;0,ISNUMBER(G212)),G212/C212-1,"")</f>
        <v/>
      </c>
    </row>
    <row r="213">
      <c r="A213" s="12" t="inlineStr">
        <is>
          <t>282</t>
        </is>
      </c>
      <c r="B213" s="13" t="inlineStr">
        <is>
          <t>General</t>
        </is>
      </c>
      <c r="C213" s="5" t="n">
        <v>59</v>
      </c>
      <c r="D213" s="5" t="n">
        <v>77</v>
      </c>
      <c r="E213" s="5" t="n">
        <v>58</v>
      </c>
      <c r="F213" s="5" t="n">
        <v>85</v>
      </c>
      <c r="G213" s="5" t="n">
        <v>93</v>
      </c>
      <c r="H213" s="14">
        <f>IF(AND(ISNUMBER(C213),C213&gt;0,ISNUMBER(G213)),G213/C213-1,"")</f>
        <v/>
      </c>
    </row>
    <row r="214">
      <c r="A214" s="12" t="inlineStr">
        <is>
          <t>283</t>
        </is>
      </c>
      <c r="B214" s="4" t="inlineStr"/>
      <c r="C214" s="5" t="n">
        <v>265</v>
      </c>
      <c r="D214" s="5" t="n"/>
      <c r="E214" s="5" t="n"/>
      <c r="F214" s="5" t="n"/>
      <c r="G214" s="5" t="n"/>
      <c r="H214" s="14">
        <f>IF(AND(ISNUMBER(C214),C214&gt;0,ISNUMBER(G214)),G214/C214-1,"")</f>
        <v/>
      </c>
    </row>
    <row r="215">
      <c r="A215" s="12" t="inlineStr">
        <is>
          <t>284</t>
        </is>
      </c>
      <c r="B215" s="13" t="inlineStr">
        <is>
          <t>General</t>
        </is>
      </c>
      <c r="C215" s="5" t="n">
        <v>46</v>
      </c>
      <c r="D215" s="5" t="n">
        <v>23</v>
      </c>
      <c r="E215" s="5" t="n">
        <v>20</v>
      </c>
      <c r="F215" s="5" t="n">
        <v>35</v>
      </c>
      <c r="G215" s="5" t="n">
        <v>14</v>
      </c>
      <c r="H215" s="14">
        <f>IF(AND(ISNUMBER(C215),C215&gt;0,ISNUMBER(G215)),G215/C215-1,"")</f>
        <v/>
      </c>
    </row>
    <row r="216">
      <c r="A216" s="12" t="inlineStr">
        <is>
          <t>285</t>
        </is>
      </c>
      <c r="B216" s="13" t="inlineStr">
        <is>
          <t>General</t>
        </is>
      </c>
      <c r="C216" s="5" t="n">
        <v>659</v>
      </c>
      <c r="D216" s="5" t="n">
        <v>728</v>
      </c>
      <c r="E216" s="5" t="n">
        <v>829</v>
      </c>
      <c r="F216" s="5" t="n">
        <v>872</v>
      </c>
      <c r="G216" s="5" t="n">
        <v>962</v>
      </c>
      <c r="H216" s="14">
        <f>IF(AND(ISNUMBER(C216),C216&gt;0,ISNUMBER(G216)),G216/C216-1,"")</f>
        <v/>
      </c>
    </row>
    <row r="217">
      <c r="A217" s="12" t="inlineStr">
        <is>
          <t>290</t>
        </is>
      </c>
      <c r="B217" s="13" t="inlineStr">
        <is>
          <t>General</t>
        </is>
      </c>
      <c r="C217" s="5" t="n">
        <v>52</v>
      </c>
      <c r="D217" s="5" t="n">
        <v>67</v>
      </c>
      <c r="E217" s="5" t="n">
        <v>54</v>
      </c>
      <c r="F217" s="5" t="n">
        <v>61</v>
      </c>
      <c r="G217" s="5" t="n">
        <v>71</v>
      </c>
      <c r="H217" s="14">
        <f>IF(AND(ISNUMBER(C217),C217&gt;0,ISNUMBER(G217)),G217/C217-1,"")</f>
        <v/>
      </c>
    </row>
    <row r="218">
      <c r="A218" s="12" t="inlineStr">
        <is>
          <t>291</t>
        </is>
      </c>
      <c r="B218" s="13" t="inlineStr">
        <is>
          <t>General</t>
        </is>
      </c>
      <c r="C218" s="5" t="n">
        <v>62</v>
      </c>
      <c r="D218" s="5" t="n">
        <v>33</v>
      </c>
      <c r="E218" s="5" t="n">
        <v>23</v>
      </c>
      <c r="F218" s="5" t="n">
        <v>35</v>
      </c>
      <c r="G218" s="5" t="n">
        <v>45</v>
      </c>
      <c r="H218" s="14">
        <f>IF(AND(ISNUMBER(C218),C218&gt;0,ISNUMBER(G218)),G218/C218-1,"")</f>
        <v/>
      </c>
    </row>
    <row r="219">
      <c r="A219" s="12" t="inlineStr">
        <is>
          <t>292</t>
        </is>
      </c>
      <c r="B219" s="13" t="inlineStr">
        <is>
          <t>General</t>
        </is>
      </c>
      <c r="C219" s="5" t="n">
        <v>300</v>
      </c>
      <c r="D219" s="5" t="n">
        <v>354</v>
      </c>
      <c r="E219" s="5" t="n">
        <v>311</v>
      </c>
      <c r="F219" s="5" t="n">
        <v>319</v>
      </c>
      <c r="G219" s="5" t="n">
        <v>289</v>
      </c>
      <c r="H219" s="14">
        <f>IF(AND(ISNUMBER(C219),C219&gt;0,ISNUMBER(G219)),G219/C219-1,"")</f>
        <v/>
      </c>
    </row>
    <row r="220">
      <c r="A220" s="12" t="inlineStr">
        <is>
          <t>293</t>
        </is>
      </c>
      <c r="B220" s="13" t="inlineStr">
        <is>
          <t>General</t>
        </is>
      </c>
      <c r="C220" s="5" t="n">
        <v>119</v>
      </c>
      <c r="D220" s="5" t="n">
        <v>119</v>
      </c>
      <c r="E220" s="5" t="n">
        <v>131</v>
      </c>
      <c r="F220" s="5" t="n">
        <v>103</v>
      </c>
      <c r="G220" s="5" t="n">
        <v>176</v>
      </c>
      <c r="H220" s="14">
        <f>IF(AND(ISNUMBER(C220),C220&gt;0,ISNUMBER(G220)),G220/C220-1,"")</f>
        <v/>
      </c>
    </row>
    <row r="221">
      <c r="A221" s="12" t="inlineStr">
        <is>
          <t>298</t>
        </is>
      </c>
      <c r="B221" s="13" t="inlineStr">
        <is>
          <t>General</t>
        </is>
      </c>
      <c r="C221" s="5" t="n">
        <v>40</v>
      </c>
      <c r="D221" s="5" t="n">
        <v>38</v>
      </c>
      <c r="E221" s="5" t="n">
        <v>38</v>
      </c>
      <c r="F221" s="5" t="n">
        <v>34</v>
      </c>
      <c r="G221" s="5" t="n">
        <v>66</v>
      </c>
      <c r="H221" s="14">
        <f>IF(AND(ISNUMBER(C221),C221&gt;0,ISNUMBER(G221)),G221/C221-1,"")</f>
        <v/>
      </c>
    </row>
    <row r="222">
      <c r="A222" s="12" t="inlineStr">
        <is>
          <t>300</t>
        </is>
      </c>
      <c r="B222" s="4" t="inlineStr"/>
      <c r="C222" s="5" t="n">
        <v>46</v>
      </c>
      <c r="D222" s="5" t="n"/>
      <c r="E222" s="5" t="n"/>
      <c r="F222" s="5" t="n"/>
      <c r="G222" s="5" t="n"/>
      <c r="H222" s="14">
        <f>IF(AND(ISNUMBER(C222),C222&gt;0,ISNUMBER(G222)),G222/C222-1,"")</f>
        <v/>
      </c>
    </row>
    <row r="223">
      <c r="A223" s="12" t="inlineStr">
        <is>
          <t>301</t>
        </is>
      </c>
      <c r="B223" s="13" t="inlineStr">
        <is>
          <t>General</t>
        </is>
      </c>
      <c r="C223" s="5" t="n">
        <v>146</v>
      </c>
      <c r="D223" s="5" t="n">
        <v>124</v>
      </c>
      <c r="E223" s="5" t="n">
        <v>139</v>
      </c>
      <c r="F223" s="5" t="n">
        <v>202</v>
      </c>
      <c r="G223" s="5" t="n">
        <v>169</v>
      </c>
      <c r="H223" s="14">
        <f>IF(AND(ISNUMBER(C223),C223&gt;0,ISNUMBER(G223)),G223/C223-1,"")</f>
        <v/>
      </c>
    </row>
    <row r="224">
      <c r="A224" s="12" t="inlineStr">
        <is>
          <t>302</t>
        </is>
      </c>
      <c r="B224" s="13" t="inlineStr">
        <is>
          <t>General</t>
        </is>
      </c>
      <c r="C224" s="5" t="n">
        <v>32</v>
      </c>
      <c r="D224" s="5" t="n">
        <v>37</v>
      </c>
      <c r="E224" s="5" t="n">
        <v>85</v>
      </c>
      <c r="F224" s="5" t="n">
        <v>22</v>
      </c>
      <c r="G224" s="5" t="n">
        <v>42</v>
      </c>
      <c r="H224" s="14">
        <f>IF(AND(ISNUMBER(C224),C224&gt;0,ISNUMBER(G224)),G224/C224-1,"")</f>
        <v/>
      </c>
    </row>
    <row r="225">
      <c r="A225" s="12" t="inlineStr">
        <is>
          <t>303</t>
        </is>
      </c>
      <c r="B225" s="13" t="inlineStr">
        <is>
          <t>General</t>
        </is>
      </c>
      <c r="C225" s="5" t="n"/>
      <c r="D225" s="5" t="n">
        <v>9</v>
      </c>
      <c r="E225" s="5" t="n">
        <v>25</v>
      </c>
      <c r="F225" s="5" t="n">
        <v>18</v>
      </c>
      <c r="G225" s="5" t="n">
        <v>28</v>
      </c>
      <c r="H225" s="14">
        <f>IF(AND(ISNUMBER(C225),C225&gt;0,ISNUMBER(G225)),G225/C225-1,"")</f>
        <v/>
      </c>
    </row>
    <row r="226">
      <c r="A226" s="12" t="inlineStr">
        <is>
          <t>304</t>
        </is>
      </c>
      <c r="B226" s="13" t="inlineStr">
        <is>
          <t>General</t>
        </is>
      </c>
      <c r="C226" s="5" t="n"/>
      <c r="D226" s="5" t="n">
        <v>73</v>
      </c>
      <c r="E226" s="5" t="n">
        <v>105</v>
      </c>
      <c r="F226" s="5" t="n">
        <v>85</v>
      </c>
      <c r="G226" s="5" t="n">
        <v>110</v>
      </c>
      <c r="H226" s="14">
        <f>IF(AND(ISNUMBER(C226),C226&gt;0,ISNUMBER(G226)),G226/C226-1,"")</f>
        <v/>
      </c>
    </row>
    <row r="227">
      <c r="A227" s="12" t="inlineStr">
        <is>
          <t>309</t>
        </is>
      </c>
      <c r="B227" s="13" t="inlineStr">
        <is>
          <t>General</t>
        </is>
      </c>
      <c r="C227" s="5" t="n">
        <v>498</v>
      </c>
      <c r="D227" s="5" t="n">
        <v>488</v>
      </c>
      <c r="E227" s="5" t="n">
        <v>398</v>
      </c>
      <c r="F227" s="5" t="n">
        <v>405</v>
      </c>
      <c r="G227" s="5" t="n">
        <v>346</v>
      </c>
      <c r="H227" s="14">
        <f>IF(AND(ISNUMBER(C227),C227&gt;0,ISNUMBER(G227)),G227/C227-1,"")</f>
        <v/>
      </c>
    </row>
    <row r="228">
      <c r="A228" s="12" t="inlineStr">
        <is>
          <t>310</t>
        </is>
      </c>
      <c r="B228" s="13" t="inlineStr">
        <is>
          <t>General</t>
        </is>
      </c>
      <c r="C228" s="5" t="n">
        <v>11</v>
      </c>
      <c r="D228" s="5" t="n">
        <v>25</v>
      </c>
      <c r="E228" s="5" t="n">
        <v>36</v>
      </c>
      <c r="F228" s="5" t="n">
        <v>21</v>
      </c>
      <c r="G228" s="5" t="n">
        <v>38</v>
      </c>
      <c r="H228" s="14">
        <f>IF(AND(ISNUMBER(C228),C228&gt;0,ISNUMBER(G228)),G228/C228-1,"")</f>
        <v/>
      </c>
    </row>
    <row r="229">
      <c r="A229" s="12" t="inlineStr">
        <is>
          <t>311</t>
        </is>
      </c>
      <c r="B229" s="13" t="inlineStr">
        <is>
          <t>General</t>
        </is>
      </c>
      <c r="C229" s="5" t="n">
        <v>697</v>
      </c>
      <c r="D229" s="5" t="n">
        <v>629</v>
      </c>
      <c r="E229" s="5" t="n">
        <v>648</v>
      </c>
      <c r="F229" s="5" t="n">
        <v>692</v>
      </c>
      <c r="G229" s="5" t="n">
        <v>653</v>
      </c>
      <c r="H229" s="14">
        <f>IF(AND(ISNUMBER(C229),C229&gt;0,ISNUMBER(G229)),G229/C229-1,"")</f>
        <v/>
      </c>
    </row>
    <row r="230">
      <c r="A230" s="12" t="inlineStr">
        <is>
          <t>312</t>
        </is>
      </c>
      <c r="B230" s="13" t="inlineStr">
        <is>
          <t>General</t>
        </is>
      </c>
      <c r="C230" s="5" t="n">
        <v>486</v>
      </c>
      <c r="D230" s="5" t="n">
        <v>503</v>
      </c>
      <c r="E230" s="5" t="n">
        <v>370</v>
      </c>
      <c r="F230" s="5" t="n">
        <v>535</v>
      </c>
      <c r="G230" s="5" t="n">
        <v>417</v>
      </c>
      <c r="H230" s="14">
        <f>IF(AND(ISNUMBER(C230),C230&gt;0,ISNUMBER(G230)),G230/C230-1,"")</f>
        <v/>
      </c>
    </row>
    <row r="231">
      <c r="A231" s="12" t="inlineStr">
        <is>
          <t>313</t>
        </is>
      </c>
      <c r="B231" s="13" t="inlineStr">
        <is>
          <t>General</t>
        </is>
      </c>
      <c r="C231" s="5" t="n">
        <v>27</v>
      </c>
      <c r="D231" s="5" t="n">
        <v>37</v>
      </c>
      <c r="E231" s="5" t="n">
        <v>35</v>
      </c>
      <c r="F231" s="5" t="n">
        <v>24</v>
      </c>
      <c r="G231" s="5" t="n">
        <v>50</v>
      </c>
      <c r="H231" s="14">
        <f>IF(AND(ISNUMBER(C231),C231&gt;0,ISNUMBER(G231)),G231/C231-1,"")</f>
        <v/>
      </c>
    </row>
    <row r="232">
      <c r="A232" s="12" t="inlineStr">
        <is>
          <t>314</t>
        </is>
      </c>
      <c r="B232" s="13" t="inlineStr">
        <is>
          <t>General</t>
        </is>
      </c>
      <c r="C232" s="5" t="n">
        <v>224</v>
      </c>
      <c r="D232" s="5" t="n">
        <v>207</v>
      </c>
      <c r="E232" s="5" t="n">
        <v>214</v>
      </c>
      <c r="F232" s="5" t="n">
        <v>238</v>
      </c>
      <c r="G232" s="5" t="n">
        <v>282</v>
      </c>
      <c r="H232" s="14">
        <f>IF(AND(ISNUMBER(C232),C232&gt;0,ISNUMBER(G232)),G232/C232-1,"")</f>
        <v/>
      </c>
    </row>
    <row r="233">
      <c r="A233" s="12" t="inlineStr">
        <is>
          <t>315</t>
        </is>
      </c>
      <c r="B233" s="13" t="inlineStr">
        <is>
          <t>General</t>
        </is>
      </c>
      <c r="C233" s="5" t="n">
        <v>400</v>
      </c>
      <c r="D233" s="5" t="n">
        <v>379</v>
      </c>
      <c r="E233" s="5" t="n">
        <v>389</v>
      </c>
      <c r="F233" s="5" t="n">
        <v>381</v>
      </c>
      <c r="G233" s="5" t="n">
        <v>315</v>
      </c>
      <c r="H233" s="14">
        <f>IF(AND(ISNUMBER(C233),C233&gt;0,ISNUMBER(G233)),G233/C233-1,"")</f>
        <v/>
      </c>
    </row>
    <row r="234">
      <c r="A234" s="12" t="inlineStr">
        <is>
          <t>316</t>
        </is>
      </c>
      <c r="B234" s="13" t="inlineStr">
        <is>
          <t>General</t>
        </is>
      </c>
      <c r="C234" s="5" t="n"/>
      <c r="D234" s="5" t="n">
        <v>12</v>
      </c>
      <c r="E234" s="5" t="n">
        <v>6</v>
      </c>
      <c r="F234" s="5" t="n">
        <v>6</v>
      </c>
      <c r="G234" s="5" t="n">
        <v>3</v>
      </c>
      <c r="H234" s="14">
        <f>IF(AND(ISNUMBER(C234),C234&gt;0,ISNUMBER(G234)),G234/C234-1,"")</f>
        <v/>
      </c>
    </row>
    <row r="235">
      <c r="A235" s="12" t="inlineStr">
        <is>
          <t>317</t>
        </is>
      </c>
      <c r="B235" s="13" t="inlineStr">
        <is>
          <t>General</t>
        </is>
      </c>
      <c r="C235" s="5" t="n">
        <v>478</v>
      </c>
      <c r="D235" s="5" t="n">
        <v>424</v>
      </c>
      <c r="E235" s="5" t="n">
        <v>417</v>
      </c>
      <c r="F235" s="5" t="n">
        <v>451</v>
      </c>
      <c r="G235" s="5" t="n">
        <v>332</v>
      </c>
      <c r="H235" s="14">
        <f>IF(AND(ISNUMBER(C235),C235&gt;0,ISNUMBER(G235)),G235/C235-1,"")</f>
        <v/>
      </c>
    </row>
    <row r="236">
      <c r="A236" s="12" t="inlineStr">
        <is>
          <t>318</t>
        </is>
      </c>
      <c r="B236" s="13" t="inlineStr">
        <is>
          <t>General</t>
        </is>
      </c>
      <c r="C236" s="5" t="n">
        <v>21</v>
      </c>
      <c r="D236" s="5" t="n">
        <v>20</v>
      </c>
      <c r="E236" s="5" t="n">
        <v>20</v>
      </c>
      <c r="F236" s="5" t="n">
        <v>12</v>
      </c>
      <c r="G236" s="5" t="n">
        <v>21</v>
      </c>
      <c r="H236" s="14">
        <f>IF(AND(ISNUMBER(C236),C236&gt;0,ISNUMBER(G236)),G236/C236-1,"")</f>
        <v/>
      </c>
    </row>
    <row r="237">
      <c r="A237" s="12" t="inlineStr">
        <is>
          <t>319</t>
        </is>
      </c>
      <c r="B237" s="13" t="inlineStr">
        <is>
          <t>General</t>
        </is>
      </c>
      <c r="C237" s="5" t="n">
        <v>19</v>
      </c>
      <c r="D237" s="5" t="n">
        <v>24</v>
      </c>
      <c r="E237" s="5" t="n">
        <v>56</v>
      </c>
      <c r="F237" s="5" t="n">
        <v>58</v>
      </c>
      <c r="G237" s="5" t="n">
        <v>77</v>
      </c>
      <c r="H237" s="14">
        <f>IF(AND(ISNUMBER(C237),C237&gt;0,ISNUMBER(G237)),G237/C237-1,"")</f>
        <v/>
      </c>
    </row>
    <row r="238">
      <c r="A238" s="12" t="inlineStr">
        <is>
          <t>320</t>
        </is>
      </c>
      <c r="B238" s="13" t="inlineStr">
        <is>
          <t>General</t>
        </is>
      </c>
      <c r="C238" s="5" t="n">
        <v>552</v>
      </c>
      <c r="D238" s="5" t="n">
        <v>921</v>
      </c>
      <c r="E238" s="5" t="n">
        <v>829</v>
      </c>
      <c r="F238" s="5" t="n">
        <v>997</v>
      </c>
      <c r="G238" s="5" t="n">
        <v>909</v>
      </c>
      <c r="H238" s="14">
        <f>IF(AND(ISNUMBER(C238),C238&gt;0,ISNUMBER(G238)),G238/C238-1,"")</f>
        <v/>
      </c>
    </row>
    <row r="239">
      <c r="A239" s="12" t="inlineStr">
        <is>
          <t>321</t>
        </is>
      </c>
      <c r="B239" s="13" t="inlineStr">
        <is>
          <t>General</t>
        </is>
      </c>
      <c r="C239" s="5" t="n">
        <v>41</v>
      </c>
      <c r="D239" s="5" t="n">
        <v>40</v>
      </c>
      <c r="E239" s="5" t="n">
        <v>81</v>
      </c>
      <c r="F239" s="5" t="n">
        <v>45</v>
      </c>
      <c r="G239" s="5" t="n">
        <v>50</v>
      </c>
      <c r="H239" s="14">
        <f>IF(AND(ISNUMBER(C239),C239&gt;0,ISNUMBER(G239)),G239/C239-1,"")</f>
        <v/>
      </c>
    </row>
    <row r="240">
      <c r="A240" s="12" t="inlineStr">
        <is>
          <t>322</t>
        </is>
      </c>
      <c r="B240" s="13" t="inlineStr">
        <is>
          <t>General</t>
        </is>
      </c>
      <c r="C240" s="5" t="n">
        <v>675</v>
      </c>
      <c r="D240" s="5" t="n">
        <v>1072</v>
      </c>
      <c r="E240" s="5" t="n">
        <v>1022</v>
      </c>
      <c r="F240" s="5" t="n">
        <v>431</v>
      </c>
      <c r="G240" s="5" t="n">
        <v>427</v>
      </c>
      <c r="H240" s="14">
        <f>IF(AND(ISNUMBER(C240),C240&gt;0,ISNUMBER(G240)),G240/C240-1,"")</f>
        <v/>
      </c>
    </row>
    <row r="241">
      <c r="A241" s="12" t="inlineStr">
        <is>
          <t>323</t>
        </is>
      </c>
      <c r="B241" s="13" t="inlineStr">
        <is>
          <t>General</t>
        </is>
      </c>
      <c r="C241" s="5" t="n">
        <v>22</v>
      </c>
      <c r="D241" s="5" t="n"/>
      <c r="E241" s="5" t="n"/>
      <c r="F241" s="5" t="n">
        <v>243</v>
      </c>
      <c r="G241" s="5" t="n">
        <v>271</v>
      </c>
      <c r="H241" s="14">
        <f>IF(AND(ISNUMBER(C241),C241&gt;0,ISNUMBER(G241)),G241/C241-1,"")</f>
        <v/>
      </c>
    </row>
    <row r="242">
      <c r="A242" s="12" t="inlineStr">
        <is>
          <t>324</t>
        </is>
      </c>
      <c r="B242" s="13" t="inlineStr">
        <is>
          <t>General</t>
        </is>
      </c>
      <c r="C242" s="5" t="n">
        <v>70</v>
      </c>
      <c r="D242" s="5" t="n"/>
      <c r="E242" s="5" t="n"/>
      <c r="F242" s="5" t="n">
        <v>275</v>
      </c>
      <c r="G242" s="5" t="n">
        <v>299</v>
      </c>
      <c r="H242" s="14">
        <f>IF(AND(ISNUMBER(C242),C242&gt;0,ISNUMBER(G242)),G242/C242-1,"")</f>
        <v/>
      </c>
    </row>
    <row r="243">
      <c r="A243" s="12" t="inlineStr">
        <is>
          <t>325</t>
        </is>
      </c>
      <c r="B243" s="4" t="inlineStr"/>
      <c r="C243" s="5" t="n">
        <v>313</v>
      </c>
      <c r="D243" s="5" t="n"/>
      <c r="E243" s="5" t="n"/>
      <c r="F243" s="5" t="n"/>
      <c r="G243" s="5" t="n"/>
      <c r="H243" s="14">
        <f>IF(AND(ISNUMBER(C243),C243&gt;0,ISNUMBER(G243)),G243/C243-1,"")</f>
        <v/>
      </c>
    </row>
    <row r="244">
      <c r="A244" s="12" t="inlineStr">
        <is>
          <t>326</t>
        </is>
      </c>
      <c r="B244" s="4" t="inlineStr"/>
      <c r="C244" s="5" t="n">
        <v>114</v>
      </c>
      <c r="D244" s="5" t="n"/>
      <c r="E244" s="5" t="n"/>
      <c r="F244" s="5" t="n"/>
      <c r="G244" s="5" t="n"/>
      <c r="H244" s="14">
        <f>IF(AND(ISNUMBER(C244),C244&gt;0,ISNUMBER(G244)),G244/C244-1,"")</f>
        <v/>
      </c>
    </row>
    <row r="245">
      <c r="A245" s="12" t="inlineStr">
        <is>
          <t>327</t>
        </is>
      </c>
      <c r="B245" s="4" t="inlineStr"/>
      <c r="C245" s="5" t="n">
        <v>22</v>
      </c>
      <c r="D245" s="5" t="n"/>
      <c r="E245" s="5" t="n"/>
      <c r="F245" s="5" t="n"/>
      <c r="G245" s="5" t="n"/>
      <c r="H245" s="14">
        <f>IF(AND(ISNUMBER(C245),C245&gt;0,ISNUMBER(G245)),G245/C245-1,"")</f>
        <v/>
      </c>
    </row>
    <row r="246">
      <c r="A246" s="12" t="inlineStr">
        <is>
          <t>328</t>
        </is>
      </c>
      <c r="B246" s="4" t="inlineStr"/>
      <c r="C246" s="5" t="n">
        <v>4</v>
      </c>
      <c r="D246" s="5" t="n"/>
      <c r="E246" s="5" t="n"/>
      <c r="F246" s="5" t="n"/>
      <c r="G246" s="5" t="n"/>
      <c r="H246" s="14">
        <f>IF(AND(ISNUMBER(C246),C246&gt;0,ISNUMBER(G246)),G246/C246-1,"")</f>
        <v/>
      </c>
    </row>
    <row r="247">
      <c r="A247" s="12" t="inlineStr">
        <is>
          <t>329</t>
        </is>
      </c>
      <c r="B247" s="13" t="inlineStr">
        <is>
          <t>General</t>
        </is>
      </c>
      <c r="C247" s="5" t="n">
        <v>24</v>
      </c>
      <c r="D247" s="5" t="n">
        <v>38</v>
      </c>
      <c r="E247" s="5" t="n">
        <v>68</v>
      </c>
      <c r="F247" s="5" t="n">
        <v>40</v>
      </c>
      <c r="G247" s="5" t="n">
        <v>35</v>
      </c>
      <c r="H247" s="14">
        <f>IF(AND(ISNUMBER(C247),C247&gt;0,ISNUMBER(G247)),G247/C247-1,"")</f>
        <v/>
      </c>
    </row>
    <row r="248">
      <c r="A248" s="12" t="inlineStr">
        <is>
          <t>330</t>
        </is>
      </c>
      <c r="B248" s="4" t="inlineStr"/>
      <c r="C248" s="5" t="n">
        <v>168</v>
      </c>
      <c r="D248" s="5" t="n"/>
      <c r="E248" s="5" t="n"/>
      <c r="F248" s="5" t="n"/>
      <c r="G248" s="5" t="n"/>
      <c r="H248" s="14">
        <f>IF(AND(ISNUMBER(C248),C248&gt;0,ISNUMBER(G248)),G248/C248-1,"")</f>
        <v/>
      </c>
    </row>
    <row r="249">
      <c r="A249" s="12" t="inlineStr">
        <is>
          <t>331</t>
        </is>
      </c>
      <c r="B249" s="13" t="inlineStr">
        <is>
          <t>General</t>
        </is>
      </c>
      <c r="C249" s="5" t="n">
        <v>135</v>
      </c>
      <c r="D249" s="5" t="n">
        <v>170</v>
      </c>
      <c r="E249" s="5" t="n">
        <v>153</v>
      </c>
      <c r="F249" s="5" t="n">
        <v>196</v>
      </c>
      <c r="G249" s="5" t="n">
        <v>161</v>
      </c>
      <c r="H249" s="14">
        <f>IF(AND(ISNUMBER(C249),C249&gt;0,ISNUMBER(G249)),G249/C249-1,"")</f>
        <v/>
      </c>
    </row>
    <row r="250">
      <c r="A250" s="12" t="inlineStr">
        <is>
          <t>332</t>
        </is>
      </c>
      <c r="B250" s="4" t="inlineStr"/>
      <c r="C250" s="5" t="n">
        <v>21</v>
      </c>
      <c r="D250" s="5" t="n"/>
      <c r="E250" s="5" t="n"/>
      <c r="F250" s="5" t="n"/>
      <c r="G250" s="5" t="n"/>
      <c r="H250" s="14">
        <f>IF(AND(ISNUMBER(C250),C250&gt;0,ISNUMBER(G250)),G250/C250-1,"")</f>
        <v/>
      </c>
    </row>
    <row r="251">
      <c r="A251" s="12" t="inlineStr">
        <is>
          <t>333</t>
        </is>
      </c>
      <c r="B251" s="4" t="inlineStr"/>
      <c r="C251" s="5" t="n">
        <v>494</v>
      </c>
      <c r="D251" s="5" t="n"/>
      <c r="E251" s="5" t="n"/>
      <c r="F251" s="5" t="n"/>
      <c r="G251" s="5" t="n"/>
      <c r="H251" s="14">
        <f>IF(AND(ISNUMBER(C251),C251&gt;0,ISNUMBER(G251)),G251/C251-1,"")</f>
        <v/>
      </c>
    </row>
    <row r="252">
      <c r="A252" s="12" t="inlineStr">
        <is>
          <t>334</t>
        </is>
      </c>
      <c r="B252" s="4" t="inlineStr"/>
      <c r="C252" s="5" t="n">
        <v>8</v>
      </c>
      <c r="D252" s="5" t="n"/>
      <c r="E252" s="5" t="n"/>
      <c r="F252" s="5" t="n"/>
      <c r="G252" s="5" t="n"/>
      <c r="H252" s="14">
        <f>IF(AND(ISNUMBER(C252),C252&gt;0,ISNUMBER(G252)),G252/C252-1,"")</f>
        <v/>
      </c>
    </row>
    <row r="253">
      <c r="A253" s="12" t="inlineStr">
        <is>
          <t>335</t>
        </is>
      </c>
      <c r="B253" s="13" t="inlineStr">
        <is>
          <t>General</t>
        </is>
      </c>
      <c r="C253" s="5" t="n">
        <v>39</v>
      </c>
      <c r="D253" s="5" t="n">
        <v>85</v>
      </c>
      <c r="E253" s="5" t="n">
        <v>40</v>
      </c>
      <c r="F253" s="5" t="n">
        <v>74</v>
      </c>
      <c r="G253" s="5" t="n">
        <v>74</v>
      </c>
      <c r="H253" s="14">
        <f>IF(AND(ISNUMBER(C253),C253&gt;0,ISNUMBER(G253)),G253/C253-1,"")</f>
        <v/>
      </c>
    </row>
    <row r="254">
      <c r="A254" s="12" t="inlineStr">
        <is>
          <t>339</t>
        </is>
      </c>
      <c r="B254" s="13" t="inlineStr">
        <is>
          <t>General</t>
        </is>
      </c>
      <c r="C254" s="5" t="n">
        <v>50</v>
      </c>
      <c r="D254" s="5" t="n">
        <v>70</v>
      </c>
      <c r="E254" s="5" t="n">
        <v>57</v>
      </c>
      <c r="F254" s="5" t="n">
        <v>57</v>
      </c>
      <c r="G254" s="5" t="n">
        <v>69</v>
      </c>
      <c r="H254" s="14">
        <f>IF(AND(ISNUMBER(C254),C254&gt;0,ISNUMBER(G254)),G254/C254-1,"")</f>
        <v/>
      </c>
    </row>
    <row r="255">
      <c r="A255" s="12" t="inlineStr">
        <is>
          <t>340</t>
        </is>
      </c>
      <c r="B255" s="13" t="inlineStr">
        <is>
          <t>General</t>
        </is>
      </c>
      <c r="C255" s="5" t="n">
        <v>444</v>
      </c>
      <c r="D255" s="5" t="n">
        <v>399</v>
      </c>
      <c r="E255" s="5" t="n">
        <v>424</v>
      </c>
      <c r="F255" s="5" t="n">
        <v>374</v>
      </c>
      <c r="G255" s="5" t="n">
        <v>331</v>
      </c>
      <c r="H255" s="14">
        <f>IF(AND(ISNUMBER(C255),C255&gt;0,ISNUMBER(G255)),G255/C255-1,"")</f>
        <v/>
      </c>
    </row>
    <row r="256">
      <c r="A256" s="12" t="inlineStr">
        <is>
          <t>341</t>
        </is>
      </c>
      <c r="B256" s="4" t="inlineStr"/>
      <c r="C256" s="5" t="n">
        <v>58</v>
      </c>
      <c r="D256" s="5" t="n"/>
      <c r="E256" s="5" t="n"/>
      <c r="F256" s="5" t="n"/>
      <c r="G256" s="5" t="n"/>
      <c r="H256" s="14">
        <f>IF(AND(ISNUMBER(C256),C256&gt;0,ISNUMBER(G256)),G256/C256-1,"")</f>
        <v/>
      </c>
    </row>
    <row r="257">
      <c r="A257" s="12" t="inlineStr">
        <is>
          <t>343</t>
        </is>
      </c>
      <c r="B257" s="13" t="inlineStr">
        <is>
          <t>General</t>
        </is>
      </c>
      <c r="C257" s="5" t="n">
        <v>50</v>
      </c>
      <c r="D257" s="5" t="n">
        <v>54</v>
      </c>
      <c r="E257" s="5" t="n">
        <v>66</v>
      </c>
      <c r="F257" s="5" t="n">
        <v>57</v>
      </c>
      <c r="G257" s="5" t="n">
        <v>52</v>
      </c>
      <c r="H257" s="14">
        <f>IF(AND(ISNUMBER(C257),C257&gt;0,ISNUMBER(G257)),G257/C257-1,"")</f>
        <v/>
      </c>
    </row>
    <row r="258">
      <c r="A258" s="12" t="inlineStr">
        <is>
          <t>350</t>
        </is>
      </c>
      <c r="B258" s="13" t="inlineStr">
        <is>
          <t>General</t>
        </is>
      </c>
      <c r="C258" s="5" t="n">
        <v>29</v>
      </c>
      <c r="D258" s="5" t="n">
        <v>55</v>
      </c>
      <c r="E258" s="5" t="n">
        <v>50</v>
      </c>
      <c r="F258" s="5" t="n">
        <v>74</v>
      </c>
      <c r="G258" s="5" t="n">
        <v>49</v>
      </c>
      <c r="H258" s="14">
        <f>IF(AND(ISNUMBER(C258),C258&gt;0,ISNUMBER(G258)),G258/C258-1,"")</f>
        <v/>
      </c>
    </row>
    <row r="259">
      <c r="A259" s="12" t="inlineStr">
        <is>
          <t>360</t>
        </is>
      </c>
      <c r="B259" s="13" t="inlineStr">
        <is>
          <t>General</t>
        </is>
      </c>
      <c r="C259" s="5" t="n">
        <v>200</v>
      </c>
      <c r="D259" s="5" t="n">
        <v>264</v>
      </c>
      <c r="E259" s="5" t="n">
        <v>201</v>
      </c>
      <c r="F259" s="5" t="n">
        <v>260</v>
      </c>
      <c r="G259" s="5" t="n">
        <v>262</v>
      </c>
      <c r="H259" s="14">
        <f>IF(AND(ISNUMBER(C259),C259&gt;0,ISNUMBER(G259)),G259/C259-1,"")</f>
        <v/>
      </c>
    </row>
    <row r="260">
      <c r="A260" s="12" t="inlineStr">
        <is>
          <t>361</t>
        </is>
      </c>
      <c r="B260" s="13" t="inlineStr">
        <is>
          <t>General</t>
        </is>
      </c>
      <c r="C260" s="5" t="n"/>
      <c r="D260" s="5" t="n">
        <v>9</v>
      </c>
      <c r="E260" s="5" t="n">
        <v>10</v>
      </c>
      <c r="F260" s="5" t="n">
        <v>3</v>
      </c>
      <c r="G260" s="5" t="n">
        <v>8</v>
      </c>
      <c r="H260" s="14">
        <f>IF(AND(ISNUMBER(C260),C260&gt;0,ISNUMBER(G260)),G260/C260-1,"")</f>
        <v/>
      </c>
    </row>
    <row r="261">
      <c r="A261" s="12" t="inlineStr">
        <is>
          <t>362</t>
        </is>
      </c>
      <c r="B261" s="4" t="inlineStr"/>
      <c r="C261" s="5" t="n">
        <v>3</v>
      </c>
      <c r="D261" s="5" t="n"/>
      <c r="E261" s="5" t="n"/>
      <c r="F261" s="5" t="n"/>
      <c r="G261" s="5" t="n"/>
      <c r="H261" s="14">
        <f>IF(AND(ISNUMBER(C261),C261&gt;0,ISNUMBER(G261)),G261/C261-1,"")</f>
        <v/>
      </c>
    </row>
    <row r="262">
      <c r="A262" s="12" t="inlineStr">
        <is>
          <t>370</t>
        </is>
      </c>
      <c r="B262" s="13" t="inlineStr">
        <is>
          <t>General</t>
        </is>
      </c>
      <c r="C262" s="5" t="n">
        <v>20</v>
      </c>
      <c r="D262" s="5" t="n">
        <v>15</v>
      </c>
      <c r="E262" s="5" t="n">
        <v>43</v>
      </c>
      <c r="F262" s="5" t="n">
        <v>25</v>
      </c>
      <c r="G262" s="5" t="n">
        <v>37</v>
      </c>
      <c r="H262" s="14">
        <f>IF(AND(ISNUMBER(C262),C262&gt;0,ISNUMBER(G262)),G262/C262-1,"")</f>
        <v/>
      </c>
    </row>
    <row r="263">
      <c r="A263" s="12" t="inlineStr">
        <is>
          <t>380</t>
        </is>
      </c>
      <c r="B263" s="13" t="inlineStr">
        <is>
          <t>General</t>
        </is>
      </c>
      <c r="C263" s="5" t="n">
        <v>467</v>
      </c>
      <c r="D263" s="5" t="n">
        <v>396</v>
      </c>
      <c r="E263" s="5" t="n">
        <v>360</v>
      </c>
      <c r="F263" s="5" t="n">
        <v>443</v>
      </c>
      <c r="G263" s="5" t="n">
        <v>366</v>
      </c>
      <c r="H263" s="14">
        <f>IF(AND(ISNUMBER(C263),C263&gt;0,ISNUMBER(G263)),G263/C263-1,"")</f>
        <v/>
      </c>
    </row>
    <row r="264">
      <c r="A264" s="12" t="inlineStr">
        <is>
          <t>388</t>
        </is>
      </c>
      <c r="B264" s="13" t="inlineStr">
        <is>
          <t>General</t>
        </is>
      </c>
      <c r="C264" s="5" t="n">
        <v>137</v>
      </c>
      <c r="D264" s="5" t="n">
        <v>161</v>
      </c>
      <c r="E264" s="5" t="n">
        <v>185</v>
      </c>
      <c r="F264" s="5" t="n">
        <v>175</v>
      </c>
      <c r="G264" s="5" t="n">
        <v>145</v>
      </c>
      <c r="H264" s="14">
        <f>IF(AND(ISNUMBER(C264),C264&gt;0,ISNUMBER(G264)),G264/C264-1,"")</f>
        <v/>
      </c>
    </row>
    <row r="265">
      <c r="A265" s="12" t="inlineStr">
        <is>
          <t>390</t>
        </is>
      </c>
      <c r="B265" s="13" t="inlineStr">
        <is>
          <t>General</t>
        </is>
      </c>
      <c r="C265" s="5" t="n">
        <v>71</v>
      </c>
      <c r="D265" s="5" t="n">
        <v>84</v>
      </c>
      <c r="E265" s="5" t="n">
        <v>72</v>
      </c>
      <c r="F265" s="5" t="n">
        <v>128</v>
      </c>
      <c r="G265" s="5" t="n">
        <v>70</v>
      </c>
      <c r="H265" s="14">
        <f>IF(AND(ISNUMBER(C265),C265&gt;0,ISNUMBER(G265)),G265/C265-1,"")</f>
        <v/>
      </c>
    </row>
    <row r="266">
      <c r="A266" s="12" t="inlineStr">
        <is>
          <t>391</t>
        </is>
      </c>
      <c r="B266" s="13" t="inlineStr">
        <is>
          <t>General</t>
        </is>
      </c>
      <c r="C266" s="5" t="n">
        <v>160</v>
      </c>
      <c r="D266" s="5" t="n">
        <v>214</v>
      </c>
      <c r="E266" s="5" t="n">
        <v>220</v>
      </c>
      <c r="F266" s="5" t="n">
        <v>238</v>
      </c>
      <c r="G266" s="5" t="n">
        <v>229</v>
      </c>
      <c r="H266" s="14">
        <f>IF(AND(ISNUMBER(C266),C266&gt;0,ISNUMBER(G266)),G266/C266-1,"")</f>
        <v/>
      </c>
    </row>
    <row r="267">
      <c r="A267" s="12" t="inlineStr">
        <is>
          <t>392</t>
        </is>
      </c>
      <c r="B267" s="13" t="inlineStr">
        <is>
          <t>General</t>
        </is>
      </c>
      <c r="C267" s="5" t="n">
        <v>38</v>
      </c>
      <c r="D267" s="5" t="n">
        <v>50</v>
      </c>
      <c r="E267" s="5" t="n">
        <v>40</v>
      </c>
      <c r="F267" s="5" t="n">
        <v>11</v>
      </c>
      <c r="G267" s="5" t="n">
        <v>14</v>
      </c>
      <c r="H267" s="14">
        <f>IF(AND(ISNUMBER(C267),C267&gt;0,ISNUMBER(G267)),G267/C267-1,"")</f>
        <v/>
      </c>
    </row>
    <row r="268">
      <c r="A268" s="12" t="inlineStr">
        <is>
          <t>393</t>
        </is>
      </c>
      <c r="B268" s="13" t="inlineStr">
        <is>
          <t>General</t>
        </is>
      </c>
      <c r="C268" s="5" t="n">
        <v>218</v>
      </c>
      <c r="D268" s="5" t="n">
        <v>246</v>
      </c>
      <c r="E268" s="5" t="n">
        <v>233</v>
      </c>
      <c r="F268" s="5" t="n">
        <v>251</v>
      </c>
      <c r="G268" s="5" t="n">
        <v>244</v>
      </c>
      <c r="H268" s="14">
        <f>IF(AND(ISNUMBER(C268),C268&gt;0,ISNUMBER(G268)),G268/C268-1,"")</f>
        <v/>
      </c>
    </row>
    <row r="269">
      <c r="A269" s="12" t="inlineStr">
        <is>
          <t>400</t>
        </is>
      </c>
      <c r="B269" s="13" t="inlineStr">
        <is>
          <t>General</t>
        </is>
      </c>
      <c r="C269" s="5" t="n">
        <v>408</v>
      </c>
      <c r="D269" s="5" t="n">
        <v>392</v>
      </c>
      <c r="E269" s="5" t="n">
        <v>465</v>
      </c>
      <c r="F269" s="5" t="n">
        <v>435</v>
      </c>
      <c r="G269" s="5" t="n">
        <v>366</v>
      </c>
      <c r="H269" s="14">
        <f>IF(AND(ISNUMBER(C269),C269&gt;0,ISNUMBER(G269)),G269/C269-1,"")</f>
        <v/>
      </c>
    </row>
    <row r="270">
      <c r="A270" s="12" t="inlineStr">
        <is>
          <t>401</t>
        </is>
      </c>
      <c r="B270" s="13" t="inlineStr">
        <is>
          <t>General</t>
        </is>
      </c>
      <c r="C270" s="5" t="n">
        <v>337</v>
      </c>
      <c r="D270" s="5" t="n">
        <v>406</v>
      </c>
      <c r="E270" s="5" t="n">
        <v>320</v>
      </c>
      <c r="F270" s="5" t="n">
        <v>272</v>
      </c>
      <c r="G270" s="5" t="n">
        <v>291</v>
      </c>
      <c r="H270" s="14">
        <f>IF(AND(ISNUMBER(C270),C270&gt;0,ISNUMBER(G270)),G270/C270-1,"")</f>
        <v/>
      </c>
    </row>
    <row r="271">
      <c r="A271" s="12" t="inlineStr">
        <is>
          <t>403</t>
        </is>
      </c>
      <c r="B271" s="13" t="inlineStr">
        <is>
          <t>General</t>
        </is>
      </c>
      <c r="C271" s="5" t="n">
        <v>55</v>
      </c>
      <c r="D271" s="5" t="n">
        <v>68</v>
      </c>
      <c r="E271" s="5" t="n">
        <v>64</v>
      </c>
      <c r="F271" s="5" t="n">
        <v>99</v>
      </c>
      <c r="G271" s="5" t="n">
        <v>42</v>
      </c>
      <c r="H271" s="14">
        <f>IF(AND(ISNUMBER(C271),C271&gt;0,ISNUMBER(G271)),G271/C271-1,"")</f>
        <v/>
      </c>
    </row>
    <row r="272">
      <c r="A272" s="12" t="inlineStr">
        <is>
          <t>404</t>
        </is>
      </c>
      <c r="B272" s="13" t="inlineStr">
        <is>
          <t>General</t>
        </is>
      </c>
      <c r="C272" s="5" t="n">
        <v>608</v>
      </c>
      <c r="D272" s="5" t="n">
        <v>710</v>
      </c>
      <c r="E272" s="5" t="n">
        <v>580</v>
      </c>
      <c r="F272" s="5" t="n">
        <v>574</v>
      </c>
      <c r="G272" s="5" t="n">
        <v>503</v>
      </c>
      <c r="H272" s="14">
        <f>IF(AND(ISNUMBER(C272),C272&gt;0,ISNUMBER(G272)),G272/C272-1,"")</f>
        <v/>
      </c>
    </row>
    <row r="273">
      <c r="A273" s="12" t="inlineStr">
        <is>
          <t>405</t>
        </is>
      </c>
      <c r="B273" s="13" t="inlineStr">
        <is>
          <t>General</t>
        </is>
      </c>
      <c r="C273" s="5" t="n">
        <v>145</v>
      </c>
      <c r="D273" s="5" t="n">
        <v>209</v>
      </c>
      <c r="E273" s="5" t="n">
        <v>188</v>
      </c>
      <c r="F273" s="5" t="n">
        <v>242</v>
      </c>
      <c r="G273" s="5" t="n">
        <v>207</v>
      </c>
      <c r="H273" s="14">
        <f>IF(AND(ISNUMBER(C273),C273&gt;0,ISNUMBER(G273)),G273/C273-1,"")</f>
        <v/>
      </c>
    </row>
    <row r="274">
      <c r="A274" s="12" t="inlineStr">
        <is>
          <t>406</t>
        </is>
      </c>
      <c r="B274" s="13" t="inlineStr">
        <is>
          <t>General</t>
        </is>
      </c>
      <c r="C274" s="5" t="n">
        <v>276</v>
      </c>
      <c r="D274" s="5" t="n">
        <v>295</v>
      </c>
      <c r="E274" s="5" t="n">
        <v>233</v>
      </c>
      <c r="F274" s="5" t="n">
        <v>307</v>
      </c>
      <c r="G274" s="5" t="n">
        <v>207</v>
      </c>
      <c r="H274" s="14">
        <f>IF(AND(ISNUMBER(C274),C274&gt;0,ISNUMBER(G274)),G274/C274-1,"")</f>
        <v/>
      </c>
    </row>
    <row r="275">
      <c r="A275" s="12" t="inlineStr">
        <is>
          <t>410</t>
        </is>
      </c>
      <c r="B275" s="13" t="inlineStr">
        <is>
          <t>General</t>
        </is>
      </c>
      <c r="C275" s="5" t="n">
        <v>114</v>
      </c>
      <c r="D275" s="5" t="n">
        <v>143</v>
      </c>
      <c r="E275" s="5" t="n">
        <v>92</v>
      </c>
      <c r="F275" s="5" t="n">
        <v>127</v>
      </c>
      <c r="G275" s="5" t="n">
        <v>129</v>
      </c>
      <c r="H275" s="14">
        <f>IF(AND(ISNUMBER(C275),C275&gt;0,ISNUMBER(G275)),G275/C275-1,"")</f>
        <v/>
      </c>
    </row>
    <row r="276">
      <c r="A276" s="12" t="inlineStr">
        <is>
          <t>411</t>
        </is>
      </c>
      <c r="B276" s="13" t="inlineStr">
        <is>
          <t>General</t>
        </is>
      </c>
      <c r="C276" s="5" t="n">
        <v>1104</v>
      </c>
      <c r="D276" s="5" t="n">
        <v>1041</v>
      </c>
      <c r="E276" s="5" t="n">
        <v>953</v>
      </c>
      <c r="F276" s="5" t="n">
        <v>1100</v>
      </c>
      <c r="G276" s="5" t="n">
        <v>831</v>
      </c>
      <c r="H276" s="14">
        <f>IF(AND(ISNUMBER(C276),C276&gt;0,ISNUMBER(G276)),G276/C276-1,"")</f>
        <v/>
      </c>
    </row>
    <row r="277">
      <c r="A277" s="12" t="inlineStr">
        <is>
          <t>412</t>
        </is>
      </c>
      <c r="B277" s="13" t="inlineStr">
        <is>
          <t>General</t>
        </is>
      </c>
      <c r="C277" s="5" t="n">
        <v>474</v>
      </c>
      <c r="D277" s="5" t="n">
        <v>451</v>
      </c>
      <c r="E277" s="5" t="n">
        <v>536</v>
      </c>
      <c r="F277" s="5" t="n">
        <v>524</v>
      </c>
      <c r="G277" s="5" t="n">
        <v>379</v>
      </c>
      <c r="H277" s="14">
        <f>IF(AND(ISNUMBER(C277),C277&gt;0,ISNUMBER(G277)),G277/C277-1,"")</f>
        <v/>
      </c>
    </row>
    <row r="278">
      <c r="A278" s="12" t="inlineStr">
        <is>
          <t>413</t>
        </is>
      </c>
      <c r="B278" s="13" t="inlineStr">
        <is>
          <t>General</t>
        </is>
      </c>
      <c r="C278" s="5" t="n">
        <v>631</v>
      </c>
      <c r="D278" s="5" t="n">
        <v>770</v>
      </c>
      <c r="E278" s="5" t="n">
        <v>756</v>
      </c>
      <c r="F278" s="5" t="n">
        <v>907</v>
      </c>
      <c r="G278" s="5" t="n">
        <v>698</v>
      </c>
      <c r="H278" s="14">
        <f>IF(AND(ISNUMBER(C278),C278&gt;0,ISNUMBER(G278)),G278/C278-1,"")</f>
        <v/>
      </c>
    </row>
    <row r="279">
      <c r="A279" s="12" t="inlineStr">
        <is>
          <t>415</t>
        </is>
      </c>
      <c r="B279" s="13" t="inlineStr">
        <is>
          <t>General</t>
        </is>
      </c>
      <c r="C279" s="5" t="n"/>
      <c r="D279" s="5" t="n">
        <v>13</v>
      </c>
      <c r="E279" s="5" t="n">
        <v>3</v>
      </c>
      <c r="F279" s="5" t="n">
        <v>15</v>
      </c>
      <c r="G279" s="5" t="n">
        <v>23</v>
      </c>
      <c r="H279" s="14">
        <f>IF(AND(ISNUMBER(C279),C279&gt;0,ISNUMBER(G279)),G279/C279-1,"")</f>
        <v/>
      </c>
    </row>
    <row r="280">
      <c r="A280" s="12" t="inlineStr">
        <is>
          <t>416</t>
        </is>
      </c>
      <c r="B280" s="13" t="inlineStr">
        <is>
          <t>General</t>
        </is>
      </c>
      <c r="C280" s="5" t="n">
        <v>189</v>
      </c>
      <c r="D280" s="5" t="n">
        <v>225</v>
      </c>
      <c r="E280" s="5" t="n">
        <v>258</v>
      </c>
      <c r="F280" s="5" t="n">
        <v>287</v>
      </c>
      <c r="G280" s="5" t="n">
        <v>233</v>
      </c>
      <c r="H280" s="14">
        <f>IF(AND(ISNUMBER(C280),C280&gt;0,ISNUMBER(G280)),G280/C280-1,"")</f>
        <v/>
      </c>
    </row>
    <row r="281">
      <c r="A281" s="12" t="inlineStr">
        <is>
          <t>417</t>
        </is>
      </c>
      <c r="B281" s="13" t="inlineStr">
        <is>
          <t>General</t>
        </is>
      </c>
      <c r="C281" s="5" t="n">
        <v>65</v>
      </c>
      <c r="D281" s="5" t="n">
        <v>48</v>
      </c>
      <c r="E281" s="5" t="n">
        <v>47</v>
      </c>
      <c r="F281" s="5" t="n">
        <v>65</v>
      </c>
      <c r="G281" s="5" t="n">
        <v>31</v>
      </c>
      <c r="H281" s="14">
        <f>IF(AND(ISNUMBER(C281),C281&gt;0,ISNUMBER(G281)),G281/C281-1,"")</f>
        <v/>
      </c>
    </row>
    <row r="282">
      <c r="A282" s="12" t="inlineStr">
        <is>
          <t>418</t>
        </is>
      </c>
      <c r="B282" s="13" t="inlineStr">
        <is>
          <t>General</t>
        </is>
      </c>
      <c r="C282" s="5" t="n">
        <v>150</v>
      </c>
      <c r="D282" s="5" t="n">
        <v>242</v>
      </c>
      <c r="E282" s="5" t="n">
        <v>138</v>
      </c>
      <c r="F282" s="5" t="n">
        <v>199</v>
      </c>
      <c r="G282" s="5" t="n">
        <v>159</v>
      </c>
      <c r="H282" s="14">
        <f>IF(AND(ISNUMBER(C282),C282&gt;0,ISNUMBER(G282)),G282/C282-1,"")</f>
        <v/>
      </c>
    </row>
    <row r="283">
      <c r="A283" s="12" t="inlineStr">
        <is>
          <t>419</t>
        </is>
      </c>
      <c r="B283" s="13" t="inlineStr">
        <is>
          <t>General</t>
        </is>
      </c>
      <c r="C283" s="5" t="n">
        <v>127</v>
      </c>
      <c r="D283" s="5" t="n">
        <v>225</v>
      </c>
      <c r="E283" s="5" t="n">
        <v>218</v>
      </c>
      <c r="F283" s="5" t="n">
        <v>271</v>
      </c>
      <c r="G283" s="5" t="n">
        <v>228</v>
      </c>
      <c r="H283" s="14">
        <f>IF(AND(ISNUMBER(C283),C283&gt;0,ISNUMBER(G283)),G283/C283-1,"")</f>
        <v/>
      </c>
    </row>
    <row r="284">
      <c r="A284" s="12" t="inlineStr">
        <is>
          <t>420</t>
        </is>
      </c>
      <c r="B284" s="13" t="inlineStr">
        <is>
          <t>General</t>
        </is>
      </c>
      <c r="C284" s="5" t="n">
        <v>38</v>
      </c>
      <c r="D284" s="5" t="n">
        <v>51</v>
      </c>
      <c r="E284" s="5" t="n">
        <v>52</v>
      </c>
      <c r="F284" s="5" t="n">
        <v>43</v>
      </c>
      <c r="G284" s="5" t="n">
        <v>52</v>
      </c>
      <c r="H284" s="14">
        <f>IF(AND(ISNUMBER(C284),C284&gt;0,ISNUMBER(G284)),G284/C284-1,"")</f>
        <v/>
      </c>
    </row>
    <row r="285">
      <c r="A285" s="12" t="inlineStr">
        <is>
          <t>421</t>
        </is>
      </c>
      <c r="B285" s="13" t="inlineStr">
        <is>
          <t>General</t>
        </is>
      </c>
      <c r="C285" s="5" t="n">
        <v>251</v>
      </c>
      <c r="D285" s="5" t="n">
        <v>379</v>
      </c>
      <c r="E285" s="5" t="n">
        <v>427</v>
      </c>
      <c r="F285" s="5" t="n">
        <v>407</v>
      </c>
      <c r="G285" s="5" t="n">
        <v>397</v>
      </c>
      <c r="H285" s="14">
        <f>IF(AND(ISNUMBER(C285),C285&gt;0,ISNUMBER(G285)),G285/C285-1,"")</f>
        <v/>
      </c>
    </row>
    <row r="286">
      <c r="A286" s="12" t="inlineStr">
        <is>
          <t>422</t>
        </is>
      </c>
      <c r="B286" s="13" t="inlineStr">
        <is>
          <t>General</t>
        </is>
      </c>
      <c r="C286" s="5" t="n">
        <v>134</v>
      </c>
      <c r="D286" s="5" t="n">
        <v>119</v>
      </c>
      <c r="E286" s="5" t="n">
        <v>195</v>
      </c>
      <c r="F286" s="5" t="n">
        <v>137</v>
      </c>
      <c r="G286" s="5" t="n">
        <v>187</v>
      </c>
      <c r="H286" s="14">
        <f>IF(AND(ISNUMBER(C286),C286&gt;0,ISNUMBER(G286)),G286/C286-1,"")</f>
        <v/>
      </c>
    </row>
    <row r="287">
      <c r="A287" s="12" t="inlineStr">
        <is>
          <t>423</t>
        </is>
      </c>
      <c r="B287" s="4" t="inlineStr"/>
      <c r="C287" s="5" t="n">
        <v>110</v>
      </c>
      <c r="D287" s="5" t="n"/>
      <c r="E287" s="5" t="n"/>
      <c r="F287" s="5" t="n"/>
      <c r="G287" s="5" t="n"/>
      <c r="H287" s="14">
        <f>IF(AND(ISNUMBER(C287),C287&gt;0,ISNUMBER(G287)),G287/C287-1,"")</f>
        <v/>
      </c>
    </row>
    <row r="288">
      <c r="A288" s="12" t="inlineStr">
        <is>
          <t>424</t>
        </is>
      </c>
      <c r="B288" s="13" t="inlineStr">
        <is>
          <t>General</t>
        </is>
      </c>
      <c r="C288" s="5" t="n">
        <v>12</v>
      </c>
      <c r="D288" s="5" t="n">
        <v>23</v>
      </c>
      <c r="E288" s="5" t="n">
        <v>7</v>
      </c>
      <c r="F288" s="5" t="n">
        <v>15</v>
      </c>
      <c r="G288" s="5" t="n">
        <v>62</v>
      </c>
      <c r="H288" s="14">
        <f>IF(AND(ISNUMBER(C288),C288&gt;0,ISNUMBER(G288)),G288/C288-1,"")</f>
        <v/>
      </c>
    </row>
    <row r="289">
      <c r="A289" s="12" t="inlineStr">
        <is>
          <t>425</t>
        </is>
      </c>
      <c r="B289" s="13" t="inlineStr">
        <is>
          <t>General</t>
        </is>
      </c>
      <c r="C289" s="5" t="n">
        <v>106</v>
      </c>
      <c r="D289" s="5" t="n">
        <v>115</v>
      </c>
      <c r="E289" s="5" t="n">
        <v>132</v>
      </c>
      <c r="F289" s="5" t="n">
        <v>110</v>
      </c>
      <c r="G289" s="5" t="n">
        <v>114</v>
      </c>
      <c r="H289" s="14">
        <f>IF(AND(ISNUMBER(C289),C289&gt;0,ISNUMBER(G289)),G289/C289-1,"")</f>
        <v/>
      </c>
    </row>
    <row r="290">
      <c r="A290" s="12" t="inlineStr">
        <is>
          <t>426</t>
        </is>
      </c>
      <c r="B290" s="13" t="inlineStr">
        <is>
          <t>General</t>
        </is>
      </c>
      <c r="C290" s="5" t="n">
        <v>127</v>
      </c>
      <c r="D290" s="5" t="n">
        <v>159</v>
      </c>
      <c r="E290" s="5" t="n">
        <v>138</v>
      </c>
      <c r="F290" s="5" t="n">
        <v>129</v>
      </c>
      <c r="G290" s="5" t="n">
        <v>113</v>
      </c>
      <c r="H290" s="14">
        <f>IF(AND(ISNUMBER(C290),C290&gt;0,ISNUMBER(G290)),G290/C290-1,"")</f>
        <v/>
      </c>
    </row>
    <row r="291">
      <c r="A291" s="12" t="inlineStr">
        <is>
          <t>432</t>
        </is>
      </c>
      <c r="B291" s="13" t="inlineStr">
        <is>
          <t>General</t>
        </is>
      </c>
      <c r="C291" s="5" t="n">
        <v>75</v>
      </c>
      <c r="D291" s="5" t="n"/>
      <c r="E291" s="5" t="n"/>
      <c r="F291" s="5" t="n"/>
      <c r="G291" s="5" t="n"/>
      <c r="H291" s="14">
        <f>IF(AND(ISNUMBER(C291),C291&gt;0,ISNUMBER(G291)),G291/C291-1,"")</f>
        <v/>
      </c>
    </row>
    <row r="292">
      <c r="A292" s="12" t="inlineStr">
        <is>
          <t>441</t>
        </is>
      </c>
      <c r="B292" s="13" t="inlineStr">
        <is>
          <t>General</t>
        </is>
      </c>
      <c r="C292" s="5" t="n">
        <v>137</v>
      </c>
      <c r="D292" s="5" t="n">
        <v>161</v>
      </c>
      <c r="E292" s="5" t="n">
        <v>185</v>
      </c>
      <c r="F292" s="5" t="n">
        <v>149</v>
      </c>
      <c r="G292" s="5" t="n">
        <v>144</v>
      </c>
      <c r="H292" s="14">
        <f>IF(AND(ISNUMBER(C292),C292&gt;0,ISNUMBER(G292)),G292/C292-1,"")</f>
        <v/>
      </c>
    </row>
    <row r="293">
      <c r="A293" s="12" t="inlineStr">
        <is>
          <t>442</t>
        </is>
      </c>
      <c r="B293" s="13" t="inlineStr">
        <is>
          <t>General</t>
        </is>
      </c>
      <c r="C293" s="5" t="n">
        <v>70</v>
      </c>
      <c r="D293" s="5" t="n">
        <v>90</v>
      </c>
      <c r="E293" s="5" t="n">
        <v>83</v>
      </c>
      <c r="F293" s="5" t="n">
        <v>79</v>
      </c>
      <c r="G293" s="5" t="n">
        <v>67</v>
      </c>
      <c r="H293" s="14">
        <f>IF(AND(ISNUMBER(C293),C293&gt;0,ISNUMBER(G293)),G293/C293-1,"")</f>
        <v/>
      </c>
    </row>
    <row r="294">
      <c r="A294" s="12" t="inlineStr">
        <is>
          <t>444</t>
        </is>
      </c>
      <c r="B294" s="13" t="inlineStr">
        <is>
          <t>General</t>
        </is>
      </c>
      <c r="C294" s="5" t="n">
        <v>563</v>
      </c>
      <c r="D294" s="5" t="n">
        <v>379</v>
      </c>
      <c r="E294" s="5" t="n">
        <v>426</v>
      </c>
      <c r="F294" s="5" t="n">
        <v>577</v>
      </c>
      <c r="G294" s="5" t="n">
        <v>491</v>
      </c>
      <c r="H294" s="14">
        <f>IF(AND(ISNUMBER(C294),C294&gt;0,ISNUMBER(G294)),G294/C294-1,"")</f>
        <v/>
      </c>
    </row>
    <row r="295">
      <c r="A295" s="12" t="inlineStr">
        <is>
          <t>445</t>
        </is>
      </c>
      <c r="B295" s="13" t="inlineStr">
        <is>
          <t>General</t>
        </is>
      </c>
      <c r="C295" s="5" t="n">
        <v>538</v>
      </c>
      <c r="D295" s="5" t="n">
        <v>565</v>
      </c>
      <c r="E295" s="5" t="n">
        <v>548</v>
      </c>
      <c r="F295" s="5" t="n">
        <v>707</v>
      </c>
      <c r="G295" s="5" t="n">
        <v>658</v>
      </c>
      <c r="H295" s="14">
        <f>IF(AND(ISNUMBER(C295),C295&gt;0,ISNUMBER(G295)),G295/C295-1,"")</f>
        <v/>
      </c>
    </row>
    <row r="296">
      <c r="A296" s="12" t="inlineStr">
        <is>
          <t>446</t>
        </is>
      </c>
      <c r="B296" s="13" t="inlineStr">
        <is>
          <t>General</t>
        </is>
      </c>
      <c r="C296" s="5" t="n">
        <v>225</v>
      </c>
      <c r="D296" s="5" t="n">
        <v>275</v>
      </c>
      <c r="E296" s="5" t="n">
        <v>218</v>
      </c>
      <c r="F296" s="5" t="n">
        <v>231</v>
      </c>
      <c r="G296" s="5" t="n">
        <v>187</v>
      </c>
      <c r="H296" s="14">
        <f>IF(AND(ISNUMBER(C296),C296&gt;0,ISNUMBER(G296)),G296/C296-1,"")</f>
        <v/>
      </c>
    </row>
    <row r="297">
      <c r="A297" s="12" t="inlineStr">
        <is>
          <t>447</t>
        </is>
      </c>
      <c r="B297" s="13" t="inlineStr">
        <is>
          <t>General</t>
        </is>
      </c>
      <c r="C297" s="5" t="n">
        <v>353</v>
      </c>
      <c r="D297" s="5" t="n">
        <v>544</v>
      </c>
      <c r="E297" s="5" t="n">
        <v>441</v>
      </c>
      <c r="F297" s="5" t="n">
        <v>522</v>
      </c>
      <c r="G297" s="5" t="n">
        <v>376</v>
      </c>
      <c r="H297" s="14">
        <f>IF(AND(ISNUMBER(C297),C297&gt;0,ISNUMBER(G297)),G297/C297-1,"")</f>
        <v/>
      </c>
    </row>
    <row r="298">
      <c r="A298" s="12" t="inlineStr">
        <is>
          <t>448</t>
        </is>
      </c>
      <c r="B298" s="13" t="inlineStr">
        <is>
          <t>General</t>
        </is>
      </c>
      <c r="C298" s="5" t="n">
        <v>68</v>
      </c>
      <c r="D298" s="5" t="n">
        <v>68</v>
      </c>
      <c r="E298" s="5" t="n">
        <v>84</v>
      </c>
      <c r="F298" s="5" t="n">
        <v>93</v>
      </c>
      <c r="G298" s="5" t="n">
        <v>91</v>
      </c>
      <c r="H298" s="14">
        <f>IF(AND(ISNUMBER(C298),C298&gt;0,ISNUMBER(G298)),G298/C298-1,"")</f>
        <v/>
      </c>
    </row>
    <row r="299">
      <c r="A299" s="12" t="inlineStr">
        <is>
          <t>450</t>
        </is>
      </c>
      <c r="B299" s="13" t="inlineStr">
        <is>
          <t>General</t>
        </is>
      </c>
      <c r="C299" s="5" t="n">
        <v>76</v>
      </c>
      <c r="D299" s="5" t="n">
        <v>136</v>
      </c>
      <c r="E299" s="5" t="n">
        <v>156</v>
      </c>
      <c r="F299" s="5" t="n">
        <v>140</v>
      </c>
      <c r="G299" s="5" t="n">
        <v>115</v>
      </c>
      <c r="H299" s="14">
        <f>IF(AND(ISNUMBER(C299),C299&gt;0,ISNUMBER(G299)),G299/C299-1,"")</f>
        <v/>
      </c>
    </row>
    <row r="300">
      <c r="A300" s="12" t="inlineStr">
        <is>
          <t>451</t>
        </is>
      </c>
      <c r="B300" s="13" t="inlineStr">
        <is>
          <t>General</t>
        </is>
      </c>
      <c r="C300" s="5" t="n">
        <v>15</v>
      </c>
      <c r="D300" s="5" t="n">
        <v>13</v>
      </c>
      <c r="E300" s="5" t="n">
        <v>17</v>
      </c>
      <c r="F300" s="5" t="n">
        <v>20</v>
      </c>
      <c r="G300" s="5" t="n">
        <v>3</v>
      </c>
      <c r="H300" s="14">
        <f>IF(AND(ISNUMBER(C300),C300&gt;0,ISNUMBER(G300)),G300/C300-1,"")</f>
        <v/>
      </c>
    </row>
    <row r="301">
      <c r="A301" s="12" t="inlineStr">
        <is>
          <t>452</t>
        </is>
      </c>
      <c r="B301" s="13" t="inlineStr">
        <is>
          <t>General</t>
        </is>
      </c>
      <c r="C301" s="5" t="n">
        <v>123</v>
      </c>
      <c r="D301" s="5" t="n">
        <v>152</v>
      </c>
      <c r="E301" s="5" t="n">
        <v>93</v>
      </c>
      <c r="F301" s="5" t="n">
        <v>139</v>
      </c>
      <c r="G301" s="5" t="n">
        <v>113</v>
      </c>
      <c r="H301" s="14">
        <f>IF(AND(ISNUMBER(C301),C301&gt;0,ISNUMBER(G301)),G301/C301-1,"")</f>
        <v/>
      </c>
    </row>
    <row r="302">
      <c r="A302" s="12" t="inlineStr">
        <is>
          <t>454</t>
        </is>
      </c>
      <c r="B302" s="4" t="inlineStr"/>
      <c r="C302" s="5" t="n">
        <v>31</v>
      </c>
      <c r="D302" s="5" t="n"/>
      <c r="E302" s="5" t="n"/>
      <c r="F302" s="5" t="n"/>
      <c r="G302" s="5" t="n"/>
      <c r="H302" s="14">
        <f>IF(AND(ISNUMBER(C302),C302&gt;0,ISNUMBER(G302)),G302/C302-1,"")</f>
        <v/>
      </c>
    </row>
    <row r="303">
      <c r="A303" s="12" t="inlineStr">
        <is>
          <t>455</t>
        </is>
      </c>
      <c r="B303" s="13" t="inlineStr">
        <is>
          <t>General</t>
        </is>
      </c>
      <c r="C303" s="5" t="n">
        <v>27</v>
      </c>
      <c r="D303" s="5" t="n">
        <v>24</v>
      </c>
      <c r="E303" s="5" t="n">
        <v>24</v>
      </c>
      <c r="F303" s="5" t="n">
        <v>27</v>
      </c>
      <c r="G303" s="5" t="n">
        <v>16</v>
      </c>
      <c r="H303" s="14">
        <f>IF(AND(ISNUMBER(C303),C303&gt;0,ISNUMBER(G303)),G303/C303-1,"")</f>
        <v/>
      </c>
    </row>
    <row r="304">
      <c r="A304" s="12" t="inlineStr">
        <is>
          <t>471</t>
        </is>
      </c>
      <c r="B304" s="13" t="inlineStr">
        <is>
          <t>General</t>
        </is>
      </c>
      <c r="C304" s="5" t="n">
        <v>59</v>
      </c>
      <c r="D304" s="5" t="n">
        <v>57</v>
      </c>
      <c r="E304" s="5" t="n">
        <v>74</v>
      </c>
      <c r="F304" s="5" t="n">
        <v>89</v>
      </c>
      <c r="G304" s="5" t="n">
        <v>45</v>
      </c>
      <c r="H304" s="14">
        <f>IF(AND(ISNUMBER(C304),C304&gt;0,ISNUMBER(G304)),G304/C304-1,"")</f>
        <v/>
      </c>
    </row>
    <row r="305">
      <c r="A305" s="12" t="inlineStr">
        <is>
          <t>500</t>
        </is>
      </c>
      <c r="B305" s="4" t="inlineStr"/>
      <c r="C305" s="5" t="n">
        <v>212</v>
      </c>
      <c r="D305" s="5" t="n"/>
      <c r="E305" s="5" t="n"/>
      <c r="F305" s="5" t="n"/>
      <c r="G305" s="5" t="n"/>
      <c r="H305" s="14">
        <f>IF(AND(ISNUMBER(C305),C305&gt;0,ISNUMBER(G305)),G305/C305-1,"")</f>
        <v/>
      </c>
    </row>
    <row r="306">
      <c r="A306" s="12" t="inlineStr">
        <is>
          <t>502</t>
        </is>
      </c>
      <c r="B306" s="13" t="inlineStr">
        <is>
          <t>General</t>
        </is>
      </c>
      <c r="C306" s="5" t="n">
        <v>277</v>
      </c>
      <c r="D306" s="5" t="n">
        <v>413</v>
      </c>
      <c r="E306" s="5" t="n">
        <v>319</v>
      </c>
      <c r="F306" s="5" t="n">
        <v>337</v>
      </c>
      <c r="G306" s="5" t="n">
        <v>302</v>
      </c>
      <c r="H306" s="14">
        <f>IF(AND(ISNUMBER(C306),C306&gt;0,ISNUMBER(G306)),G306/C306-1,"")</f>
        <v/>
      </c>
    </row>
    <row r="307">
      <c r="A307" s="12" t="inlineStr">
        <is>
          <t>510</t>
        </is>
      </c>
      <c r="B307" s="4" t="inlineStr"/>
      <c r="C307" s="5" t="n">
        <v>39</v>
      </c>
      <c r="D307" s="5" t="n"/>
      <c r="E307" s="5" t="n"/>
      <c r="F307" s="5" t="n"/>
      <c r="G307" s="5" t="n"/>
      <c r="H307" s="14">
        <f>IF(AND(ISNUMBER(C307),C307&gt;0,ISNUMBER(G307)),G307/C307-1,"")</f>
        <v/>
      </c>
    </row>
    <row r="308">
      <c r="A308" s="12" t="inlineStr">
        <is>
          <t>511</t>
        </is>
      </c>
      <c r="B308" s="4" t="inlineStr"/>
      <c r="C308" s="5" t="n">
        <v>123</v>
      </c>
      <c r="D308" s="5" t="n"/>
      <c r="E308" s="5" t="n"/>
      <c r="F308" s="5" t="n"/>
      <c r="G308" s="5" t="n"/>
      <c r="H308" s="14">
        <f>IF(AND(ISNUMBER(C308),C308&gt;0,ISNUMBER(G308)),G308/C308-1,"")</f>
        <v/>
      </c>
    </row>
    <row r="309">
      <c r="A309" s="12" t="inlineStr">
        <is>
          <t>515</t>
        </is>
      </c>
      <c r="B309" s="13" t="inlineStr">
        <is>
          <t>General</t>
        </is>
      </c>
      <c r="C309" s="5" t="n"/>
      <c r="D309" s="5" t="n">
        <v>356</v>
      </c>
      <c r="E309" s="5" t="n">
        <v>433</v>
      </c>
      <c r="F309" s="5" t="n">
        <v>404</v>
      </c>
      <c r="G309" s="5" t="n">
        <v>416</v>
      </c>
      <c r="H309" s="14">
        <f>IF(AND(ISNUMBER(C309),C309&gt;0,ISNUMBER(G309)),G309/C309-1,"")</f>
        <v/>
      </c>
    </row>
    <row r="310">
      <c r="A310" s="12" t="inlineStr">
        <is>
          <t>520</t>
        </is>
      </c>
      <c r="B310" s="4" t="inlineStr"/>
      <c r="C310" s="5" t="n">
        <v>529</v>
      </c>
      <c r="D310" s="5" t="n"/>
      <c r="E310" s="5" t="n"/>
      <c r="F310" s="5" t="n"/>
      <c r="G310" s="5" t="n"/>
      <c r="H310" s="14">
        <f>IF(AND(ISNUMBER(C310),C310&gt;0,ISNUMBER(G310)),G310/C310-1,"")</f>
        <v/>
      </c>
    </row>
    <row r="311">
      <c r="A311" s="12" t="inlineStr">
        <is>
          <t>525</t>
        </is>
      </c>
      <c r="B311" s="13" t="inlineStr">
        <is>
          <t>General</t>
        </is>
      </c>
      <c r="C311" s="5" t="n"/>
      <c r="D311" s="5" t="n">
        <v>823</v>
      </c>
      <c r="E311" s="5" t="n">
        <v>643</v>
      </c>
      <c r="F311" s="5" t="n">
        <v>801</v>
      </c>
      <c r="G311" s="5" t="n">
        <v>714</v>
      </c>
      <c r="H311" s="14">
        <f>IF(AND(ISNUMBER(C311),C311&gt;0,ISNUMBER(G311)),G311/C311-1,"")</f>
        <v/>
      </c>
    </row>
    <row r="312">
      <c r="A312" s="12" t="inlineStr">
        <is>
          <t>530</t>
        </is>
      </c>
      <c r="B312" s="4" t="inlineStr"/>
      <c r="C312" s="5" t="n">
        <v>307</v>
      </c>
      <c r="D312" s="5" t="n"/>
      <c r="E312" s="5" t="n"/>
      <c r="F312" s="5" t="n"/>
      <c r="G312" s="5" t="n"/>
      <c r="H312" s="14">
        <f>IF(AND(ISNUMBER(C312),C312&gt;0,ISNUMBER(G312)),G312/C312-1,"")</f>
        <v/>
      </c>
    </row>
    <row r="313">
      <c r="A313" s="12" t="inlineStr">
        <is>
          <t>535</t>
        </is>
      </c>
      <c r="B313" s="13" t="inlineStr">
        <is>
          <t>General</t>
        </is>
      </c>
      <c r="C313" s="5" t="n"/>
      <c r="D313" s="5" t="n">
        <v>310</v>
      </c>
      <c r="E313" s="5" t="n">
        <v>339</v>
      </c>
      <c r="F313" s="5" t="n">
        <v>345</v>
      </c>
      <c r="G313" s="5" t="n">
        <v>260</v>
      </c>
      <c r="H313" s="14">
        <f>IF(AND(ISNUMBER(C313),C313&gt;0,ISNUMBER(G313)),G313/C313-1,"")</f>
        <v/>
      </c>
    </row>
    <row r="314">
      <c r="A314" s="12" t="inlineStr">
        <is>
          <t>540</t>
        </is>
      </c>
      <c r="B314" s="13" t="inlineStr">
        <is>
          <t>General</t>
        </is>
      </c>
      <c r="C314" s="5" t="n">
        <v>78</v>
      </c>
      <c r="D314" s="5" t="n">
        <v>129</v>
      </c>
      <c r="E314" s="5" t="n">
        <v>128</v>
      </c>
      <c r="F314" s="5" t="n">
        <v>166</v>
      </c>
      <c r="G314" s="5" t="n">
        <v>158</v>
      </c>
      <c r="H314" s="14">
        <f>IF(AND(ISNUMBER(C314),C314&gt;0,ISNUMBER(G314)),G314/C314-1,"")</f>
        <v/>
      </c>
    </row>
    <row r="315">
      <c r="A315" s="12" t="inlineStr">
        <is>
          <t>555</t>
        </is>
      </c>
      <c r="B315" s="13" t="inlineStr">
        <is>
          <t>General</t>
        </is>
      </c>
      <c r="C315" s="5" t="n"/>
      <c r="D315" s="5" t="n">
        <v>80</v>
      </c>
      <c r="E315" s="5" t="n">
        <v>64</v>
      </c>
      <c r="F315" s="5" t="n">
        <v>55</v>
      </c>
      <c r="G315" s="5" t="n">
        <v>86</v>
      </c>
      <c r="H315" s="14">
        <f>IF(AND(ISNUMBER(C315),C315&gt;0,ISNUMBER(G315)),G315/C315-1,"")</f>
        <v/>
      </c>
    </row>
    <row r="316">
      <c r="A316" s="12" t="inlineStr">
        <is>
          <t>560</t>
        </is>
      </c>
      <c r="B316" s="4" t="inlineStr"/>
      <c r="C316" s="5" t="n">
        <v>405</v>
      </c>
      <c r="D316" s="5" t="n"/>
      <c r="E316" s="5" t="n"/>
      <c r="F316" s="5" t="n"/>
      <c r="G316" s="5" t="n"/>
      <c r="H316" s="14">
        <f>IF(AND(ISNUMBER(C316),C316&gt;0,ISNUMBER(G316)),G316/C316-1,"")</f>
        <v/>
      </c>
    </row>
    <row r="317">
      <c r="A317" s="12" t="inlineStr">
        <is>
          <t>565</t>
        </is>
      </c>
      <c r="B317" s="13" t="inlineStr">
        <is>
          <t>General</t>
        </is>
      </c>
      <c r="C317" s="5" t="n"/>
      <c r="D317" s="5" t="n">
        <v>36</v>
      </c>
      <c r="E317" s="5" t="n">
        <v>25</v>
      </c>
      <c r="F317" s="5" t="n">
        <v>29</v>
      </c>
      <c r="G317" s="5" t="n">
        <v>27</v>
      </c>
      <c r="H317" s="14">
        <f>IF(AND(ISNUMBER(C317),C317&gt;0,ISNUMBER(G317)),G317/C317-1,"")</f>
        <v/>
      </c>
    </row>
    <row r="318">
      <c r="A318" s="12" t="inlineStr">
        <is>
          <t>570</t>
        </is>
      </c>
      <c r="B318" s="4" t="inlineStr"/>
      <c r="C318" s="5" t="n">
        <v>326</v>
      </c>
      <c r="D318" s="5" t="n"/>
      <c r="E318" s="5" t="n"/>
      <c r="F318" s="5" t="n"/>
      <c r="G318" s="5" t="n"/>
      <c r="H318" s="14">
        <f>IF(AND(ISNUMBER(C318),C318&gt;0,ISNUMBER(G318)),G318/C318-1,"")</f>
        <v/>
      </c>
    </row>
    <row r="319">
      <c r="A319" s="12" t="inlineStr">
        <is>
          <t>575</t>
        </is>
      </c>
      <c r="B319" s="13" t="inlineStr">
        <is>
          <t>General</t>
        </is>
      </c>
      <c r="C319" s="5" t="n">
        <v>541</v>
      </c>
      <c r="D319" s="5" t="n">
        <v>612</v>
      </c>
      <c r="E319" s="5" t="n">
        <v>572</v>
      </c>
      <c r="F319" s="5" t="n">
        <v>742</v>
      </c>
      <c r="G319" s="5" t="n">
        <v>536</v>
      </c>
      <c r="H319" s="14">
        <f>IF(AND(ISNUMBER(C319),C319&gt;0,ISNUMBER(G319)),G319/C319-1,"")</f>
        <v/>
      </c>
    </row>
    <row r="320">
      <c r="A320" s="12" t="inlineStr">
        <is>
          <t>580</t>
        </is>
      </c>
      <c r="B320" s="13" t="inlineStr">
        <is>
          <t>General</t>
        </is>
      </c>
      <c r="C320" s="5" t="n">
        <v>469</v>
      </c>
      <c r="D320" s="5" t="n">
        <v>515</v>
      </c>
      <c r="E320" s="5" t="n">
        <v>613</v>
      </c>
      <c r="F320" s="5" t="n">
        <v>588</v>
      </c>
      <c r="G320" s="5" t="n">
        <v>496</v>
      </c>
      <c r="H320" s="14">
        <f>IF(AND(ISNUMBER(C320),C320&gt;0,ISNUMBER(G320)),G320/C320-1,"")</f>
        <v/>
      </c>
    </row>
    <row r="321">
      <c r="A321" s="12" t="inlineStr">
        <is>
          <t>590</t>
        </is>
      </c>
      <c r="B321" s="13" t="inlineStr">
        <is>
          <t>General</t>
        </is>
      </c>
      <c r="C321" s="5" t="n">
        <v>894</v>
      </c>
      <c r="D321" s="5" t="n">
        <v>1004</v>
      </c>
      <c r="E321" s="5" t="n">
        <v>836</v>
      </c>
      <c r="F321" s="5" t="n">
        <v>884</v>
      </c>
      <c r="G321" s="5" t="n">
        <v>731</v>
      </c>
      <c r="H321" s="14">
        <f>IF(AND(ISNUMBER(C321),C321&gt;0,ISNUMBER(G321)),G321/C321-1,"")</f>
        <v/>
      </c>
    </row>
    <row r="322">
      <c r="A322" s="12" t="inlineStr">
        <is>
          <t>600</t>
        </is>
      </c>
      <c r="B322" s="13" t="inlineStr">
        <is>
          <t>General</t>
        </is>
      </c>
      <c r="C322" s="5" t="n">
        <v>532</v>
      </c>
      <c r="D322" s="5" t="n">
        <v>580</v>
      </c>
      <c r="E322" s="5" t="n">
        <v>530</v>
      </c>
      <c r="F322" s="5" t="n">
        <v>531</v>
      </c>
      <c r="G322" s="5" t="n">
        <v>272</v>
      </c>
      <c r="H322" s="14">
        <f>IF(AND(ISNUMBER(C322),C322&gt;0,ISNUMBER(G322)),G322/C322-1,"")</f>
        <v/>
      </c>
    </row>
    <row r="323">
      <c r="A323" s="12" t="inlineStr">
        <is>
          <t>620</t>
        </is>
      </c>
      <c r="B323" s="13" t="inlineStr">
        <is>
          <t>General</t>
        </is>
      </c>
      <c r="C323" s="5" t="n">
        <v>144</v>
      </c>
      <c r="D323" s="5" t="n">
        <v>192</v>
      </c>
      <c r="E323" s="5" t="n">
        <v>166</v>
      </c>
      <c r="F323" s="5" t="n">
        <v>214</v>
      </c>
      <c r="G323" s="5" t="n">
        <v>46</v>
      </c>
      <c r="H323" s="14">
        <f>IF(AND(ISNUMBER(C323),C323&gt;0,ISNUMBER(G323)),G323/C323-1,"")</f>
        <v/>
      </c>
    </row>
    <row r="324">
      <c r="A324" s="12" t="inlineStr">
        <is>
          <t>621</t>
        </is>
      </c>
      <c r="B324" s="13" t="inlineStr">
        <is>
          <t>General</t>
        </is>
      </c>
      <c r="C324" s="5" t="n">
        <v>67</v>
      </c>
      <c r="D324" s="5" t="n">
        <v>55</v>
      </c>
      <c r="E324" s="5" t="n">
        <v>78</v>
      </c>
      <c r="F324" s="5" t="n">
        <v>62</v>
      </c>
      <c r="G324" s="5" t="n">
        <v>38</v>
      </c>
      <c r="H324" s="14">
        <f>IF(AND(ISNUMBER(C324),C324&gt;0,ISNUMBER(G324)),G324/C324-1,"")</f>
        <v/>
      </c>
    </row>
    <row r="325">
      <c r="A325" s="12" t="inlineStr">
        <is>
          <t>622</t>
        </is>
      </c>
      <c r="B325" s="13" t="inlineStr">
        <is>
          <t>General</t>
        </is>
      </c>
      <c r="C325" s="5" t="n">
        <v>4</v>
      </c>
      <c r="D325" s="5" t="n">
        <v>8</v>
      </c>
      <c r="E325" s="5" t="n">
        <v>17</v>
      </c>
      <c r="F325" s="5" t="n">
        <v>15</v>
      </c>
      <c r="G325" s="5" t="n">
        <v>23</v>
      </c>
      <c r="H325" s="14">
        <f>IF(AND(ISNUMBER(C325),C325&gt;0,ISNUMBER(G325)),G325/C325-1,"")</f>
        <v/>
      </c>
    </row>
    <row r="326">
      <c r="A326" s="12" t="inlineStr">
        <is>
          <t>630</t>
        </is>
      </c>
      <c r="B326" s="13" t="inlineStr">
        <is>
          <t>General</t>
        </is>
      </c>
      <c r="C326" s="5" t="n">
        <v>310</v>
      </c>
      <c r="D326" s="5" t="n">
        <v>505</v>
      </c>
      <c r="E326" s="5" t="n">
        <v>352</v>
      </c>
      <c r="F326" s="5" t="n">
        <v>412</v>
      </c>
      <c r="G326" s="5" t="n">
        <v>202</v>
      </c>
      <c r="H326" s="14">
        <f>IF(AND(ISNUMBER(C326),C326&gt;0,ISNUMBER(G326)),G326/C326-1,"")</f>
        <v/>
      </c>
    </row>
    <row r="327">
      <c r="A327" s="12" t="inlineStr">
        <is>
          <t>632</t>
        </is>
      </c>
      <c r="B327" s="4" t="inlineStr"/>
      <c r="C327" s="5" t="n">
        <v>9</v>
      </c>
      <c r="D327" s="5" t="n"/>
      <c r="E327" s="5" t="n"/>
      <c r="F327" s="5" t="n"/>
      <c r="G327" s="5" t="n"/>
      <c r="H327" s="14">
        <f>IF(AND(ISNUMBER(C327),C327&gt;0,ISNUMBER(G327)),G327/C327-1,"")</f>
        <v/>
      </c>
    </row>
    <row r="328">
      <c r="A328" s="12" t="inlineStr">
        <is>
          <t>640</t>
        </is>
      </c>
      <c r="B328" s="13" t="inlineStr">
        <is>
          <t>General</t>
        </is>
      </c>
      <c r="C328" s="5" t="n">
        <v>784</v>
      </c>
      <c r="D328" s="5" t="n">
        <v>926</v>
      </c>
      <c r="E328" s="5" t="n">
        <v>850</v>
      </c>
      <c r="F328" s="5" t="n">
        <v>810</v>
      </c>
      <c r="G328" s="5" t="n">
        <v>470</v>
      </c>
      <c r="H328" s="14">
        <f>IF(AND(ISNUMBER(C328),C328&gt;0,ISNUMBER(G328)),G328/C328-1,"")</f>
        <v/>
      </c>
    </row>
    <row r="329">
      <c r="A329" s="12" t="inlineStr">
        <is>
          <t>650</t>
        </is>
      </c>
      <c r="B329" s="13" t="inlineStr">
        <is>
          <t>General</t>
        </is>
      </c>
      <c r="C329" s="5" t="n">
        <v>388</v>
      </c>
      <c r="D329" s="5" t="n">
        <v>415</v>
      </c>
      <c r="E329" s="5" t="n">
        <v>375</v>
      </c>
      <c r="F329" s="5" t="n">
        <v>293</v>
      </c>
      <c r="G329" s="5" t="n">
        <v>182</v>
      </c>
      <c r="H329" s="14">
        <f>IF(AND(ISNUMBER(C329),C329&gt;0,ISNUMBER(G329)),G329/C329-1,"")</f>
        <v/>
      </c>
    </row>
    <row r="330">
      <c r="A330" s="12" t="inlineStr">
        <is>
          <t>652</t>
        </is>
      </c>
      <c r="B330" s="13" t="inlineStr">
        <is>
          <t>General</t>
        </is>
      </c>
      <c r="C330" s="5" t="n">
        <v>4</v>
      </c>
      <c r="D330" s="5" t="n">
        <v>27</v>
      </c>
      <c r="E330" s="5" t="n">
        <v>19</v>
      </c>
      <c r="F330" s="5" t="n">
        <v>20</v>
      </c>
      <c r="G330" s="5" t="n">
        <v>8</v>
      </c>
      <c r="H330" s="14">
        <f>IF(AND(ISNUMBER(C330),C330&gt;0,ISNUMBER(G330)),G330/C330-1,"")</f>
        <v/>
      </c>
    </row>
    <row r="331">
      <c r="A331" s="12" t="inlineStr">
        <is>
          <t>670</t>
        </is>
      </c>
      <c r="B331" s="13" t="inlineStr">
        <is>
          <t>General</t>
        </is>
      </c>
      <c r="C331" s="5" t="n">
        <v>542</v>
      </c>
      <c r="D331" s="5" t="n">
        <v>571</v>
      </c>
      <c r="E331" s="5" t="n">
        <v>488</v>
      </c>
      <c r="F331" s="5" t="n">
        <v>472</v>
      </c>
      <c r="G331" s="5" t="n">
        <v>213</v>
      </c>
      <c r="H331" s="14">
        <f>IF(AND(ISNUMBER(C331),C331&gt;0,ISNUMBER(G331)),G331/C331-1,"")</f>
        <v/>
      </c>
    </row>
    <row r="332">
      <c r="A332" s="12" t="inlineStr">
        <is>
          <t>690</t>
        </is>
      </c>
      <c r="B332" s="13" t="inlineStr">
        <is>
          <t>General</t>
        </is>
      </c>
      <c r="C332" s="5" t="n">
        <v>528</v>
      </c>
      <c r="D332" s="5" t="n">
        <v>660</v>
      </c>
      <c r="E332" s="5" t="n">
        <v>530</v>
      </c>
      <c r="F332" s="5" t="n">
        <v>446</v>
      </c>
      <c r="G332" s="5" t="n">
        <v>350</v>
      </c>
      <c r="H332" s="14">
        <f>IF(AND(ISNUMBER(C332),C332&gt;0,ISNUMBER(G332)),G332/C332-1,"")</f>
        <v/>
      </c>
    </row>
    <row r="333">
      <c r="A333" s="12" t="inlineStr">
        <is>
          <t>700</t>
        </is>
      </c>
      <c r="B333" s="13" t="inlineStr">
        <is>
          <t>General</t>
        </is>
      </c>
      <c r="C333" s="5" t="n">
        <v>774</v>
      </c>
      <c r="D333" s="5" t="n">
        <v>639</v>
      </c>
      <c r="E333" s="5" t="n">
        <v>716</v>
      </c>
      <c r="F333" s="5" t="n">
        <v>598</v>
      </c>
      <c r="G333" s="5" t="n">
        <v>480</v>
      </c>
      <c r="H333" s="14">
        <f>IF(AND(ISNUMBER(C333),C333&gt;0,ISNUMBER(G333)),G333/C333-1,"")</f>
        <v/>
      </c>
    </row>
    <row r="334">
      <c r="A334" s="12" t="inlineStr">
        <is>
          <t>701</t>
        </is>
      </c>
      <c r="B334" s="13" t="inlineStr">
        <is>
          <t>General</t>
        </is>
      </c>
      <c r="C334" s="5" t="n">
        <v>1042</v>
      </c>
      <c r="D334" s="5" t="n">
        <v>1026</v>
      </c>
      <c r="E334" s="5" t="n">
        <v>1203</v>
      </c>
      <c r="F334" s="5" t="n">
        <v>940</v>
      </c>
      <c r="G334" s="5" t="n">
        <v>790</v>
      </c>
      <c r="H334" s="14">
        <f>IF(AND(ISNUMBER(C334),C334&gt;0,ISNUMBER(G334)),G334/C334-1,"")</f>
        <v/>
      </c>
    </row>
    <row r="335">
      <c r="A335" s="12" t="inlineStr">
        <is>
          <t>702</t>
        </is>
      </c>
      <c r="B335" s="13" t="inlineStr">
        <is>
          <t>General</t>
        </is>
      </c>
      <c r="C335" s="5" t="n">
        <v>373</v>
      </c>
      <c r="D335" s="5" t="n">
        <v>422</v>
      </c>
      <c r="E335" s="5" t="n">
        <v>403</v>
      </c>
      <c r="F335" s="5" t="n">
        <v>382</v>
      </c>
      <c r="G335" s="5" t="n">
        <v>269</v>
      </c>
      <c r="H335" s="14">
        <f>IF(AND(ISNUMBER(C335),C335&gt;0,ISNUMBER(G335)),G335/C335-1,"")</f>
        <v/>
      </c>
    </row>
    <row r="336">
      <c r="A336" s="12" t="inlineStr">
        <is>
          <t>703</t>
        </is>
      </c>
      <c r="B336" s="13" t="inlineStr">
        <is>
          <t>General</t>
        </is>
      </c>
      <c r="C336" s="5" t="n">
        <v>934</v>
      </c>
      <c r="D336" s="5" t="n">
        <v>1109</v>
      </c>
      <c r="E336" s="5" t="n">
        <v>848</v>
      </c>
      <c r="F336" s="5" t="n">
        <v>815</v>
      </c>
      <c r="G336" s="5" t="n">
        <v>448</v>
      </c>
      <c r="H336" s="14">
        <f>IF(AND(ISNUMBER(C336),C336&gt;0,ISNUMBER(G336)),G336/C336-1,"")</f>
        <v/>
      </c>
    </row>
    <row r="337">
      <c r="A337" s="12" t="inlineStr">
        <is>
          <t>704</t>
        </is>
      </c>
      <c r="B337" s="13" t="inlineStr">
        <is>
          <t>General</t>
        </is>
      </c>
      <c r="C337" s="5" t="n">
        <v>893</v>
      </c>
      <c r="D337" s="5" t="n">
        <v>647</v>
      </c>
      <c r="E337" s="5" t="n">
        <v>756</v>
      </c>
      <c r="F337" s="5" t="n">
        <v>716</v>
      </c>
      <c r="G337" s="5" t="n">
        <v>652</v>
      </c>
      <c r="H337" s="14">
        <f>IF(AND(ISNUMBER(C337),C337&gt;0,ISNUMBER(G337)),G337/C337-1,"")</f>
        <v/>
      </c>
    </row>
    <row r="338">
      <c r="A338" s="12" t="inlineStr">
        <is>
          <t>705</t>
        </is>
      </c>
      <c r="B338" s="13" t="inlineStr">
        <is>
          <t>General</t>
        </is>
      </c>
      <c r="C338" s="5" t="n">
        <v>1230</v>
      </c>
      <c r="D338" s="5" t="n">
        <v>824</v>
      </c>
      <c r="E338" s="5" t="n">
        <v>814</v>
      </c>
      <c r="F338" s="5" t="n">
        <v>899</v>
      </c>
      <c r="G338" s="5" t="n">
        <v>798</v>
      </c>
      <c r="H338" s="14">
        <f>IF(AND(ISNUMBER(C338),C338&gt;0,ISNUMBER(G338)),G338/C338-1,"")</f>
        <v/>
      </c>
    </row>
    <row r="341">
      <c r="A341" s="6" t="inlineStr">
        <is>
          <t>Elk</t>
        </is>
      </c>
    </row>
    <row r="342">
      <c r="A342" s="3" t="inlineStr">
        <is>
          <t>District</t>
        </is>
      </c>
      <c r="B342" s="3" t="inlineStr">
        <is>
          <t>License</t>
        </is>
      </c>
      <c r="C342" s="3" t="inlineStr">
        <is>
          <t>2021</t>
        </is>
      </c>
      <c r="D342" s="3" t="inlineStr">
        <is>
          <t>2022</t>
        </is>
      </c>
      <c r="E342" s="3" t="inlineStr">
        <is>
          <t>2023</t>
        </is>
      </c>
      <c r="F342" s="3" t="inlineStr">
        <is>
          <t>2024</t>
        </is>
      </c>
      <c r="G342" s="3" t="inlineStr">
        <is>
          <t>2025</t>
        </is>
      </c>
      <c r="H342" s="3" t="inlineStr">
        <is>
          <t>Change</t>
        </is>
      </c>
    </row>
    <row r="343">
      <c r="A343" s="12" t="inlineStr">
        <is>
          <t>100</t>
        </is>
      </c>
      <c r="B343" s="13" t="inlineStr">
        <is>
          <t>General</t>
        </is>
      </c>
      <c r="C343" s="5" t="n">
        <v>74</v>
      </c>
      <c r="D343" s="5" t="n">
        <v>112</v>
      </c>
      <c r="E343" s="5" t="n">
        <v>106</v>
      </c>
      <c r="F343" s="5" t="n">
        <v>84</v>
      </c>
      <c r="G343" s="5" t="n">
        <v>103</v>
      </c>
      <c r="H343" s="14">
        <f>IF(AND(ISNUMBER(C343),C343&gt;0,ISNUMBER(G343)),G343/C343-1,"")</f>
        <v/>
      </c>
    </row>
    <row r="344">
      <c r="A344" s="12" t="inlineStr">
        <is>
          <t>101</t>
        </is>
      </c>
      <c r="B344" s="13" t="inlineStr">
        <is>
          <t>General</t>
        </is>
      </c>
      <c r="C344" s="5" t="n">
        <v>53</v>
      </c>
      <c r="D344" s="5" t="n">
        <v>103</v>
      </c>
      <c r="E344" s="5" t="n">
        <v>74</v>
      </c>
      <c r="F344" s="5" t="n">
        <v>260</v>
      </c>
      <c r="G344" s="5" t="n">
        <v>195</v>
      </c>
      <c r="H344" s="14">
        <f>IF(AND(ISNUMBER(C344),C344&gt;0,ISNUMBER(G344)),G344/C344-1,"")</f>
        <v/>
      </c>
    </row>
    <row r="345">
      <c r="A345" s="12" t="inlineStr">
        <is>
          <t>102</t>
        </is>
      </c>
      <c r="B345" s="4" t="inlineStr"/>
      <c r="C345" s="5" t="n">
        <v>29</v>
      </c>
      <c r="D345" s="5" t="n"/>
      <c r="E345" s="5" t="n"/>
      <c r="F345" s="5" t="n"/>
      <c r="G345" s="5" t="n"/>
      <c r="H345" s="14">
        <f>IF(AND(ISNUMBER(C345),C345&gt;0,ISNUMBER(G345)),G345/C345-1,"")</f>
        <v/>
      </c>
    </row>
    <row r="346">
      <c r="A346" s="12" t="inlineStr">
        <is>
          <t>103</t>
        </is>
      </c>
      <c r="B346" s="13" t="inlineStr">
        <is>
          <t>General</t>
        </is>
      </c>
      <c r="C346" s="5" t="n">
        <v>88</v>
      </c>
      <c r="D346" s="5" t="n">
        <v>114</v>
      </c>
      <c r="E346" s="5" t="n">
        <v>92</v>
      </c>
      <c r="F346" s="5" t="n">
        <v>135</v>
      </c>
      <c r="G346" s="5" t="n">
        <v>154</v>
      </c>
      <c r="H346" s="14">
        <f>IF(AND(ISNUMBER(C346),C346&gt;0,ISNUMBER(G346)),G346/C346-1,"")</f>
        <v/>
      </c>
    </row>
    <row r="347">
      <c r="A347" s="12" t="inlineStr">
        <is>
          <t>104</t>
        </is>
      </c>
      <c r="B347" s="13" t="inlineStr">
        <is>
          <t>General</t>
        </is>
      </c>
      <c r="C347" s="5" t="n">
        <v>73</v>
      </c>
      <c r="D347" s="5" t="n">
        <v>61</v>
      </c>
      <c r="E347" s="5" t="n">
        <v>31</v>
      </c>
      <c r="F347" s="5" t="n">
        <v>78</v>
      </c>
      <c r="G347" s="5" t="n">
        <v>91</v>
      </c>
      <c r="H347" s="14">
        <f>IF(AND(ISNUMBER(C347),C347&gt;0,ISNUMBER(G347)),G347/C347-1,"")</f>
        <v/>
      </c>
    </row>
    <row r="348">
      <c r="A348" s="12" t="inlineStr">
        <is>
          <t>109</t>
        </is>
      </c>
      <c r="B348" s="4" t="inlineStr"/>
      <c r="C348" s="5" t="n">
        <v>28</v>
      </c>
      <c r="D348" s="5" t="n"/>
      <c r="E348" s="5" t="n"/>
      <c r="F348" s="5" t="n"/>
      <c r="G348" s="5" t="n"/>
      <c r="H348" s="14">
        <f>IF(AND(ISNUMBER(C348),C348&gt;0,ISNUMBER(G348)),G348/C348-1,"")</f>
        <v/>
      </c>
    </row>
    <row r="349">
      <c r="A349" s="12" t="inlineStr">
        <is>
          <t>110</t>
        </is>
      </c>
      <c r="B349" s="13" t="inlineStr">
        <is>
          <t>General</t>
        </is>
      </c>
      <c r="C349" s="5" t="n">
        <v>27</v>
      </c>
      <c r="D349" s="5" t="n">
        <v>42</v>
      </c>
      <c r="E349" s="5" t="n">
        <v>24</v>
      </c>
      <c r="F349" s="5" t="n">
        <v>52</v>
      </c>
      <c r="G349" s="5" t="n">
        <v>40</v>
      </c>
      <c r="H349" s="14">
        <f>IF(AND(ISNUMBER(C349),C349&gt;0,ISNUMBER(G349)),G349/C349-1,"")</f>
        <v/>
      </c>
    </row>
    <row r="350">
      <c r="A350" s="12" t="inlineStr">
        <is>
          <t>120</t>
        </is>
      </c>
      <c r="B350" s="13" t="inlineStr">
        <is>
          <t>General</t>
        </is>
      </c>
      <c r="C350" s="5" t="n">
        <v>36</v>
      </c>
      <c r="D350" s="5" t="n">
        <v>48</v>
      </c>
      <c r="E350" s="5" t="n">
        <v>75</v>
      </c>
      <c r="F350" s="5" t="n">
        <v>49</v>
      </c>
      <c r="G350" s="5" t="n">
        <v>66</v>
      </c>
      <c r="H350" s="14">
        <f>IF(AND(ISNUMBER(C350),C350&gt;0,ISNUMBER(G350)),G350/C350-1,"")</f>
        <v/>
      </c>
    </row>
    <row r="351">
      <c r="A351" s="12" t="inlineStr">
        <is>
          <t>121</t>
        </is>
      </c>
      <c r="B351" s="13" t="inlineStr">
        <is>
          <t>General</t>
        </is>
      </c>
      <c r="C351" s="5" t="n">
        <v>216</v>
      </c>
      <c r="D351" s="5" t="n">
        <v>171</v>
      </c>
      <c r="E351" s="5" t="n">
        <v>226</v>
      </c>
      <c r="F351" s="5" t="n">
        <v>246</v>
      </c>
      <c r="G351" s="5" t="n">
        <v>237</v>
      </c>
      <c r="H351" s="14">
        <f>IF(AND(ISNUMBER(C351),C351&gt;0,ISNUMBER(G351)),G351/C351-1,"")</f>
        <v/>
      </c>
    </row>
    <row r="352">
      <c r="A352" s="12" t="inlineStr">
        <is>
          <t>122</t>
        </is>
      </c>
      <c r="B352" s="13" t="inlineStr">
        <is>
          <t>General</t>
        </is>
      </c>
      <c r="C352" s="5" t="n">
        <v>65</v>
      </c>
      <c r="D352" s="5" t="n">
        <v>85</v>
      </c>
      <c r="E352" s="5" t="n">
        <v>93</v>
      </c>
      <c r="F352" s="5" t="n">
        <v>104</v>
      </c>
      <c r="G352" s="5" t="n">
        <v>135</v>
      </c>
      <c r="H352" s="14">
        <f>IF(AND(ISNUMBER(C352),C352&gt;0,ISNUMBER(G352)),G352/C352-1,"")</f>
        <v/>
      </c>
    </row>
    <row r="353">
      <c r="A353" s="12" t="inlineStr">
        <is>
          <t>123</t>
        </is>
      </c>
      <c r="B353" s="13" t="inlineStr">
        <is>
          <t>General</t>
        </is>
      </c>
      <c r="C353" s="5" t="n">
        <v>44</v>
      </c>
      <c r="D353" s="5" t="n">
        <v>43</v>
      </c>
      <c r="E353" s="5" t="n">
        <v>38</v>
      </c>
      <c r="F353" s="5" t="n">
        <v>40</v>
      </c>
      <c r="G353" s="5" t="n">
        <v>34</v>
      </c>
      <c r="H353" s="14">
        <f>IF(AND(ISNUMBER(C353),C353&gt;0,ISNUMBER(G353)),G353/C353-1,"")</f>
        <v/>
      </c>
    </row>
    <row r="354">
      <c r="A354" s="12" t="inlineStr">
        <is>
          <t>124</t>
        </is>
      </c>
      <c r="B354" s="13" t="inlineStr">
        <is>
          <t>General</t>
        </is>
      </c>
      <c r="C354" s="5" t="n">
        <v>26</v>
      </c>
      <c r="D354" s="5" t="n">
        <v>31</v>
      </c>
      <c r="E354" s="5" t="n">
        <v>35</v>
      </c>
      <c r="F354" s="5" t="n">
        <v>41</v>
      </c>
      <c r="G354" s="5" t="n">
        <v>33</v>
      </c>
      <c r="H354" s="14">
        <f>IF(AND(ISNUMBER(C354),C354&gt;0,ISNUMBER(G354)),G354/C354-1,"")</f>
        <v/>
      </c>
    </row>
    <row r="355">
      <c r="A355" s="12" t="inlineStr">
        <is>
          <t>130</t>
        </is>
      </c>
      <c r="B355" s="13" t="inlineStr">
        <is>
          <t>General</t>
        </is>
      </c>
      <c r="C355" s="5" t="n">
        <v>40</v>
      </c>
      <c r="D355" s="5" t="n">
        <v>39</v>
      </c>
      <c r="E355" s="5" t="n">
        <v>48</v>
      </c>
      <c r="F355" s="5" t="n">
        <v>33</v>
      </c>
      <c r="G355" s="5" t="n">
        <v>44</v>
      </c>
      <c r="H355" s="14">
        <f>IF(AND(ISNUMBER(C355),C355&gt;0,ISNUMBER(G355)),G355/C355-1,"")</f>
        <v/>
      </c>
    </row>
    <row r="356">
      <c r="A356" s="12" t="inlineStr">
        <is>
          <t>140</t>
        </is>
      </c>
      <c r="B356" s="13" t="inlineStr">
        <is>
          <t>General</t>
        </is>
      </c>
      <c r="C356" s="5" t="n">
        <v>8</v>
      </c>
      <c r="D356" s="5" t="n">
        <v>19</v>
      </c>
      <c r="E356" s="5" t="n">
        <v>24</v>
      </c>
      <c r="F356" s="5" t="n">
        <v>12</v>
      </c>
      <c r="G356" s="5" t="n">
        <v>33</v>
      </c>
      <c r="H356" s="14">
        <f>IF(AND(ISNUMBER(C356),C356&gt;0,ISNUMBER(G356)),G356/C356-1,"")</f>
        <v/>
      </c>
    </row>
    <row r="357">
      <c r="A357" s="12" t="inlineStr">
        <is>
          <t>141</t>
        </is>
      </c>
      <c r="B357" s="13" t="inlineStr">
        <is>
          <t>General</t>
        </is>
      </c>
      <c r="C357" s="5" t="n"/>
      <c r="D357" s="5" t="n">
        <v>16</v>
      </c>
      <c r="E357" s="5" t="n">
        <v>12</v>
      </c>
      <c r="F357" s="5" t="n">
        <v>9</v>
      </c>
      <c r="G357" s="5" t="n">
        <v>15</v>
      </c>
      <c r="H357" s="14">
        <f>IF(AND(ISNUMBER(C357),C357&gt;0,ISNUMBER(G357)),G357/C357-1,"")</f>
        <v/>
      </c>
    </row>
    <row r="358">
      <c r="A358" s="12" t="inlineStr">
        <is>
          <t>150</t>
        </is>
      </c>
      <c r="B358" s="13" t="inlineStr">
        <is>
          <t>General</t>
        </is>
      </c>
      <c r="C358" s="5" t="n">
        <v>41</v>
      </c>
      <c r="D358" s="5" t="n">
        <v>67</v>
      </c>
      <c r="E358" s="5" t="n">
        <v>49</v>
      </c>
      <c r="F358" s="5" t="n">
        <v>102</v>
      </c>
      <c r="G358" s="5" t="n">
        <v>47</v>
      </c>
      <c r="H358" s="14">
        <f>IF(AND(ISNUMBER(C358),C358&gt;0,ISNUMBER(G358)),G358/C358-1,"")</f>
        <v/>
      </c>
    </row>
    <row r="359">
      <c r="A359" s="12" t="inlineStr">
        <is>
          <t>170</t>
        </is>
      </c>
      <c r="B359" s="13" t="inlineStr">
        <is>
          <t>General</t>
        </is>
      </c>
      <c r="C359" s="5" t="n">
        <v>31</v>
      </c>
      <c r="D359" s="5" t="n">
        <v>39</v>
      </c>
      <c r="E359" s="5" t="n">
        <v>45</v>
      </c>
      <c r="F359" s="5" t="n">
        <v>56</v>
      </c>
      <c r="G359" s="5" t="n">
        <v>67</v>
      </c>
      <c r="H359" s="14">
        <f>IF(AND(ISNUMBER(C359),C359&gt;0,ISNUMBER(G359)),G359/C359-1,"")</f>
        <v/>
      </c>
    </row>
    <row r="360">
      <c r="A360" s="12" t="inlineStr">
        <is>
          <t>200</t>
        </is>
      </c>
      <c r="B360" s="13" t="inlineStr">
        <is>
          <t>General</t>
        </is>
      </c>
      <c r="C360" s="5" t="n">
        <v>16</v>
      </c>
      <c r="D360" s="5" t="n">
        <v>27</v>
      </c>
      <c r="E360" s="5" t="n">
        <v>35</v>
      </c>
      <c r="F360" s="5" t="n">
        <v>38</v>
      </c>
      <c r="G360" s="5" t="n">
        <v>20</v>
      </c>
      <c r="H360" s="14">
        <f>IF(AND(ISNUMBER(C360),C360&gt;0,ISNUMBER(G360)),G360/C360-1,"")</f>
        <v/>
      </c>
    </row>
    <row r="361">
      <c r="A361" s="12" t="inlineStr">
        <is>
          <t>201</t>
        </is>
      </c>
      <c r="B361" s="13" t="inlineStr">
        <is>
          <t>General</t>
        </is>
      </c>
      <c r="C361" s="5" t="n">
        <v>121</v>
      </c>
      <c r="D361" s="5" t="n">
        <v>245</v>
      </c>
      <c r="E361" s="5" t="n">
        <v>287</v>
      </c>
      <c r="F361" s="5" t="n">
        <v>327</v>
      </c>
      <c r="G361" s="5" t="n">
        <v>274</v>
      </c>
      <c r="H361" s="14">
        <f>IF(AND(ISNUMBER(C361),C361&gt;0,ISNUMBER(G361)),G361/C361-1,"")</f>
        <v/>
      </c>
    </row>
    <row r="362">
      <c r="A362" s="12" t="inlineStr">
        <is>
          <t>202</t>
        </is>
      </c>
      <c r="B362" s="13" t="inlineStr">
        <is>
          <t>General</t>
        </is>
      </c>
      <c r="C362" s="5" t="n">
        <v>89</v>
      </c>
      <c r="D362" s="5" t="n">
        <v>59</v>
      </c>
      <c r="E362" s="5" t="n">
        <v>58</v>
      </c>
      <c r="F362" s="5" t="n">
        <v>90</v>
      </c>
      <c r="G362" s="5" t="n">
        <v>79</v>
      </c>
      <c r="H362" s="14">
        <f>IF(AND(ISNUMBER(C362),C362&gt;0,ISNUMBER(G362)),G362/C362-1,"")</f>
        <v/>
      </c>
    </row>
    <row r="363">
      <c r="A363" s="12" t="inlineStr">
        <is>
          <t>203</t>
        </is>
      </c>
      <c r="B363" s="4" t="inlineStr"/>
      <c r="C363" s="5" t="n">
        <v>53</v>
      </c>
      <c r="D363" s="5" t="n"/>
      <c r="E363" s="5" t="n"/>
      <c r="F363" s="5" t="n"/>
      <c r="G363" s="5" t="n"/>
      <c r="H363" s="14">
        <f>IF(AND(ISNUMBER(C363),C363&gt;0,ISNUMBER(G363)),G363/C363-1,"")</f>
        <v/>
      </c>
    </row>
    <row r="364">
      <c r="A364" s="12" t="inlineStr">
        <is>
          <t>204</t>
        </is>
      </c>
      <c r="B364" s="13" t="inlineStr">
        <is>
          <t>General</t>
        </is>
      </c>
      <c r="C364" s="5" t="n">
        <v>112</v>
      </c>
      <c r="D364" s="5" t="n">
        <v>110</v>
      </c>
      <c r="E364" s="5" t="n">
        <v>58</v>
      </c>
      <c r="F364" s="5" t="n">
        <v>76</v>
      </c>
      <c r="G364" s="5" t="n">
        <v>113</v>
      </c>
      <c r="H364" s="14">
        <f>IF(AND(ISNUMBER(C364),C364&gt;0,ISNUMBER(G364)),G364/C364-1,"")</f>
        <v/>
      </c>
    </row>
    <row r="365">
      <c r="A365" s="12" t="inlineStr">
        <is>
          <t>210</t>
        </is>
      </c>
      <c r="B365" s="13" t="inlineStr">
        <is>
          <t>General</t>
        </is>
      </c>
      <c r="C365" s="5" t="n">
        <v>188</v>
      </c>
      <c r="D365" s="5" t="n">
        <v>165</v>
      </c>
      <c r="E365" s="5" t="n">
        <v>145</v>
      </c>
      <c r="F365" s="5" t="n">
        <v>162</v>
      </c>
      <c r="G365" s="5" t="n">
        <v>172</v>
      </c>
      <c r="H365" s="14">
        <f>IF(AND(ISNUMBER(C365),C365&gt;0,ISNUMBER(G365)),G365/C365-1,"")</f>
        <v/>
      </c>
    </row>
    <row r="366">
      <c r="A366" s="12" t="inlineStr">
        <is>
          <t>211</t>
        </is>
      </c>
      <c r="B366" s="13" t="inlineStr">
        <is>
          <t>General</t>
        </is>
      </c>
      <c r="C366" s="5" t="n">
        <v>125</v>
      </c>
      <c r="D366" s="5" t="n">
        <v>114</v>
      </c>
      <c r="E366" s="5" t="n">
        <v>108</v>
      </c>
      <c r="F366" s="5" t="n">
        <v>124</v>
      </c>
      <c r="G366" s="5" t="n">
        <v>100</v>
      </c>
      <c r="H366" s="14">
        <f>IF(AND(ISNUMBER(C366),C366&gt;0,ISNUMBER(G366)),G366/C366-1,"")</f>
        <v/>
      </c>
    </row>
    <row r="367">
      <c r="A367" s="12" t="inlineStr">
        <is>
          <t>212</t>
        </is>
      </c>
      <c r="B367" s="13" t="inlineStr">
        <is>
          <t>General</t>
        </is>
      </c>
      <c r="C367" s="5" t="n">
        <v>30</v>
      </c>
      <c r="D367" s="5" t="n">
        <v>54</v>
      </c>
      <c r="E367" s="5" t="n">
        <v>43</v>
      </c>
      <c r="F367" s="5" t="n">
        <v>26</v>
      </c>
      <c r="G367" s="5" t="n">
        <v>38</v>
      </c>
      <c r="H367" s="14">
        <f>IF(AND(ISNUMBER(C367),C367&gt;0,ISNUMBER(G367)),G367/C367-1,"")</f>
        <v/>
      </c>
    </row>
    <row r="368">
      <c r="A368" s="12" t="inlineStr">
        <is>
          <t>213</t>
        </is>
      </c>
      <c r="B368" s="13" t="inlineStr">
        <is>
          <t>General</t>
        </is>
      </c>
      <c r="C368" s="5" t="n">
        <v>349</v>
      </c>
      <c r="D368" s="5" t="n">
        <v>334</v>
      </c>
      <c r="E368" s="5" t="n">
        <v>294</v>
      </c>
      <c r="F368" s="5" t="n">
        <v>369</v>
      </c>
      <c r="G368" s="5" t="n">
        <v>325</v>
      </c>
      <c r="H368" s="14">
        <f>IF(AND(ISNUMBER(C368),C368&gt;0,ISNUMBER(G368)),G368/C368-1,"")</f>
        <v/>
      </c>
    </row>
    <row r="369">
      <c r="A369" s="12" t="inlineStr">
        <is>
          <t>214</t>
        </is>
      </c>
      <c r="B369" s="13" t="inlineStr">
        <is>
          <t>General</t>
        </is>
      </c>
      <c r="C369" s="5" t="n">
        <v>15</v>
      </c>
      <c r="D369" s="5" t="n">
        <v>43</v>
      </c>
      <c r="E369" s="5" t="n">
        <v>59</v>
      </c>
      <c r="F369" s="5" t="n">
        <v>25</v>
      </c>
      <c r="G369" s="5" t="n">
        <v>25</v>
      </c>
      <c r="H369" s="14">
        <f>IF(AND(ISNUMBER(C369),C369&gt;0,ISNUMBER(G369)),G369/C369-1,"")</f>
        <v/>
      </c>
    </row>
    <row r="370">
      <c r="A370" s="12" t="inlineStr">
        <is>
          <t>215</t>
        </is>
      </c>
      <c r="B370" s="13" t="inlineStr">
        <is>
          <t>General</t>
        </is>
      </c>
      <c r="C370" s="5" t="n">
        <v>298</v>
      </c>
      <c r="D370" s="5" t="n">
        <v>327</v>
      </c>
      <c r="E370" s="5" t="n">
        <v>331</v>
      </c>
      <c r="F370" s="5" t="n">
        <v>284</v>
      </c>
      <c r="G370" s="5" t="n">
        <v>346</v>
      </c>
      <c r="H370" s="14">
        <f>IF(AND(ISNUMBER(C370),C370&gt;0,ISNUMBER(G370)),G370/C370-1,"")</f>
        <v/>
      </c>
    </row>
    <row r="371">
      <c r="A371" s="12" t="inlineStr">
        <is>
          <t>216</t>
        </is>
      </c>
      <c r="B371" s="13" t="inlineStr">
        <is>
          <t>General</t>
        </is>
      </c>
      <c r="C371" s="5" t="n">
        <v>49</v>
      </c>
      <c r="D371" s="5" t="n">
        <v>58</v>
      </c>
      <c r="E371" s="5" t="n">
        <v>39</v>
      </c>
      <c r="F371" s="5" t="n">
        <v>50</v>
      </c>
      <c r="G371" s="5" t="n">
        <v>44</v>
      </c>
      <c r="H371" s="14">
        <f>IF(AND(ISNUMBER(C371),C371&gt;0,ISNUMBER(G371)),G371/C371-1,"")</f>
        <v/>
      </c>
    </row>
    <row r="372">
      <c r="A372" s="12" t="inlineStr">
        <is>
          <t>217</t>
        </is>
      </c>
      <c r="B372" s="15" t="inlineStr">
        <is>
          <t>Draw</t>
        </is>
      </c>
      <c r="C372" s="5" t="n">
        <v>81</v>
      </c>
      <c r="D372" s="5" t="n">
        <v>109</v>
      </c>
      <c r="E372" s="5" t="n">
        <v>87</v>
      </c>
      <c r="F372" s="5" t="n">
        <v>92</v>
      </c>
      <c r="G372" s="5" t="n">
        <v>105</v>
      </c>
      <c r="H372" s="14">
        <f>IF(AND(ISNUMBER(C372),C372&gt;0,ISNUMBER(G372)),G372/C372-1,"")</f>
        <v/>
      </c>
    </row>
    <row r="373">
      <c r="A373" s="12" t="inlineStr">
        <is>
          <t>240</t>
        </is>
      </c>
      <c r="B373" s="13" t="inlineStr">
        <is>
          <t>General</t>
        </is>
      </c>
      <c r="C373" s="5" t="n">
        <v>207</v>
      </c>
      <c r="D373" s="5" t="n">
        <v>203</v>
      </c>
      <c r="E373" s="5" t="n">
        <v>136</v>
      </c>
      <c r="F373" s="5" t="n">
        <v>120</v>
      </c>
      <c r="G373" s="5" t="n">
        <v>136</v>
      </c>
      <c r="H373" s="14">
        <f>IF(AND(ISNUMBER(C373),C373&gt;0,ISNUMBER(G373)),G373/C373-1,"")</f>
        <v/>
      </c>
    </row>
    <row r="374">
      <c r="A374" s="12" t="inlineStr">
        <is>
          <t>250</t>
        </is>
      </c>
      <c r="B374" s="15" t="inlineStr">
        <is>
          <t>Draw</t>
        </is>
      </c>
      <c r="C374" s="5" t="n">
        <v>36</v>
      </c>
      <c r="D374" s="5" t="n">
        <v>30</v>
      </c>
      <c r="E374" s="5" t="n">
        <v>18</v>
      </c>
      <c r="F374" s="5" t="n">
        <v>51</v>
      </c>
      <c r="G374" s="5" t="n">
        <v>38</v>
      </c>
      <c r="H374" s="14">
        <f>IF(AND(ISNUMBER(C374),C374&gt;0,ISNUMBER(G374)),G374/C374-1,"")</f>
        <v/>
      </c>
    </row>
    <row r="375">
      <c r="A375" s="12" t="inlineStr">
        <is>
          <t>260</t>
        </is>
      </c>
      <c r="B375" s="13" t="inlineStr">
        <is>
          <t>General</t>
        </is>
      </c>
      <c r="C375" s="5" t="n">
        <v>43</v>
      </c>
      <c r="D375" s="5" t="n">
        <v>16</v>
      </c>
      <c r="E375" s="5" t="n">
        <v>32</v>
      </c>
      <c r="F375" s="5" t="n">
        <v>50</v>
      </c>
      <c r="G375" s="5" t="n">
        <v>33</v>
      </c>
      <c r="H375" s="14">
        <f>IF(AND(ISNUMBER(C375),C375&gt;0,ISNUMBER(G375)),G375/C375-1,"")</f>
        <v/>
      </c>
    </row>
    <row r="376">
      <c r="A376" s="12" t="inlineStr">
        <is>
          <t>261</t>
        </is>
      </c>
      <c r="B376" s="13" t="inlineStr">
        <is>
          <t>General</t>
        </is>
      </c>
      <c r="C376" s="5" t="n">
        <v>54</v>
      </c>
      <c r="D376" s="5" t="n">
        <v>89</v>
      </c>
      <c r="E376" s="5" t="n">
        <v>25</v>
      </c>
      <c r="F376" s="5" t="n">
        <v>48</v>
      </c>
      <c r="G376" s="5" t="n">
        <v>57</v>
      </c>
      <c r="H376" s="14">
        <f>IF(AND(ISNUMBER(C376),C376&gt;0,ISNUMBER(G376)),G376/C376-1,"")</f>
        <v/>
      </c>
    </row>
    <row r="377">
      <c r="A377" s="12" t="inlineStr">
        <is>
          <t>262</t>
        </is>
      </c>
      <c r="B377" s="13" t="inlineStr">
        <is>
          <t>General</t>
        </is>
      </c>
      <c r="C377" s="5" t="n">
        <v>122</v>
      </c>
      <c r="D377" s="5" t="n">
        <v>109</v>
      </c>
      <c r="E377" s="5" t="n">
        <v>113</v>
      </c>
      <c r="F377" s="5" t="n">
        <v>93</v>
      </c>
      <c r="G377" s="5" t="n">
        <v>184</v>
      </c>
      <c r="H377" s="14">
        <f>IF(AND(ISNUMBER(C377),C377&gt;0,ISNUMBER(G377)),G377/C377-1,"")</f>
        <v/>
      </c>
    </row>
    <row r="378">
      <c r="A378" s="12" t="inlineStr">
        <is>
          <t>270</t>
        </is>
      </c>
      <c r="B378" s="15" t="inlineStr">
        <is>
          <t>Draw</t>
        </is>
      </c>
      <c r="C378" s="5" t="n">
        <v>408</v>
      </c>
      <c r="D378" s="5" t="n">
        <v>633</v>
      </c>
      <c r="E378" s="5" t="n">
        <v>424</v>
      </c>
      <c r="F378" s="5" t="n">
        <v>662</v>
      </c>
      <c r="G378" s="5" t="n">
        <v>621</v>
      </c>
      <c r="H378" s="14">
        <f>IF(AND(ISNUMBER(C378),C378&gt;0,ISNUMBER(G378)),G378/C378-1,"")</f>
        <v/>
      </c>
    </row>
    <row r="379">
      <c r="A379" s="12" t="inlineStr">
        <is>
          <t>280</t>
        </is>
      </c>
      <c r="B379" s="13" t="inlineStr">
        <is>
          <t>General</t>
        </is>
      </c>
      <c r="C379" s="5" t="n">
        <v>22</v>
      </c>
      <c r="D379" s="5" t="n">
        <v>32</v>
      </c>
      <c r="E379" s="5" t="n">
        <v>21</v>
      </c>
      <c r="F379" s="5" t="n">
        <v>44</v>
      </c>
      <c r="G379" s="5" t="n">
        <v>17</v>
      </c>
      <c r="H379" s="14">
        <f>IF(AND(ISNUMBER(C379),C379&gt;0,ISNUMBER(G379)),G379/C379-1,"")</f>
        <v/>
      </c>
    </row>
    <row r="380">
      <c r="A380" s="12" t="inlineStr">
        <is>
          <t>281</t>
        </is>
      </c>
      <c r="B380" s="13" t="inlineStr">
        <is>
          <t>General</t>
        </is>
      </c>
      <c r="C380" s="5" t="n">
        <v>52</v>
      </c>
      <c r="D380" s="5" t="n">
        <v>102</v>
      </c>
      <c r="E380" s="5" t="n">
        <v>79</v>
      </c>
      <c r="F380" s="5" t="n">
        <v>83</v>
      </c>
      <c r="G380" s="5" t="n">
        <v>77</v>
      </c>
      <c r="H380" s="14">
        <f>IF(AND(ISNUMBER(C380),C380&gt;0,ISNUMBER(G380)),G380/C380-1,"")</f>
        <v/>
      </c>
    </row>
    <row r="381">
      <c r="A381" s="12" t="inlineStr">
        <is>
          <t>282</t>
        </is>
      </c>
      <c r="B381" s="13" t="inlineStr">
        <is>
          <t>General</t>
        </is>
      </c>
      <c r="C381" s="5" t="n">
        <v>17</v>
      </c>
      <c r="D381" s="5" t="n">
        <v>26</v>
      </c>
      <c r="E381" s="5" t="n">
        <v>4</v>
      </c>
      <c r="F381" s="5" t="n">
        <v>21</v>
      </c>
      <c r="G381" s="5" t="n">
        <v>31</v>
      </c>
      <c r="H381" s="14">
        <f>IF(AND(ISNUMBER(C381),C381&gt;0,ISNUMBER(G381)),G381/C381-1,"")</f>
        <v/>
      </c>
    </row>
    <row r="382">
      <c r="A382" s="12" t="inlineStr">
        <is>
          <t>283</t>
        </is>
      </c>
      <c r="B382" s="4" t="inlineStr"/>
      <c r="C382" s="5" t="n">
        <v>44</v>
      </c>
      <c r="D382" s="5" t="n"/>
      <c r="E382" s="5" t="n"/>
      <c r="F382" s="5" t="n"/>
      <c r="G382" s="5" t="n"/>
      <c r="H382" s="14">
        <f>IF(AND(ISNUMBER(C382),C382&gt;0,ISNUMBER(G382)),G382/C382-1,"")</f>
        <v/>
      </c>
    </row>
    <row r="383">
      <c r="A383" s="12" t="inlineStr">
        <is>
          <t>284</t>
        </is>
      </c>
      <c r="B383" s="13" t="inlineStr">
        <is>
          <t>General</t>
        </is>
      </c>
      <c r="C383" s="5" t="n">
        <v>43</v>
      </c>
      <c r="D383" s="5" t="n">
        <v>12</v>
      </c>
      <c r="E383" s="5" t="n">
        <v>26</v>
      </c>
      <c r="F383" s="5" t="n">
        <v>32</v>
      </c>
      <c r="G383" s="5" t="n">
        <v>15</v>
      </c>
      <c r="H383" s="14">
        <f>IF(AND(ISNUMBER(C383),C383&gt;0,ISNUMBER(G383)),G383/C383-1,"")</f>
        <v/>
      </c>
    </row>
    <row r="384">
      <c r="A384" s="12" t="inlineStr">
        <is>
          <t>285</t>
        </is>
      </c>
      <c r="B384" s="13" t="inlineStr">
        <is>
          <t>General</t>
        </is>
      </c>
      <c r="C384" s="5" t="n">
        <v>70</v>
      </c>
      <c r="D384" s="5" t="n">
        <v>87</v>
      </c>
      <c r="E384" s="5" t="n">
        <v>89</v>
      </c>
      <c r="F384" s="5" t="n">
        <v>56</v>
      </c>
      <c r="G384" s="5" t="n">
        <v>113</v>
      </c>
      <c r="H384" s="14">
        <f>IF(AND(ISNUMBER(C384),C384&gt;0,ISNUMBER(G384)),G384/C384-1,"")</f>
        <v/>
      </c>
    </row>
    <row r="385">
      <c r="A385" s="12" t="inlineStr">
        <is>
          <t>290</t>
        </is>
      </c>
      <c r="B385" s="13" t="inlineStr">
        <is>
          <t>General</t>
        </is>
      </c>
      <c r="C385" s="5" t="n">
        <v>42</v>
      </c>
      <c r="D385" s="5" t="n">
        <v>26</v>
      </c>
      <c r="E385" s="5" t="n">
        <v>46</v>
      </c>
      <c r="F385" s="5" t="n">
        <v>52</v>
      </c>
      <c r="G385" s="5" t="n">
        <v>80</v>
      </c>
      <c r="H385" s="14">
        <f>IF(AND(ISNUMBER(C385),C385&gt;0,ISNUMBER(G385)),G385/C385-1,"")</f>
        <v/>
      </c>
    </row>
    <row r="386">
      <c r="A386" s="12" t="inlineStr">
        <is>
          <t>291</t>
        </is>
      </c>
      <c r="B386" s="13" t="inlineStr">
        <is>
          <t>General</t>
        </is>
      </c>
      <c r="C386" s="5" t="n">
        <v>86</v>
      </c>
      <c r="D386" s="5" t="n">
        <v>137</v>
      </c>
      <c r="E386" s="5" t="n">
        <v>102</v>
      </c>
      <c r="F386" s="5" t="n">
        <v>122</v>
      </c>
      <c r="G386" s="5" t="n">
        <v>133</v>
      </c>
      <c r="H386" s="14">
        <f>IF(AND(ISNUMBER(C386),C386&gt;0,ISNUMBER(G386)),G386/C386-1,"")</f>
        <v/>
      </c>
    </row>
    <row r="387">
      <c r="A387" s="12" t="inlineStr">
        <is>
          <t>292</t>
        </is>
      </c>
      <c r="B387" s="13" t="inlineStr">
        <is>
          <t>General</t>
        </is>
      </c>
      <c r="C387" s="5" t="n">
        <v>95</v>
      </c>
      <c r="D387" s="5" t="n">
        <v>87</v>
      </c>
      <c r="E387" s="5" t="n">
        <v>97</v>
      </c>
      <c r="F387" s="5" t="n">
        <v>82</v>
      </c>
      <c r="G387" s="5" t="n">
        <v>121</v>
      </c>
      <c r="H387" s="14">
        <f>IF(AND(ISNUMBER(C387),C387&gt;0,ISNUMBER(G387)),G387/C387-1,"")</f>
        <v/>
      </c>
    </row>
    <row r="388">
      <c r="A388" s="12" t="inlineStr">
        <is>
          <t>293</t>
        </is>
      </c>
      <c r="B388" s="13" t="inlineStr">
        <is>
          <t>General</t>
        </is>
      </c>
      <c r="C388" s="5" t="n">
        <v>124</v>
      </c>
      <c r="D388" s="5" t="n">
        <v>141</v>
      </c>
      <c r="E388" s="5" t="n">
        <v>135</v>
      </c>
      <c r="F388" s="5" t="n">
        <v>156</v>
      </c>
      <c r="G388" s="5" t="n">
        <v>231</v>
      </c>
      <c r="H388" s="14">
        <f>IF(AND(ISNUMBER(C388),C388&gt;0,ISNUMBER(G388)),G388/C388-1,"")</f>
        <v/>
      </c>
    </row>
    <row r="389">
      <c r="A389" s="12" t="inlineStr">
        <is>
          <t>298</t>
        </is>
      </c>
      <c r="B389" s="13" t="inlineStr">
        <is>
          <t>General</t>
        </is>
      </c>
      <c r="C389" s="5" t="n">
        <v>46</v>
      </c>
      <c r="D389" s="5" t="n">
        <v>65</v>
      </c>
      <c r="E389" s="5" t="n">
        <v>43</v>
      </c>
      <c r="F389" s="5" t="n">
        <v>42</v>
      </c>
      <c r="G389" s="5" t="n">
        <v>56</v>
      </c>
      <c r="H389" s="14">
        <f>IF(AND(ISNUMBER(C389),C389&gt;0,ISNUMBER(G389)),G389/C389-1,"")</f>
        <v/>
      </c>
    </row>
    <row r="390">
      <c r="A390" s="12" t="inlineStr">
        <is>
          <t>300</t>
        </is>
      </c>
      <c r="B390" s="4" t="inlineStr"/>
      <c r="C390" s="5" t="n">
        <v>386</v>
      </c>
      <c r="D390" s="5" t="n"/>
      <c r="E390" s="5" t="n"/>
      <c r="F390" s="5" t="n"/>
      <c r="G390" s="5" t="n"/>
      <c r="H390" s="14">
        <f>IF(AND(ISNUMBER(C390),C390&gt;0,ISNUMBER(G390)),G390/C390-1,"")</f>
        <v/>
      </c>
    </row>
    <row r="391">
      <c r="A391" s="12" t="inlineStr">
        <is>
          <t>301</t>
        </is>
      </c>
      <c r="B391" s="13" t="inlineStr">
        <is>
          <t>General</t>
        </is>
      </c>
      <c r="C391" s="5" t="n">
        <v>144</v>
      </c>
      <c r="D391" s="5" t="n">
        <v>231</v>
      </c>
      <c r="E391" s="5" t="n">
        <v>123</v>
      </c>
      <c r="F391" s="5" t="n">
        <v>110</v>
      </c>
      <c r="G391" s="5" t="n">
        <v>153</v>
      </c>
      <c r="H391" s="14">
        <f>IF(AND(ISNUMBER(C391),C391&gt;0,ISNUMBER(G391)),G391/C391-1,"")</f>
        <v/>
      </c>
    </row>
    <row r="392">
      <c r="A392" s="12" t="inlineStr">
        <is>
          <t>302</t>
        </is>
      </c>
      <c r="B392" s="13" t="inlineStr">
        <is>
          <t>General</t>
        </is>
      </c>
      <c r="C392" s="5" t="n">
        <v>305</v>
      </c>
      <c r="D392" s="5" t="n">
        <v>423</v>
      </c>
      <c r="E392" s="5" t="n">
        <v>258</v>
      </c>
      <c r="F392" s="5" t="n">
        <v>272</v>
      </c>
      <c r="G392" s="5" t="n">
        <v>235</v>
      </c>
      <c r="H392" s="14">
        <f>IF(AND(ISNUMBER(C392),C392&gt;0,ISNUMBER(G392)),G392/C392-1,"")</f>
        <v/>
      </c>
    </row>
    <row r="393">
      <c r="A393" s="12" t="inlineStr">
        <is>
          <t>303</t>
        </is>
      </c>
      <c r="B393" s="13" t="inlineStr">
        <is>
          <t>General</t>
        </is>
      </c>
      <c r="C393" s="5" t="n"/>
      <c r="D393" s="5" t="n">
        <v>241</v>
      </c>
      <c r="E393" s="5" t="n">
        <v>171</v>
      </c>
      <c r="F393" s="5" t="n">
        <v>274</v>
      </c>
      <c r="G393" s="5" t="n">
        <v>271</v>
      </c>
      <c r="H393" s="14">
        <f>IF(AND(ISNUMBER(C393),C393&gt;0,ISNUMBER(G393)),G393/C393-1,"")</f>
        <v/>
      </c>
    </row>
    <row r="394">
      <c r="A394" s="12" t="inlineStr">
        <is>
          <t>304</t>
        </is>
      </c>
      <c r="B394" s="13" t="inlineStr">
        <is>
          <t>General</t>
        </is>
      </c>
      <c r="C394" s="5" t="n"/>
      <c r="D394" s="5" t="n">
        <v>137</v>
      </c>
      <c r="E394" s="5" t="n">
        <v>63</v>
      </c>
      <c r="F394" s="5" t="n">
        <v>93</v>
      </c>
      <c r="G394" s="5" t="n">
        <v>83</v>
      </c>
      <c r="H394" s="14">
        <f>IF(AND(ISNUMBER(C394),C394&gt;0,ISNUMBER(G394)),G394/C394-1,"")</f>
        <v/>
      </c>
    </row>
    <row r="395">
      <c r="A395" s="12" t="inlineStr">
        <is>
          <t>309</t>
        </is>
      </c>
      <c r="B395" s="13" t="inlineStr">
        <is>
          <t>General</t>
        </is>
      </c>
      <c r="C395" s="5" t="n">
        <v>74</v>
      </c>
      <c r="D395" s="5" t="n">
        <v>91</v>
      </c>
      <c r="E395" s="5" t="n">
        <v>58</v>
      </c>
      <c r="F395" s="5" t="n">
        <v>117</v>
      </c>
      <c r="G395" s="5" t="n">
        <v>37</v>
      </c>
      <c r="H395" s="14">
        <f>IF(AND(ISNUMBER(C395),C395&gt;0,ISNUMBER(G395)),G395/C395-1,"")</f>
        <v/>
      </c>
    </row>
    <row r="396">
      <c r="A396" s="12" t="inlineStr">
        <is>
          <t>310</t>
        </is>
      </c>
      <c r="B396" s="13" t="inlineStr">
        <is>
          <t>General</t>
        </is>
      </c>
      <c r="C396" s="5" t="n">
        <v>108</v>
      </c>
      <c r="D396" s="5" t="n">
        <v>199</v>
      </c>
      <c r="E396" s="5" t="n">
        <v>78</v>
      </c>
      <c r="F396" s="5" t="n">
        <v>117</v>
      </c>
      <c r="G396" s="5" t="n">
        <v>58</v>
      </c>
      <c r="H396" s="14">
        <f>IF(AND(ISNUMBER(C396),C396&gt;0,ISNUMBER(G396)),G396/C396-1,"")</f>
        <v/>
      </c>
    </row>
    <row r="397">
      <c r="A397" s="12" t="inlineStr">
        <is>
          <t>311</t>
        </is>
      </c>
      <c r="B397" s="13" t="inlineStr">
        <is>
          <t>General</t>
        </is>
      </c>
      <c r="C397" s="5" t="n">
        <v>447</v>
      </c>
      <c r="D397" s="5" t="n">
        <v>295</v>
      </c>
      <c r="E397" s="5" t="n">
        <v>215</v>
      </c>
      <c r="F397" s="5" t="n">
        <v>238</v>
      </c>
      <c r="G397" s="5" t="n">
        <v>198</v>
      </c>
      <c r="H397" s="14">
        <f>IF(AND(ISNUMBER(C397),C397&gt;0,ISNUMBER(G397)),G397/C397-1,"")</f>
        <v/>
      </c>
    </row>
    <row r="398">
      <c r="A398" s="12" t="inlineStr">
        <is>
          <t>312</t>
        </is>
      </c>
      <c r="B398" s="13" t="inlineStr">
        <is>
          <t>General</t>
        </is>
      </c>
      <c r="C398" s="5" t="n">
        <v>266</v>
      </c>
      <c r="D398" s="5" t="n">
        <v>285</v>
      </c>
      <c r="E398" s="5" t="n">
        <v>240</v>
      </c>
      <c r="F398" s="5" t="n">
        <v>230</v>
      </c>
      <c r="G398" s="5" t="n">
        <v>281</v>
      </c>
      <c r="H398" s="14">
        <f>IF(AND(ISNUMBER(C398),C398&gt;0,ISNUMBER(G398)),G398/C398-1,"")</f>
        <v/>
      </c>
    </row>
    <row r="399">
      <c r="A399" s="12" t="inlineStr">
        <is>
          <t>313</t>
        </is>
      </c>
      <c r="B399" s="13" t="inlineStr">
        <is>
          <t>General</t>
        </is>
      </c>
      <c r="C399" s="5" t="n">
        <v>318</v>
      </c>
      <c r="D399" s="5" t="n">
        <v>335</v>
      </c>
      <c r="E399" s="5" t="n">
        <v>289</v>
      </c>
      <c r="F399" s="5" t="n">
        <v>346</v>
      </c>
      <c r="G399" s="5" t="n">
        <v>282</v>
      </c>
      <c r="H399" s="14">
        <f>IF(AND(ISNUMBER(C399),C399&gt;0,ISNUMBER(G399)),G399/C399-1,"")</f>
        <v/>
      </c>
    </row>
    <row r="400">
      <c r="A400" s="12" t="inlineStr">
        <is>
          <t>314</t>
        </is>
      </c>
      <c r="B400" s="13" t="inlineStr">
        <is>
          <t>General</t>
        </is>
      </c>
      <c r="C400" s="5" t="n">
        <v>669</v>
      </c>
      <c r="D400" s="5" t="n">
        <v>771</v>
      </c>
      <c r="E400" s="5" t="n">
        <v>617</v>
      </c>
      <c r="F400" s="5" t="n">
        <v>692</v>
      </c>
      <c r="G400" s="5" t="n">
        <v>460</v>
      </c>
      <c r="H400" s="14">
        <f>IF(AND(ISNUMBER(C400),C400&gt;0,ISNUMBER(G400)),G400/C400-1,"")</f>
        <v/>
      </c>
    </row>
    <row r="401">
      <c r="A401" s="12" t="inlineStr">
        <is>
          <t>315</t>
        </is>
      </c>
      <c r="B401" s="13" t="inlineStr">
        <is>
          <t>General</t>
        </is>
      </c>
      <c r="C401" s="5" t="n">
        <v>414</v>
      </c>
      <c r="D401" s="5" t="n">
        <v>515</v>
      </c>
      <c r="E401" s="5" t="n">
        <v>390</v>
      </c>
      <c r="F401" s="5" t="n">
        <v>378</v>
      </c>
      <c r="G401" s="5" t="n">
        <v>389</v>
      </c>
      <c r="H401" s="14">
        <f>IF(AND(ISNUMBER(C401),C401&gt;0,ISNUMBER(G401)),G401/C401-1,"")</f>
        <v/>
      </c>
    </row>
    <row r="402">
      <c r="A402" s="12" t="inlineStr">
        <is>
          <t>316</t>
        </is>
      </c>
      <c r="B402" s="13" t="inlineStr">
        <is>
          <t>General</t>
        </is>
      </c>
      <c r="C402" s="5" t="n">
        <v>42</v>
      </c>
      <c r="D402" s="5" t="n">
        <v>71</v>
      </c>
      <c r="E402" s="5" t="n">
        <v>37</v>
      </c>
      <c r="F402" s="5" t="n">
        <v>39</v>
      </c>
      <c r="G402" s="5" t="n">
        <v>28</v>
      </c>
      <c r="H402" s="14">
        <f>IF(AND(ISNUMBER(C402),C402&gt;0,ISNUMBER(G402)),G402/C402-1,"")</f>
        <v/>
      </c>
    </row>
    <row r="403">
      <c r="A403" s="12" t="inlineStr">
        <is>
          <t>317</t>
        </is>
      </c>
      <c r="B403" s="13" t="inlineStr">
        <is>
          <t>General</t>
        </is>
      </c>
      <c r="C403" s="5" t="n">
        <v>315</v>
      </c>
      <c r="D403" s="5" t="n">
        <v>522</v>
      </c>
      <c r="E403" s="5" t="n">
        <v>362</v>
      </c>
      <c r="F403" s="5" t="n">
        <v>437</v>
      </c>
      <c r="G403" s="5" t="n">
        <v>379</v>
      </c>
      <c r="H403" s="14">
        <f>IF(AND(ISNUMBER(C403),C403&gt;0,ISNUMBER(G403)),G403/C403-1,"")</f>
        <v/>
      </c>
    </row>
    <row r="404">
      <c r="A404" s="12" t="inlineStr">
        <is>
          <t>318</t>
        </is>
      </c>
      <c r="B404" s="13" t="inlineStr">
        <is>
          <t>General</t>
        </is>
      </c>
      <c r="C404" s="5" t="n">
        <v>138</v>
      </c>
      <c r="D404" s="5" t="n">
        <v>129</v>
      </c>
      <c r="E404" s="5" t="n">
        <v>135</v>
      </c>
      <c r="F404" s="5" t="n">
        <v>190</v>
      </c>
      <c r="G404" s="5" t="n">
        <v>210</v>
      </c>
      <c r="H404" s="14">
        <f>IF(AND(ISNUMBER(C404),C404&gt;0,ISNUMBER(G404)),G404/C404-1,"")</f>
        <v/>
      </c>
    </row>
    <row r="405">
      <c r="A405" s="12" t="inlineStr">
        <is>
          <t>319</t>
        </is>
      </c>
      <c r="B405" s="13" t="inlineStr">
        <is>
          <t>General</t>
        </is>
      </c>
      <c r="C405" s="5" t="n">
        <v>211</v>
      </c>
      <c r="D405" s="5" t="n">
        <v>390</v>
      </c>
      <c r="E405" s="5" t="n">
        <v>271</v>
      </c>
      <c r="F405" s="5" t="n">
        <v>351</v>
      </c>
      <c r="G405" s="5" t="n">
        <v>332</v>
      </c>
      <c r="H405" s="14">
        <f>IF(AND(ISNUMBER(C405),C405&gt;0,ISNUMBER(G405)),G405/C405-1,"")</f>
        <v/>
      </c>
    </row>
    <row r="406">
      <c r="A406" s="12" t="inlineStr">
        <is>
          <t>320</t>
        </is>
      </c>
      <c r="B406" s="13" t="inlineStr">
        <is>
          <t>General</t>
        </is>
      </c>
      <c r="C406" s="5" t="n">
        <v>279</v>
      </c>
      <c r="D406" s="5" t="n">
        <v>589</v>
      </c>
      <c r="E406" s="5" t="n">
        <v>407</v>
      </c>
      <c r="F406" s="5" t="n">
        <v>379</v>
      </c>
      <c r="G406" s="5" t="n">
        <v>451</v>
      </c>
      <c r="H406" s="14">
        <f>IF(AND(ISNUMBER(C406),C406&gt;0,ISNUMBER(G406)),G406/C406-1,"")</f>
        <v/>
      </c>
    </row>
    <row r="407">
      <c r="A407" s="12" t="inlineStr">
        <is>
          <t>321</t>
        </is>
      </c>
      <c r="B407" s="13" t="inlineStr">
        <is>
          <t>General</t>
        </is>
      </c>
      <c r="C407" s="5" t="n">
        <v>207</v>
      </c>
      <c r="D407" s="5" t="n">
        <v>400</v>
      </c>
      <c r="E407" s="5" t="n">
        <v>412</v>
      </c>
      <c r="F407" s="5" t="n">
        <v>363</v>
      </c>
      <c r="G407" s="5" t="n">
        <v>544</v>
      </c>
      <c r="H407" s="14">
        <f>IF(AND(ISNUMBER(C407),C407&gt;0,ISNUMBER(G407)),G407/C407-1,"")</f>
        <v/>
      </c>
    </row>
    <row r="408">
      <c r="A408" s="12" t="inlineStr">
        <is>
          <t>322</t>
        </is>
      </c>
      <c r="B408" s="13" t="inlineStr">
        <is>
          <t>General</t>
        </is>
      </c>
      <c r="C408" s="5" t="n">
        <v>530</v>
      </c>
      <c r="D408" s="5" t="n">
        <v>2865</v>
      </c>
      <c r="E408" s="5" t="n">
        <v>1651</v>
      </c>
      <c r="F408" s="5" t="n">
        <v>418</v>
      </c>
      <c r="G408" s="5" t="n">
        <v>284</v>
      </c>
      <c r="H408" s="14">
        <f>IF(AND(ISNUMBER(C408),C408&gt;0,ISNUMBER(G408)),G408/C408-1,"")</f>
        <v/>
      </c>
    </row>
    <row r="409">
      <c r="A409" s="12" t="inlineStr">
        <is>
          <t>323</t>
        </is>
      </c>
      <c r="B409" s="13" t="inlineStr">
        <is>
          <t>General</t>
        </is>
      </c>
      <c r="C409" s="5" t="n">
        <v>240</v>
      </c>
      <c r="D409" s="5" t="n"/>
      <c r="E409" s="5" t="n"/>
      <c r="F409" s="5" t="n">
        <v>1013</v>
      </c>
      <c r="G409" s="5" t="n">
        <v>748</v>
      </c>
      <c r="H409" s="14">
        <f>IF(AND(ISNUMBER(C409),C409&gt;0,ISNUMBER(G409)),G409/C409-1,"")</f>
        <v/>
      </c>
    </row>
    <row r="410">
      <c r="A410" s="12" t="inlineStr">
        <is>
          <t>324</t>
        </is>
      </c>
      <c r="B410" s="13" t="inlineStr">
        <is>
          <t>General</t>
        </is>
      </c>
      <c r="C410" s="5" t="n">
        <v>475</v>
      </c>
      <c r="D410" s="5" t="n"/>
      <c r="E410" s="5" t="n"/>
      <c r="F410" s="5" t="n">
        <v>614</v>
      </c>
      <c r="G410" s="5" t="n">
        <v>416</v>
      </c>
      <c r="H410" s="14">
        <f>IF(AND(ISNUMBER(C410),C410&gt;0,ISNUMBER(G410)),G410/C410-1,"")</f>
        <v/>
      </c>
    </row>
    <row r="411">
      <c r="A411" s="12" t="inlineStr">
        <is>
          <t>325</t>
        </is>
      </c>
      <c r="B411" s="4" t="inlineStr"/>
      <c r="C411" s="5" t="n">
        <v>623</v>
      </c>
      <c r="D411" s="5" t="n"/>
      <c r="E411" s="5" t="n"/>
      <c r="F411" s="5" t="n"/>
      <c r="G411" s="5" t="n"/>
      <c r="H411" s="14">
        <f>IF(AND(ISNUMBER(C411),C411&gt;0,ISNUMBER(G411)),G411/C411-1,"")</f>
        <v/>
      </c>
    </row>
    <row r="412">
      <c r="A412" s="12" t="inlineStr">
        <is>
          <t>326</t>
        </is>
      </c>
      <c r="B412" s="4" t="inlineStr"/>
      <c r="C412" s="5" t="n">
        <v>161</v>
      </c>
      <c r="D412" s="5" t="n"/>
      <c r="E412" s="5" t="n"/>
      <c r="F412" s="5" t="n"/>
      <c r="G412" s="5" t="n"/>
      <c r="H412" s="14">
        <f>IF(AND(ISNUMBER(C412),C412&gt;0,ISNUMBER(G412)),G412/C412-1,"")</f>
        <v/>
      </c>
    </row>
    <row r="413">
      <c r="A413" s="12" t="inlineStr">
        <is>
          <t>327</t>
        </is>
      </c>
      <c r="B413" s="4" t="inlineStr"/>
      <c r="C413" s="5" t="n">
        <v>409</v>
      </c>
      <c r="D413" s="5" t="n"/>
      <c r="E413" s="5" t="n"/>
      <c r="F413" s="5" t="n"/>
      <c r="G413" s="5" t="n"/>
      <c r="H413" s="14">
        <f>IF(AND(ISNUMBER(C413),C413&gt;0,ISNUMBER(G413)),G413/C413-1,"")</f>
        <v/>
      </c>
    </row>
    <row r="414">
      <c r="A414" s="12" t="inlineStr">
        <is>
          <t>328</t>
        </is>
      </c>
      <c r="B414" s="4" t="inlineStr"/>
      <c r="C414" s="5" t="n">
        <v>118</v>
      </c>
      <c r="D414" s="5" t="n"/>
      <c r="E414" s="5" t="n"/>
      <c r="F414" s="5" t="n"/>
      <c r="G414" s="5" t="n"/>
      <c r="H414" s="14">
        <f>IF(AND(ISNUMBER(C414),C414&gt;0,ISNUMBER(G414)),G414/C414-1,"")</f>
        <v/>
      </c>
    </row>
    <row r="415">
      <c r="A415" s="12" t="inlineStr">
        <is>
          <t>329</t>
        </is>
      </c>
      <c r="B415" s="13" t="inlineStr">
        <is>
          <t>General</t>
        </is>
      </c>
      <c r="C415" s="5" t="n">
        <v>411</v>
      </c>
      <c r="D415" s="5" t="n">
        <v>551</v>
      </c>
      <c r="E415" s="5" t="n">
        <v>371</v>
      </c>
      <c r="F415" s="5" t="n">
        <v>410</v>
      </c>
      <c r="G415" s="5" t="n">
        <v>432</v>
      </c>
      <c r="H415" s="14">
        <f>IF(AND(ISNUMBER(C415),C415&gt;0,ISNUMBER(G415)),G415/C415-1,"")</f>
        <v/>
      </c>
    </row>
    <row r="416">
      <c r="A416" s="12" t="inlineStr">
        <is>
          <t>330</t>
        </is>
      </c>
      <c r="B416" s="4" t="inlineStr"/>
      <c r="C416" s="5" t="n">
        <v>180</v>
      </c>
      <c r="D416" s="5" t="n"/>
      <c r="E416" s="5" t="n"/>
      <c r="F416" s="5" t="n"/>
      <c r="G416" s="5" t="n"/>
      <c r="H416" s="14">
        <f>IF(AND(ISNUMBER(C416),C416&gt;0,ISNUMBER(G416)),G416/C416-1,"")</f>
        <v/>
      </c>
    </row>
    <row r="417">
      <c r="A417" s="12" t="inlineStr">
        <is>
          <t>331</t>
        </is>
      </c>
      <c r="B417" s="13" t="inlineStr">
        <is>
          <t>General</t>
        </is>
      </c>
      <c r="C417" s="5" t="n">
        <v>207</v>
      </c>
      <c r="D417" s="5" t="n">
        <v>583</v>
      </c>
      <c r="E417" s="5" t="n">
        <v>353</v>
      </c>
      <c r="F417" s="5" t="n">
        <v>597</v>
      </c>
      <c r="G417" s="5" t="n">
        <v>689</v>
      </c>
      <c r="H417" s="14">
        <f>IF(AND(ISNUMBER(C417),C417&gt;0,ISNUMBER(G417)),G417/C417-1,"")</f>
        <v/>
      </c>
    </row>
    <row r="418">
      <c r="A418" s="12" t="inlineStr">
        <is>
          <t>332</t>
        </is>
      </c>
      <c r="B418" s="4" t="inlineStr"/>
      <c r="C418" s="5" t="n">
        <v>215</v>
      </c>
      <c r="D418" s="5" t="n"/>
      <c r="E418" s="5" t="n"/>
      <c r="F418" s="5" t="n"/>
      <c r="G418" s="5" t="n"/>
      <c r="H418" s="14">
        <f>IF(AND(ISNUMBER(C418),C418&gt;0,ISNUMBER(G418)),G418/C418-1,"")</f>
        <v/>
      </c>
    </row>
    <row r="419">
      <c r="A419" s="12" t="inlineStr">
        <is>
          <t>333</t>
        </is>
      </c>
      <c r="B419" s="4" t="inlineStr"/>
      <c r="C419" s="5" t="n">
        <v>175</v>
      </c>
      <c r="D419" s="5" t="n"/>
      <c r="E419" s="5" t="n"/>
      <c r="F419" s="5" t="n"/>
      <c r="G419" s="5" t="n"/>
      <c r="H419" s="14">
        <f>IF(AND(ISNUMBER(C419),C419&gt;0,ISNUMBER(G419)),G419/C419-1,"")</f>
        <v/>
      </c>
    </row>
    <row r="420">
      <c r="A420" s="12" t="inlineStr">
        <is>
          <t>334</t>
        </is>
      </c>
      <c r="B420" s="4" t="inlineStr"/>
      <c r="C420" s="5" t="n">
        <v>87</v>
      </c>
      <c r="D420" s="5" t="n"/>
      <c r="E420" s="5" t="n"/>
      <c r="F420" s="5" t="n"/>
      <c r="G420" s="5" t="n"/>
      <c r="H420" s="14">
        <f>IF(AND(ISNUMBER(C420),C420&gt;0,ISNUMBER(G420)),G420/C420-1,"")</f>
        <v/>
      </c>
    </row>
    <row r="421">
      <c r="A421" s="12" t="inlineStr">
        <is>
          <t>335</t>
        </is>
      </c>
      <c r="B421" s="13" t="inlineStr">
        <is>
          <t>General</t>
        </is>
      </c>
      <c r="C421" s="5" t="n">
        <v>226</v>
      </c>
      <c r="D421" s="5" t="n">
        <v>226</v>
      </c>
      <c r="E421" s="5" t="n">
        <v>217</v>
      </c>
      <c r="F421" s="5" t="n">
        <v>186</v>
      </c>
      <c r="G421" s="5" t="n">
        <v>227</v>
      </c>
      <c r="H421" s="14">
        <f>IF(AND(ISNUMBER(C421),C421&gt;0,ISNUMBER(G421)),G421/C421-1,"")</f>
        <v/>
      </c>
    </row>
    <row r="422">
      <c r="A422" s="12" t="inlineStr">
        <is>
          <t>339</t>
        </is>
      </c>
      <c r="B422" s="13" t="inlineStr">
        <is>
          <t>General</t>
        </is>
      </c>
      <c r="C422" s="5" t="n">
        <v>77</v>
      </c>
      <c r="D422" s="5" t="n">
        <v>177</v>
      </c>
      <c r="E422" s="5" t="n">
        <v>124</v>
      </c>
      <c r="F422" s="5" t="n">
        <v>194</v>
      </c>
      <c r="G422" s="5" t="n">
        <v>176</v>
      </c>
      <c r="H422" s="14">
        <f>IF(AND(ISNUMBER(C422),C422&gt;0,ISNUMBER(G422)),G422/C422-1,"")</f>
        <v/>
      </c>
    </row>
    <row r="423">
      <c r="A423" s="12" t="inlineStr">
        <is>
          <t>340</t>
        </is>
      </c>
      <c r="B423" s="13" t="inlineStr">
        <is>
          <t>General</t>
        </is>
      </c>
      <c r="C423" s="5" t="n">
        <v>319</v>
      </c>
      <c r="D423" s="5" t="n">
        <v>327</v>
      </c>
      <c r="E423" s="5" t="n">
        <v>310</v>
      </c>
      <c r="F423" s="5" t="n">
        <v>387</v>
      </c>
      <c r="G423" s="5" t="n">
        <v>397</v>
      </c>
      <c r="H423" s="14">
        <f>IF(AND(ISNUMBER(C423),C423&gt;0,ISNUMBER(G423)),G423/C423-1,"")</f>
        <v/>
      </c>
    </row>
    <row r="424">
      <c r="A424" s="12" t="inlineStr">
        <is>
          <t>341</t>
        </is>
      </c>
      <c r="B424" s="4" t="inlineStr"/>
      <c r="C424" s="5" t="n">
        <v>88</v>
      </c>
      <c r="D424" s="5" t="n"/>
      <c r="E424" s="5" t="n"/>
      <c r="F424" s="5" t="n"/>
      <c r="G424" s="5" t="n"/>
      <c r="H424" s="14">
        <f>IF(AND(ISNUMBER(C424),C424&gt;0,ISNUMBER(G424)),G424/C424-1,"")</f>
        <v/>
      </c>
    </row>
    <row r="425">
      <c r="A425" s="12" t="inlineStr">
        <is>
          <t>343</t>
        </is>
      </c>
      <c r="B425" s="13" t="inlineStr">
        <is>
          <t>General</t>
        </is>
      </c>
      <c r="C425" s="5" t="n">
        <v>63</v>
      </c>
      <c r="D425" s="5" t="n">
        <v>168</v>
      </c>
      <c r="E425" s="5" t="n">
        <v>111</v>
      </c>
      <c r="F425" s="5" t="n">
        <v>153</v>
      </c>
      <c r="G425" s="5" t="n">
        <v>165</v>
      </c>
      <c r="H425" s="14">
        <f>IF(AND(ISNUMBER(C425),C425&gt;0,ISNUMBER(G425)),G425/C425-1,"")</f>
        <v/>
      </c>
    </row>
    <row r="426">
      <c r="A426" s="12" t="inlineStr">
        <is>
          <t>350</t>
        </is>
      </c>
      <c r="B426" s="13" t="inlineStr">
        <is>
          <t>General</t>
        </is>
      </c>
      <c r="C426" s="5" t="n">
        <v>82</v>
      </c>
      <c r="D426" s="5" t="n">
        <v>64</v>
      </c>
      <c r="E426" s="5" t="n">
        <v>85</v>
      </c>
      <c r="F426" s="5" t="n">
        <v>99</v>
      </c>
      <c r="G426" s="5" t="n">
        <v>93</v>
      </c>
      <c r="H426" s="14">
        <f>IF(AND(ISNUMBER(C426),C426&gt;0,ISNUMBER(G426)),G426/C426-1,"")</f>
        <v/>
      </c>
    </row>
    <row r="427">
      <c r="A427" s="12" t="inlineStr">
        <is>
          <t>360</t>
        </is>
      </c>
      <c r="B427" s="13" t="inlineStr">
        <is>
          <t>General</t>
        </is>
      </c>
      <c r="C427" s="5" t="n">
        <v>794</v>
      </c>
      <c r="D427" s="5" t="n">
        <v>1697</v>
      </c>
      <c r="E427" s="5" t="n">
        <v>714</v>
      </c>
      <c r="F427" s="5" t="n">
        <v>1099</v>
      </c>
      <c r="G427" s="5" t="n">
        <v>629</v>
      </c>
      <c r="H427" s="14">
        <f>IF(AND(ISNUMBER(C427),C427&gt;0,ISNUMBER(G427)),G427/C427-1,"")</f>
        <v/>
      </c>
    </row>
    <row r="428">
      <c r="A428" s="12" t="inlineStr">
        <is>
          <t>361</t>
        </is>
      </c>
      <c r="B428" s="13" t="inlineStr">
        <is>
          <t>General</t>
        </is>
      </c>
      <c r="C428" s="5" t="n">
        <v>74</v>
      </c>
      <c r="D428" s="5" t="n">
        <v>106</v>
      </c>
      <c r="E428" s="5" t="n">
        <v>87</v>
      </c>
      <c r="F428" s="5" t="n">
        <v>87</v>
      </c>
      <c r="G428" s="5" t="n">
        <v>79</v>
      </c>
      <c r="H428" s="14">
        <f>IF(AND(ISNUMBER(C428),C428&gt;0,ISNUMBER(G428)),G428/C428-1,"")</f>
        <v/>
      </c>
    </row>
    <row r="429">
      <c r="A429" s="12" t="inlineStr">
        <is>
          <t>362</t>
        </is>
      </c>
      <c r="B429" s="4" t="inlineStr"/>
      <c r="C429" s="5" t="n">
        <v>183</v>
      </c>
      <c r="D429" s="5" t="n"/>
      <c r="E429" s="5" t="n"/>
      <c r="F429" s="5" t="n"/>
      <c r="G429" s="5" t="n"/>
      <c r="H429" s="14">
        <f>IF(AND(ISNUMBER(C429),C429&gt;0,ISNUMBER(G429)),G429/C429-1,"")</f>
        <v/>
      </c>
    </row>
    <row r="430">
      <c r="A430" s="12" t="inlineStr">
        <is>
          <t>370</t>
        </is>
      </c>
      <c r="B430" s="13" t="inlineStr">
        <is>
          <t>General</t>
        </is>
      </c>
      <c r="C430" s="5" t="n">
        <v>60</v>
      </c>
      <c r="D430" s="5" t="n">
        <v>88</v>
      </c>
      <c r="E430" s="5" t="n">
        <v>86</v>
      </c>
      <c r="F430" s="5" t="n">
        <v>80</v>
      </c>
      <c r="G430" s="5" t="n">
        <v>103</v>
      </c>
      <c r="H430" s="14">
        <f>IF(AND(ISNUMBER(C430),C430&gt;0,ISNUMBER(G430)),G430/C430-1,"")</f>
        <v/>
      </c>
    </row>
    <row r="431">
      <c r="A431" s="12" t="inlineStr">
        <is>
          <t>380</t>
        </is>
      </c>
      <c r="B431" s="13" t="inlineStr">
        <is>
          <t>General</t>
        </is>
      </c>
      <c r="C431" s="5" t="n">
        <v>583</v>
      </c>
      <c r="D431" s="5" t="n">
        <v>680</v>
      </c>
      <c r="E431" s="5" t="n">
        <v>484</v>
      </c>
      <c r="F431" s="5" t="n">
        <v>474</v>
      </c>
      <c r="G431" s="5" t="n">
        <v>419</v>
      </c>
      <c r="H431" s="14">
        <f>IF(AND(ISNUMBER(C431),C431&gt;0,ISNUMBER(G431)),G431/C431-1,"")</f>
        <v/>
      </c>
    </row>
    <row r="432">
      <c r="A432" s="12" t="inlineStr">
        <is>
          <t>388</t>
        </is>
      </c>
      <c r="B432" s="13" t="inlineStr">
        <is>
          <t>General</t>
        </is>
      </c>
      <c r="C432" s="5" t="n">
        <v>4</v>
      </c>
      <c r="D432" s="5" t="n">
        <v>38</v>
      </c>
      <c r="E432" s="5" t="n">
        <v>28</v>
      </c>
      <c r="F432" s="5" t="n">
        <v>27</v>
      </c>
      <c r="G432" s="5" t="n">
        <v>31</v>
      </c>
      <c r="H432" s="14">
        <f>IF(AND(ISNUMBER(C432),C432&gt;0,ISNUMBER(G432)),G432/C432-1,"")</f>
        <v/>
      </c>
    </row>
    <row r="433">
      <c r="A433" s="12" t="inlineStr">
        <is>
          <t>390</t>
        </is>
      </c>
      <c r="B433" s="13" t="inlineStr">
        <is>
          <t>General</t>
        </is>
      </c>
      <c r="C433" s="5" t="n">
        <v>143</v>
      </c>
      <c r="D433" s="5" t="n">
        <v>202</v>
      </c>
      <c r="E433" s="5" t="n">
        <v>163</v>
      </c>
      <c r="F433" s="5" t="n">
        <v>214</v>
      </c>
      <c r="G433" s="5" t="n">
        <v>162</v>
      </c>
      <c r="H433" s="14">
        <f>IF(AND(ISNUMBER(C433),C433&gt;0,ISNUMBER(G433)),G433/C433-1,"")</f>
        <v/>
      </c>
    </row>
    <row r="434">
      <c r="A434" s="12" t="inlineStr">
        <is>
          <t>391</t>
        </is>
      </c>
      <c r="B434" s="13" t="inlineStr">
        <is>
          <t>General</t>
        </is>
      </c>
      <c r="C434" s="5" t="n">
        <v>405</v>
      </c>
      <c r="D434" s="5" t="n">
        <v>287</v>
      </c>
      <c r="E434" s="5" t="n">
        <v>261</v>
      </c>
      <c r="F434" s="5" t="n"/>
      <c r="G434" s="5" t="n">
        <v>313</v>
      </c>
      <c r="H434" s="14">
        <f>IF(AND(ISNUMBER(C434),C434&gt;0,ISNUMBER(G434)),G434/C434-1,"")</f>
        <v/>
      </c>
    </row>
    <row r="435">
      <c r="A435" s="12" t="inlineStr">
        <is>
          <t>391N</t>
        </is>
      </c>
      <c r="B435" s="13" t="inlineStr">
        <is>
          <t>General</t>
        </is>
      </c>
      <c r="C435" s="5" t="n"/>
      <c r="D435" s="5" t="n"/>
      <c r="E435" s="5" t="n"/>
      <c r="F435" s="5" t="n">
        <v>182</v>
      </c>
      <c r="G435" s="5" t="n"/>
      <c r="H435" s="14">
        <f>IF(AND(ISNUMBER(C435),C435&gt;0,ISNUMBER(G435)),G435/C435-1,"")</f>
        <v/>
      </c>
    </row>
    <row r="436">
      <c r="A436" s="12" t="inlineStr">
        <is>
          <t>391S</t>
        </is>
      </c>
      <c r="B436" s="13" t="inlineStr">
        <is>
          <t>General</t>
        </is>
      </c>
      <c r="C436" s="5" t="n"/>
      <c r="D436" s="5" t="n"/>
      <c r="E436" s="5" t="n"/>
      <c r="F436" s="5" t="n">
        <v>150</v>
      </c>
      <c r="G436" s="5" t="n"/>
      <c r="H436" s="14">
        <f>IF(AND(ISNUMBER(C436),C436&gt;0,ISNUMBER(G436)),G436/C436-1,"")</f>
        <v/>
      </c>
    </row>
    <row r="437">
      <c r="A437" s="12" t="inlineStr">
        <is>
          <t>392</t>
        </is>
      </c>
      <c r="B437" s="13" t="inlineStr">
        <is>
          <t>General</t>
        </is>
      </c>
      <c r="C437" s="5" t="n">
        <v>125</v>
      </c>
      <c r="D437" s="5" t="n">
        <v>125</v>
      </c>
      <c r="E437" s="5" t="n">
        <v>112</v>
      </c>
      <c r="F437" s="5" t="n">
        <v>111</v>
      </c>
      <c r="G437" s="5" t="n">
        <v>94</v>
      </c>
      <c r="H437" s="14">
        <f>IF(AND(ISNUMBER(C437),C437&gt;0,ISNUMBER(G437)),G437/C437-1,"")</f>
        <v/>
      </c>
    </row>
    <row r="438">
      <c r="A438" s="12" t="inlineStr">
        <is>
          <t>393</t>
        </is>
      </c>
      <c r="B438" s="13" t="inlineStr">
        <is>
          <t>General</t>
        </is>
      </c>
      <c r="C438" s="5" t="n">
        <v>486</v>
      </c>
      <c r="D438" s="5" t="n">
        <v>636</v>
      </c>
      <c r="E438" s="5" t="n">
        <v>542</v>
      </c>
      <c r="F438" s="5" t="n">
        <v>590</v>
      </c>
      <c r="G438" s="5" t="n">
        <v>507</v>
      </c>
      <c r="H438" s="14">
        <f>IF(AND(ISNUMBER(C438),C438&gt;0,ISNUMBER(G438)),G438/C438-1,"")</f>
        <v/>
      </c>
    </row>
    <row r="439">
      <c r="A439" s="12" t="inlineStr">
        <is>
          <t>400</t>
        </is>
      </c>
      <c r="B439" s="13" t="inlineStr">
        <is>
          <t>General</t>
        </is>
      </c>
      <c r="C439" s="5" t="n">
        <v>16</v>
      </c>
      <c r="D439" s="5" t="n">
        <v>20</v>
      </c>
      <c r="E439" s="5" t="n">
        <v>33</v>
      </c>
      <c r="F439" s="5" t="n">
        <v>29</v>
      </c>
      <c r="G439" s="5" t="n">
        <v>27</v>
      </c>
      <c r="H439" s="14">
        <f>IF(AND(ISNUMBER(C439),C439&gt;0,ISNUMBER(G439)),G439/C439-1,"")</f>
        <v/>
      </c>
    </row>
    <row r="440">
      <c r="A440" s="12" t="inlineStr">
        <is>
          <t>401</t>
        </is>
      </c>
      <c r="B440" s="13" t="inlineStr">
        <is>
          <t>General</t>
        </is>
      </c>
      <c r="C440" s="5" t="n">
        <v>42</v>
      </c>
      <c r="D440" s="5" t="n">
        <v>98</v>
      </c>
      <c r="E440" s="5" t="n">
        <v>104</v>
      </c>
      <c r="F440" s="5" t="n">
        <v>125</v>
      </c>
      <c r="G440" s="5" t="n">
        <v>106</v>
      </c>
      <c r="H440" s="14">
        <f>IF(AND(ISNUMBER(C440),C440&gt;0,ISNUMBER(G440)),G440/C440-1,"")</f>
        <v/>
      </c>
    </row>
    <row r="441">
      <c r="A441" s="12" t="inlineStr">
        <is>
          <t>403</t>
        </is>
      </c>
      <c r="B441" s="13" t="inlineStr">
        <is>
          <t>General</t>
        </is>
      </c>
      <c r="C441" s="5" t="n">
        <v>3</v>
      </c>
      <c r="D441" s="5" t="n">
        <v>6</v>
      </c>
      <c r="E441" s="5" t="n">
        <v>3</v>
      </c>
      <c r="F441" s="5" t="n">
        <v>6</v>
      </c>
      <c r="G441" s="5" t="n">
        <v>10</v>
      </c>
      <c r="H441" s="14">
        <f>IF(AND(ISNUMBER(C441),C441&gt;0,ISNUMBER(G441)),G441/C441-1,"")</f>
        <v/>
      </c>
    </row>
    <row r="442">
      <c r="A442" s="12" t="inlineStr">
        <is>
          <t>404</t>
        </is>
      </c>
      <c r="B442" s="13" t="inlineStr">
        <is>
          <t>General</t>
        </is>
      </c>
      <c r="C442" s="5" t="n">
        <v>12</v>
      </c>
      <c r="D442" s="5" t="n">
        <v>15</v>
      </c>
      <c r="E442" s="5" t="n">
        <v>15</v>
      </c>
      <c r="F442" s="5" t="n">
        <v>17</v>
      </c>
      <c r="G442" s="5" t="n">
        <v>3</v>
      </c>
      <c r="H442" s="14">
        <f>IF(AND(ISNUMBER(C442),C442&gt;0,ISNUMBER(G442)),G442/C442-1,"")</f>
        <v/>
      </c>
    </row>
    <row r="443">
      <c r="A443" s="12" t="inlineStr">
        <is>
          <t>405</t>
        </is>
      </c>
      <c r="B443" s="13" t="inlineStr">
        <is>
          <t>General</t>
        </is>
      </c>
      <c r="C443" s="5" t="n">
        <v>8</v>
      </c>
      <c r="D443" s="5" t="n">
        <v>15</v>
      </c>
      <c r="E443" s="5" t="n">
        <v>11</v>
      </c>
      <c r="F443" s="5" t="n">
        <v>14</v>
      </c>
      <c r="G443" s="5" t="n">
        <v>18</v>
      </c>
      <c r="H443" s="14">
        <f>IF(AND(ISNUMBER(C443),C443&gt;0,ISNUMBER(G443)),G443/C443-1,"")</f>
        <v/>
      </c>
    </row>
    <row r="444">
      <c r="A444" s="12" t="inlineStr">
        <is>
          <t>406</t>
        </is>
      </c>
      <c r="B444" s="13" t="inlineStr">
        <is>
          <t>General</t>
        </is>
      </c>
      <c r="C444" s="5" t="n">
        <v>3</v>
      </c>
      <c r="D444" s="5" t="n">
        <v>6</v>
      </c>
      <c r="E444" s="5" t="n">
        <v>6</v>
      </c>
      <c r="F444" s="5" t="n">
        <v>11</v>
      </c>
      <c r="G444" s="5" t="n">
        <v>7</v>
      </c>
      <c r="H444" s="14">
        <f>IF(AND(ISNUMBER(C444),C444&gt;0,ISNUMBER(G444)),G444/C444-1,"")</f>
        <v/>
      </c>
    </row>
    <row r="445">
      <c r="A445" s="12" t="inlineStr">
        <is>
          <t>410</t>
        </is>
      </c>
      <c r="B445" s="15" t="inlineStr">
        <is>
          <t>Draw</t>
        </is>
      </c>
      <c r="C445" s="5" t="n">
        <v>723</v>
      </c>
      <c r="D445" s="5" t="n">
        <v>452</v>
      </c>
      <c r="E445" s="5" t="n">
        <v>333</v>
      </c>
      <c r="F445" s="5" t="n">
        <v>378</v>
      </c>
      <c r="G445" s="5" t="n">
        <v>452</v>
      </c>
      <c r="H445" s="14">
        <f>IF(AND(ISNUMBER(C445),C445&gt;0,ISNUMBER(G445)),G445/C445-1,"")</f>
        <v/>
      </c>
    </row>
    <row r="446">
      <c r="A446" s="12" t="inlineStr">
        <is>
          <t>411E</t>
        </is>
      </c>
      <c r="B446" s="13" t="inlineStr">
        <is>
          <t>General</t>
        </is>
      </c>
      <c r="C446" s="5" t="n">
        <v>348</v>
      </c>
      <c r="D446" s="5" t="n">
        <v>402</v>
      </c>
      <c r="E446" s="5" t="n">
        <v>523</v>
      </c>
      <c r="F446" s="5" t="n">
        <v>534</v>
      </c>
      <c r="G446" s="5" t="n">
        <v>525</v>
      </c>
      <c r="H446" s="14">
        <f>IF(AND(ISNUMBER(C446),C446&gt;0,ISNUMBER(G446)),G446/C446-1,"")</f>
        <v/>
      </c>
    </row>
    <row r="447">
      <c r="A447" s="12" t="inlineStr">
        <is>
          <t>411W</t>
        </is>
      </c>
      <c r="B447" s="13" t="inlineStr">
        <is>
          <t>General</t>
        </is>
      </c>
      <c r="C447" s="5" t="n">
        <v>152</v>
      </c>
      <c r="D447" s="5" t="n">
        <v>293</v>
      </c>
      <c r="E447" s="5" t="n">
        <v>323</v>
      </c>
      <c r="F447" s="5" t="n">
        <v>355</v>
      </c>
      <c r="G447" s="5" t="n">
        <v>320</v>
      </c>
      <c r="H447" s="14">
        <f>IF(AND(ISNUMBER(C447),C447&gt;0,ISNUMBER(G447)),G447/C447-1,"")</f>
        <v/>
      </c>
    </row>
    <row r="448">
      <c r="A448" s="12" t="inlineStr">
        <is>
          <t>412</t>
        </is>
      </c>
      <c r="B448" s="13" t="inlineStr">
        <is>
          <t>General</t>
        </is>
      </c>
      <c r="C448" s="5" t="n">
        <v>160</v>
      </c>
      <c r="D448" s="5" t="n">
        <v>150</v>
      </c>
      <c r="E448" s="5" t="n">
        <v>179</v>
      </c>
      <c r="F448" s="5" t="n">
        <v>186</v>
      </c>
      <c r="G448" s="5" t="n">
        <v>253</v>
      </c>
      <c r="H448" s="14">
        <f>IF(AND(ISNUMBER(C448),C448&gt;0,ISNUMBER(G448)),G448/C448-1,"")</f>
        <v/>
      </c>
    </row>
    <row r="449">
      <c r="A449" s="12" t="inlineStr">
        <is>
          <t>413</t>
        </is>
      </c>
      <c r="B449" s="13" t="inlineStr">
        <is>
          <t>General</t>
        </is>
      </c>
      <c r="C449" s="5" t="n">
        <v>238</v>
      </c>
      <c r="D449" s="5" t="n">
        <v>406</v>
      </c>
      <c r="E449" s="5" t="n">
        <v>348</v>
      </c>
      <c r="F449" s="5" t="n">
        <v>317</v>
      </c>
      <c r="G449" s="5" t="n">
        <v>374</v>
      </c>
      <c r="H449" s="14">
        <f>IF(AND(ISNUMBER(C449),C449&gt;0,ISNUMBER(G449)),G449/C449-1,"")</f>
        <v/>
      </c>
    </row>
    <row r="450">
      <c r="A450" s="12" t="inlineStr">
        <is>
          <t>415</t>
        </is>
      </c>
      <c r="B450" s="13" t="inlineStr">
        <is>
          <t>General</t>
        </is>
      </c>
      <c r="C450" s="5" t="n">
        <v>11</v>
      </c>
      <c r="D450" s="5" t="n">
        <v>16</v>
      </c>
      <c r="E450" s="5" t="n">
        <v>12</v>
      </c>
      <c r="F450" s="5" t="n">
        <v>12</v>
      </c>
      <c r="G450" s="5" t="n">
        <v>18</v>
      </c>
      <c r="H450" s="14">
        <f>IF(AND(ISNUMBER(C450),C450&gt;0,ISNUMBER(G450)),G450/C450-1,"")</f>
        <v/>
      </c>
    </row>
    <row r="451">
      <c r="A451" s="12" t="inlineStr">
        <is>
          <t>416</t>
        </is>
      </c>
      <c r="B451" s="13" t="inlineStr">
        <is>
          <t>General</t>
        </is>
      </c>
      <c r="C451" s="5" t="n">
        <v>480</v>
      </c>
      <c r="D451" s="5" t="n">
        <v>695</v>
      </c>
      <c r="E451" s="5" t="n">
        <v>589</v>
      </c>
      <c r="F451" s="5" t="n">
        <v>620</v>
      </c>
      <c r="G451" s="5" t="n">
        <v>563</v>
      </c>
      <c r="H451" s="14">
        <f>IF(AND(ISNUMBER(C451),C451&gt;0,ISNUMBER(G451)),G451/C451-1,"")</f>
        <v/>
      </c>
    </row>
    <row r="452">
      <c r="A452" s="12" t="inlineStr">
        <is>
          <t>417</t>
        </is>
      </c>
      <c r="B452" s="15" t="inlineStr">
        <is>
          <t>Draw</t>
        </is>
      </c>
      <c r="C452" s="5" t="n">
        <v>208</v>
      </c>
      <c r="D452" s="5" t="n">
        <v>278</v>
      </c>
      <c r="E452" s="5" t="n">
        <v>245</v>
      </c>
      <c r="F452" s="5" t="n">
        <v>292</v>
      </c>
      <c r="G452" s="5" t="n">
        <v>302</v>
      </c>
      <c r="H452" s="14">
        <f>IF(AND(ISNUMBER(C452),C452&gt;0,ISNUMBER(G452)),G452/C452-1,"")</f>
        <v/>
      </c>
    </row>
    <row r="453">
      <c r="A453" s="12" t="inlineStr">
        <is>
          <t>418</t>
        </is>
      </c>
      <c r="B453" s="13" t="inlineStr">
        <is>
          <t>General</t>
        </is>
      </c>
      <c r="C453" s="5" t="n">
        <v>76</v>
      </c>
      <c r="D453" s="5" t="n">
        <v>103</v>
      </c>
      <c r="E453" s="5" t="n">
        <v>108</v>
      </c>
      <c r="F453" s="5" t="n">
        <v>114</v>
      </c>
      <c r="G453" s="5" t="n">
        <v>186</v>
      </c>
      <c r="H453" s="14">
        <f>IF(AND(ISNUMBER(C453),C453&gt;0,ISNUMBER(G453)),G453/C453-1,"")</f>
        <v/>
      </c>
    </row>
    <row r="454">
      <c r="A454" s="12" t="inlineStr">
        <is>
          <t>419</t>
        </is>
      </c>
      <c r="B454" s="13" t="inlineStr">
        <is>
          <t>General</t>
        </is>
      </c>
      <c r="C454" s="5" t="n">
        <v>22</v>
      </c>
      <c r="D454" s="5" t="n">
        <v>61</v>
      </c>
      <c r="E454" s="5" t="n">
        <v>59</v>
      </c>
      <c r="F454" s="5" t="n">
        <v>42</v>
      </c>
      <c r="G454" s="5" t="n">
        <v>58</v>
      </c>
      <c r="H454" s="14">
        <f>IF(AND(ISNUMBER(C454),C454&gt;0,ISNUMBER(G454)),G454/C454-1,"")</f>
        <v/>
      </c>
    </row>
    <row r="455">
      <c r="A455" s="12" t="inlineStr">
        <is>
          <t>420</t>
        </is>
      </c>
      <c r="B455" s="13" t="inlineStr">
        <is>
          <t>General</t>
        </is>
      </c>
      <c r="C455" s="5" t="n">
        <v>83</v>
      </c>
      <c r="D455" s="5" t="n">
        <v>58</v>
      </c>
      <c r="E455" s="5" t="n">
        <v>37</v>
      </c>
      <c r="F455" s="5" t="n">
        <v>80</v>
      </c>
      <c r="G455" s="5" t="n">
        <v>80</v>
      </c>
      <c r="H455" s="14">
        <f>IF(AND(ISNUMBER(C455),C455&gt;0,ISNUMBER(G455)),G455/C455-1,"")</f>
        <v/>
      </c>
    </row>
    <row r="456">
      <c r="A456" s="12" t="inlineStr">
        <is>
          <t>421</t>
        </is>
      </c>
      <c r="B456" s="13" t="inlineStr">
        <is>
          <t>General</t>
        </is>
      </c>
      <c r="C456" s="5" t="n">
        <v>136</v>
      </c>
      <c r="D456" s="5" t="n">
        <v>103</v>
      </c>
      <c r="E456" s="5" t="n">
        <v>154</v>
      </c>
      <c r="F456" s="5" t="n">
        <v>167</v>
      </c>
      <c r="G456" s="5" t="n">
        <v>184</v>
      </c>
      <c r="H456" s="14">
        <f>IF(AND(ISNUMBER(C456),C456&gt;0,ISNUMBER(G456)),G456/C456-1,"")</f>
        <v/>
      </c>
    </row>
    <row r="457">
      <c r="A457" s="12" t="inlineStr">
        <is>
          <t>422</t>
        </is>
      </c>
      <c r="B457" s="13" t="inlineStr">
        <is>
          <t>General</t>
        </is>
      </c>
      <c r="C457" s="5" t="n">
        <v>140</v>
      </c>
      <c r="D457" s="5" t="n">
        <v>133</v>
      </c>
      <c r="E457" s="5" t="n">
        <v>109</v>
      </c>
      <c r="F457" s="5" t="n">
        <v>151</v>
      </c>
      <c r="G457" s="5" t="n">
        <v>136</v>
      </c>
      <c r="H457" s="14">
        <f>IF(AND(ISNUMBER(C457),C457&gt;0,ISNUMBER(G457)),G457/C457-1,"")</f>
        <v/>
      </c>
    </row>
    <row r="458">
      <c r="A458" s="12" t="inlineStr">
        <is>
          <t>423</t>
        </is>
      </c>
      <c r="B458" s="4" t="inlineStr"/>
      <c r="C458" s="5" t="n">
        <v>53</v>
      </c>
      <c r="D458" s="5" t="n"/>
      <c r="E458" s="5" t="n"/>
      <c r="F458" s="5" t="n"/>
      <c r="G458" s="5" t="n"/>
      <c r="H458" s="14">
        <f>IF(AND(ISNUMBER(C458),C458&gt;0,ISNUMBER(G458)),G458/C458-1,"")</f>
        <v/>
      </c>
    </row>
    <row r="459">
      <c r="A459" s="12" t="inlineStr">
        <is>
          <t>424</t>
        </is>
      </c>
      <c r="B459" s="13" t="inlineStr">
        <is>
          <t>General</t>
        </is>
      </c>
      <c r="C459" s="5" t="n">
        <v>14</v>
      </c>
      <c r="D459" s="5" t="n">
        <v>28</v>
      </c>
      <c r="E459" s="5" t="n">
        <v>11</v>
      </c>
      <c r="F459" s="5" t="n">
        <v>29</v>
      </c>
      <c r="G459" s="5" t="n">
        <v>4</v>
      </c>
      <c r="H459" s="14">
        <f>IF(AND(ISNUMBER(C459),C459&gt;0,ISNUMBER(G459)),G459/C459-1,"")</f>
        <v/>
      </c>
    </row>
    <row r="460">
      <c r="A460" s="12" t="inlineStr">
        <is>
          <t>425</t>
        </is>
      </c>
      <c r="B460" s="13" t="inlineStr">
        <is>
          <t>General</t>
        </is>
      </c>
      <c r="C460" s="5" t="n">
        <v>43</v>
      </c>
      <c r="D460" s="5" t="n">
        <v>51</v>
      </c>
      <c r="E460" s="5" t="n">
        <v>66</v>
      </c>
      <c r="F460" s="5" t="n">
        <v>76</v>
      </c>
      <c r="G460" s="5" t="n">
        <v>98</v>
      </c>
      <c r="H460" s="14">
        <f>IF(AND(ISNUMBER(C460),C460&gt;0,ISNUMBER(G460)),G460/C460-1,"")</f>
        <v/>
      </c>
    </row>
    <row r="461">
      <c r="A461" s="12" t="inlineStr">
        <is>
          <t>426</t>
        </is>
      </c>
      <c r="B461" s="15" t="inlineStr">
        <is>
          <t>Draw</t>
        </is>
      </c>
      <c r="C461" s="5" t="n">
        <v>67</v>
      </c>
      <c r="D461" s="5" t="n">
        <v>91</v>
      </c>
      <c r="E461" s="5" t="n">
        <v>106</v>
      </c>
      <c r="F461" s="5" t="n">
        <v>89</v>
      </c>
      <c r="G461" s="5" t="n">
        <v>122</v>
      </c>
      <c r="H461" s="14">
        <f>IF(AND(ISNUMBER(C461),C461&gt;0,ISNUMBER(G461)),G461/C461-1,"")</f>
        <v/>
      </c>
    </row>
    <row r="462">
      <c r="A462" s="12" t="inlineStr">
        <is>
          <t>432</t>
        </is>
      </c>
      <c r="B462" s="13" t="inlineStr">
        <is>
          <t>General</t>
        </is>
      </c>
      <c r="C462" s="5" t="n">
        <v>115</v>
      </c>
      <c r="D462" s="5" t="n"/>
      <c r="E462" s="5" t="n"/>
      <c r="F462" s="5" t="n"/>
      <c r="G462" s="5" t="n"/>
      <c r="H462" s="14">
        <f>IF(AND(ISNUMBER(C462),C462&gt;0,ISNUMBER(G462)),G462/C462-1,"")</f>
        <v/>
      </c>
    </row>
    <row r="463">
      <c r="A463" s="12" t="inlineStr">
        <is>
          <t>441</t>
        </is>
      </c>
      <c r="B463" s="13" t="inlineStr">
        <is>
          <t>General</t>
        </is>
      </c>
      <c r="C463" s="5" t="n">
        <v>73</v>
      </c>
      <c r="D463" s="5" t="n">
        <v>64</v>
      </c>
      <c r="E463" s="5" t="n">
        <v>75</v>
      </c>
      <c r="F463" s="5" t="n">
        <v>98</v>
      </c>
      <c r="G463" s="5" t="n">
        <v>123</v>
      </c>
      <c r="H463" s="14">
        <f>IF(AND(ISNUMBER(C463),C463&gt;0,ISNUMBER(G463)),G463/C463-1,"")</f>
        <v/>
      </c>
    </row>
    <row r="464">
      <c r="A464" s="12" t="inlineStr">
        <is>
          <t>442</t>
        </is>
      </c>
      <c r="B464" s="13" t="inlineStr">
        <is>
          <t>General</t>
        </is>
      </c>
      <c r="C464" s="5" t="n">
        <v>92</v>
      </c>
      <c r="D464" s="5" t="n">
        <v>98</v>
      </c>
      <c r="E464" s="5" t="n">
        <v>52</v>
      </c>
      <c r="F464" s="5" t="n">
        <v>58</v>
      </c>
      <c r="G464" s="5" t="n">
        <v>44</v>
      </c>
      <c r="H464" s="14">
        <f>IF(AND(ISNUMBER(C464),C464&gt;0,ISNUMBER(G464)),G464/C464-1,"")</f>
        <v/>
      </c>
    </row>
    <row r="465">
      <c r="A465" s="12" t="inlineStr">
        <is>
          <t>444</t>
        </is>
      </c>
      <c r="B465" s="13" t="inlineStr">
        <is>
          <t>General</t>
        </is>
      </c>
      <c r="C465" s="5" t="n">
        <v>15</v>
      </c>
      <c r="D465" s="5" t="n">
        <v>16</v>
      </c>
      <c r="E465" s="5" t="n">
        <v>18</v>
      </c>
      <c r="F465" s="5" t="n">
        <v>18</v>
      </c>
      <c r="G465" s="5" t="n">
        <v>22</v>
      </c>
      <c r="H465" s="14">
        <f>IF(AND(ISNUMBER(C465),C465&gt;0,ISNUMBER(G465)),G465/C465-1,"")</f>
        <v/>
      </c>
    </row>
    <row r="466">
      <c r="A466" s="12" t="inlineStr">
        <is>
          <t>445</t>
        </is>
      </c>
      <c r="B466" s="13" t="inlineStr">
        <is>
          <t>General</t>
        </is>
      </c>
      <c r="C466" s="5" t="n">
        <v>330</v>
      </c>
      <c r="D466" s="5" t="n">
        <v>266</v>
      </c>
      <c r="E466" s="5" t="n">
        <v>382</v>
      </c>
      <c r="F466" s="5" t="n">
        <v>350</v>
      </c>
      <c r="G466" s="5" t="n">
        <v>521</v>
      </c>
      <c r="H466" s="14">
        <f>IF(AND(ISNUMBER(C466),C466&gt;0,ISNUMBER(G466)),G466/C466-1,"")</f>
        <v/>
      </c>
    </row>
    <row r="467">
      <c r="A467" s="12" t="inlineStr">
        <is>
          <t>446</t>
        </is>
      </c>
      <c r="B467" s="13" t="inlineStr">
        <is>
          <t>General</t>
        </is>
      </c>
      <c r="C467" s="5" t="n">
        <v>391</v>
      </c>
      <c r="D467" s="5" t="n">
        <v>361</v>
      </c>
      <c r="E467" s="5" t="n">
        <v>432</v>
      </c>
      <c r="F467" s="5" t="n">
        <v>399</v>
      </c>
      <c r="G467" s="5" t="n">
        <v>294</v>
      </c>
      <c r="H467" s="14">
        <f>IF(AND(ISNUMBER(C467),C467&gt;0,ISNUMBER(G467)),G467/C467-1,"")</f>
        <v/>
      </c>
    </row>
    <row r="468">
      <c r="A468" s="12" t="inlineStr">
        <is>
          <t>447</t>
        </is>
      </c>
      <c r="B468" s="15" t="inlineStr">
        <is>
          <t>Draw</t>
        </is>
      </c>
      <c r="C468" s="5" t="n">
        <v>246</v>
      </c>
      <c r="D468" s="5" t="n">
        <v>230</v>
      </c>
      <c r="E468" s="5" t="n">
        <v>286</v>
      </c>
      <c r="F468" s="5" t="n">
        <v>281</v>
      </c>
      <c r="G468" s="5" t="n">
        <v>277</v>
      </c>
      <c r="H468" s="14">
        <f>IF(AND(ISNUMBER(C468),C468&gt;0,ISNUMBER(G468)),G468/C468-1,"")</f>
        <v/>
      </c>
    </row>
    <row r="469">
      <c r="A469" s="12" t="inlineStr">
        <is>
          <t>448</t>
        </is>
      </c>
      <c r="B469" s="13" t="inlineStr">
        <is>
          <t>General</t>
        </is>
      </c>
      <c r="C469" s="5" t="n">
        <v>116</v>
      </c>
      <c r="D469" s="5" t="n">
        <v>191</v>
      </c>
      <c r="E469" s="5" t="n">
        <v>143</v>
      </c>
      <c r="F469" s="5" t="n">
        <v>122</v>
      </c>
      <c r="G469" s="5" t="n">
        <v>124</v>
      </c>
      <c r="H469" s="14">
        <f>IF(AND(ISNUMBER(C469),C469&gt;0,ISNUMBER(G469)),G469/C469-1,"")</f>
        <v/>
      </c>
    </row>
    <row r="470">
      <c r="A470" s="12" t="inlineStr">
        <is>
          <t>450</t>
        </is>
      </c>
      <c r="B470" s="13" t="inlineStr">
        <is>
          <t>General</t>
        </is>
      </c>
      <c r="C470" s="5" t="n">
        <v>37</v>
      </c>
      <c r="D470" s="5" t="n">
        <v>89</v>
      </c>
      <c r="E470" s="5" t="n">
        <v>61</v>
      </c>
      <c r="F470" s="5" t="n">
        <v>44</v>
      </c>
      <c r="G470" s="5" t="n">
        <v>53</v>
      </c>
      <c r="H470" s="14">
        <f>IF(AND(ISNUMBER(C470),C470&gt;0,ISNUMBER(G470)),G470/C470-1,"")</f>
        <v/>
      </c>
    </row>
    <row r="471">
      <c r="A471" s="12" t="inlineStr">
        <is>
          <t>451</t>
        </is>
      </c>
      <c r="B471" s="13" t="inlineStr">
        <is>
          <t>General</t>
        </is>
      </c>
      <c r="C471" s="5" t="n">
        <v>44</v>
      </c>
      <c r="D471" s="5" t="n">
        <v>50</v>
      </c>
      <c r="E471" s="5" t="n">
        <v>30</v>
      </c>
      <c r="F471" s="5" t="n">
        <v>49</v>
      </c>
      <c r="G471" s="5" t="n">
        <v>39</v>
      </c>
      <c r="H471" s="14">
        <f>IF(AND(ISNUMBER(C471),C471&gt;0,ISNUMBER(G471)),G471/C471-1,"")</f>
        <v/>
      </c>
    </row>
    <row r="472">
      <c r="A472" s="12" t="inlineStr">
        <is>
          <t>452</t>
        </is>
      </c>
      <c r="B472" s="13" t="inlineStr">
        <is>
          <t>General</t>
        </is>
      </c>
      <c r="C472" s="5" t="n">
        <v>335</v>
      </c>
      <c r="D472" s="5" t="n">
        <v>360</v>
      </c>
      <c r="E472" s="5" t="n">
        <v>284</v>
      </c>
      <c r="F472" s="5" t="n">
        <v>334</v>
      </c>
      <c r="G472" s="5" t="n">
        <v>299</v>
      </c>
      <c r="H472" s="14">
        <f>IF(AND(ISNUMBER(C472),C472&gt;0,ISNUMBER(G472)),G472/C472-1,"")</f>
        <v/>
      </c>
    </row>
    <row r="473">
      <c r="A473" s="12" t="inlineStr">
        <is>
          <t>454</t>
        </is>
      </c>
      <c r="B473" s="4" t="inlineStr"/>
      <c r="C473" s="5" t="n">
        <v>77</v>
      </c>
      <c r="D473" s="5" t="n"/>
      <c r="E473" s="5" t="n"/>
      <c r="F473" s="5" t="n"/>
      <c r="G473" s="5" t="n"/>
      <c r="H473" s="14">
        <f>IF(AND(ISNUMBER(C473),C473&gt;0,ISNUMBER(G473)),G473/C473-1,"")</f>
        <v/>
      </c>
    </row>
    <row r="474">
      <c r="A474" s="12" t="inlineStr">
        <is>
          <t>455</t>
        </is>
      </c>
      <c r="B474" s="15" t="inlineStr">
        <is>
          <t>Draw</t>
        </is>
      </c>
      <c r="C474" s="5" t="n">
        <v>104</v>
      </c>
      <c r="D474" s="5" t="n">
        <v>154</v>
      </c>
      <c r="E474" s="5" t="n">
        <v>101</v>
      </c>
      <c r="F474" s="5" t="n">
        <v>148</v>
      </c>
      <c r="G474" s="5" t="n">
        <v>124</v>
      </c>
      <c r="H474" s="14">
        <f>IF(AND(ISNUMBER(C474),C474&gt;0,ISNUMBER(G474)),G474/C474-1,"")</f>
        <v/>
      </c>
    </row>
    <row r="475">
      <c r="A475" s="12" t="inlineStr">
        <is>
          <t>471</t>
        </is>
      </c>
      <c r="B475" s="13" t="inlineStr">
        <is>
          <t>General</t>
        </is>
      </c>
      <c r="C475" s="5" t="n">
        <v>23</v>
      </c>
      <c r="D475" s="5" t="n">
        <v>36</v>
      </c>
      <c r="E475" s="5" t="n">
        <v>26</v>
      </c>
      <c r="F475" s="5" t="n">
        <v>9</v>
      </c>
      <c r="G475" s="5" t="n">
        <v>15</v>
      </c>
      <c r="H475" s="14">
        <f>IF(AND(ISNUMBER(C475),C475&gt;0,ISNUMBER(G475)),G475/C475-1,"")</f>
        <v/>
      </c>
    </row>
    <row r="476">
      <c r="A476" s="12" t="inlineStr">
        <is>
          <t>500</t>
        </is>
      </c>
      <c r="B476" s="4" t="inlineStr"/>
      <c r="C476" s="5" t="n">
        <v>66</v>
      </c>
      <c r="D476" s="5" t="n"/>
      <c r="E476" s="5" t="n"/>
      <c r="F476" s="5" t="n"/>
      <c r="G476" s="5" t="n"/>
      <c r="H476" s="14">
        <f>IF(AND(ISNUMBER(C476),C476&gt;0,ISNUMBER(G476)),G476/C476-1,"")</f>
        <v/>
      </c>
    </row>
    <row r="477">
      <c r="A477" s="12" t="inlineStr">
        <is>
          <t>502</t>
        </is>
      </c>
      <c r="B477" s="15" t="inlineStr">
        <is>
          <t>Draw</t>
        </is>
      </c>
      <c r="C477" s="5" t="n">
        <v>46</v>
      </c>
      <c r="D477" s="5" t="n">
        <v>46</v>
      </c>
      <c r="E477" s="5" t="n">
        <v>115</v>
      </c>
      <c r="F477" s="5" t="n">
        <v>58</v>
      </c>
      <c r="G477" s="5" t="n">
        <v>70</v>
      </c>
      <c r="H477" s="14">
        <f>IF(AND(ISNUMBER(C477),C477&gt;0,ISNUMBER(G477)),G477/C477-1,"")</f>
        <v/>
      </c>
    </row>
    <row r="478">
      <c r="A478" s="12" t="inlineStr">
        <is>
          <t>511</t>
        </is>
      </c>
      <c r="B478" s="4" t="inlineStr"/>
      <c r="C478" s="5" t="n">
        <v>83</v>
      </c>
      <c r="D478" s="5" t="n"/>
      <c r="E478" s="5" t="n"/>
      <c r="F478" s="5" t="n"/>
      <c r="G478" s="5" t="n"/>
      <c r="H478" s="14">
        <f>IF(AND(ISNUMBER(C478),C478&gt;0,ISNUMBER(G478)),G478/C478-1,"")</f>
        <v/>
      </c>
    </row>
    <row r="479">
      <c r="A479" s="12" t="inlineStr">
        <is>
          <t>515</t>
        </is>
      </c>
      <c r="B479" s="13" t="inlineStr">
        <is>
          <t>General</t>
        </is>
      </c>
      <c r="C479" s="5" t="n"/>
      <c r="D479" s="5" t="n">
        <v>264</v>
      </c>
      <c r="E479" s="5" t="n">
        <v>268</v>
      </c>
      <c r="F479" s="5" t="n">
        <v>234</v>
      </c>
      <c r="G479" s="5" t="n">
        <v>340</v>
      </c>
      <c r="H479" s="14">
        <f>IF(AND(ISNUMBER(C479),C479&gt;0,ISNUMBER(G479)),G479/C479-1,"")</f>
        <v/>
      </c>
    </row>
    <row r="480">
      <c r="A480" s="12" t="inlineStr">
        <is>
          <t>525</t>
        </is>
      </c>
      <c r="B480" s="13" t="inlineStr">
        <is>
          <t>General</t>
        </is>
      </c>
      <c r="C480" s="5" t="n"/>
      <c r="D480" s="5" t="n">
        <v>489</v>
      </c>
      <c r="E480" s="5" t="n">
        <v>533</v>
      </c>
      <c r="F480" s="5" t="n">
        <v>512</v>
      </c>
      <c r="G480" s="5" t="n">
        <v>421</v>
      </c>
      <c r="H480" s="14">
        <f>IF(AND(ISNUMBER(C480),C480&gt;0,ISNUMBER(G480)),G480/C480-1,"")</f>
        <v/>
      </c>
    </row>
    <row r="481">
      <c r="A481" s="12" t="inlineStr">
        <is>
          <t>530</t>
        </is>
      </c>
      <c r="B481" s="4" t="inlineStr"/>
      <c r="C481" s="5" t="n">
        <v>230</v>
      </c>
      <c r="D481" s="5" t="n"/>
      <c r="E481" s="5" t="n"/>
      <c r="F481" s="5" t="n"/>
      <c r="G481" s="5" t="n"/>
      <c r="H481" s="14">
        <f>IF(AND(ISNUMBER(C481),C481&gt;0,ISNUMBER(G481)),G481/C481-1,"")</f>
        <v/>
      </c>
    </row>
    <row r="482">
      <c r="A482" s="12" t="inlineStr">
        <is>
          <t>535E</t>
        </is>
      </c>
      <c r="B482" s="13" t="inlineStr">
        <is>
          <t>General</t>
        </is>
      </c>
      <c r="C482" s="5" t="n"/>
      <c r="D482" s="5" t="n">
        <v>181</v>
      </c>
      <c r="E482" s="5" t="n">
        <v>397</v>
      </c>
      <c r="F482" s="5" t="n">
        <v>323</v>
      </c>
      <c r="G482" s="5" t="n">
        <v>286</v>
      </c>
      <c r="H482" s="14">
        <f>IF(AND(ISNUMBER(C482),C482&gt;0,ISNUMBER(G482)),G482/C482-1,"")</f>
        <v/>
      </c>
    </row>
    <row r="483">
      <c r="A483" s="12" t="inlineStr">
        <is>
          <t>535W</t>
        </is>
      </c>
      <c r="B483" s="13" t="inlineStr">
        <is>
          <t>General</t>
        </is>
      </c>
      <c r="C483" s="5" t="n"/>
      <c r="D483" s="5" t="n">
        <v>98</v>
      </c>
      <c r="E483" s="5" t="n">
        <v>230</v>
      </c>
      <c r="F483" s="5" t="n">
        <v>213</v>
      </c>
      <c r="G483" s="5" t="n">
        <v>196</v>
      </c>
      <c r="H483" s="14">
        <f>IF(AND(ISNUMBER(C483),C483&gt;0,ISNUMBER(G483)),G483/C483-1,"")</f>
        <v/>
      </c>
    </row>
    <row r="484">
      <c r="A484" s="12" t="inlineStr">
        <is>
          <t>540</t>
        </is>
      </c>
      <c r="B484" s="13" t="inlineStr">
        <is>
          <t>General</t>
        </is>
      </c>
      <c r="C484" s="5" t="n">
        <v>268</v>
      </c>
      <c r="D484" s="5" t="n">
        <v>292</v>
      </c>
      <c r="E484" s="5" t="n">
        <v>299</v>
      </c>
      <c r="F484" s="5" t="n">
        <v>315</v>
      </c>
      <c r="G484" s="5" t="n">
        <v>205</v>
      </c>
      <c r="H484" s="14">
        <f>IF(AND(ISNUMBER(C484),C484&gt;0,ISNUMBER(G484)),G484/C484-1,"")</f>
        <v/>
      </c>
    </row>
    <row r="485">
      <c r="A485" s="12" t="inlineStr">
        <is>
          <t>555</t>
        </is>
      </c>
      <c r="B485" s="15" t="inlineStr">
        <is>
          <t>Draw</t>
        </is>
      </c>
      <c r="C485" s="5" t="n"/>
      <c r="D485" s="5" t="n">
        <v>28</v>
      </c>
      <c r="E485" s="5" t="n">
        <v>30</v>
      </c>
      <c r="F485" s="5" t="n">
        <v>44</v>
      </c>
      <c r="G485" s="5" t="n">
        <v>59</v>
      </c>
      <c r="H485" s="14">
        <f>IF(AND(ISNUMBER(C485),C485&gt;0,ISNUMBER(G485)),G485/C485-1,"")</f>
        <v/>
      </c>
    </row>
    <row r="486">
      <c r="A486" s="12" t="inlineStr">
        <is>
          <t>560N</t>
        </is>
      </c>
      <c r="B486" s="4" t="inlineStr"/>
      <c r="C486" s="5" t="n">
        <v>166</v>
      </c>
      <c r="D486" s="5" t="n"/>
      <c r="E486" s="5" t="n"/>
      <c r="F486" s="5" t="n"/>
      <c r="G486" s="5" t="n"/>
      <c r="H486" s="14">
        <f>IF(AND(ISNUMBER(C486),C486&gt;0,ISNUMBER(G486)),G486/C486-1,"")</f>
        <v/>
      </c>
    </row>
    <row r="487">
      <c r="A487" s="12" t="inlineStr">
        <is>
          <t>560S</t>
        </is>
      </c>
      <c r="B487" s="4" t="inlineStr"/>
      <c r="C487" s="5" t="n">
        <v>43</v>
      </c>
      <c r="D487" s="5" t="n"/>
      <c r="E487" s="5" t="n"/>
      <c r="F487" s="5" t="n"/>
      <c r="G487" s="5" t="n"/>
      <c r="H487" s="14">
        <f>IF(AND(ISNUMBER(C487),C487&gt;0,ISNUMBER(G487)),G487/C487-1,"")</f>
        <v/>
      </c>
    </row>
    <row r="488">
      <c r="A488" s="12" t="inlineStr">
        <is>
          <t>565</t>
        </is>
      </c>
      <c r="B488" s="13" t="inlineStr">
        <is>
          <t>General</t>
        </is>
      </c>
      <c r="C488" s="5" t="n"/>
      <c r="D488" s="5" t="n">
        <v>35</v>
      </c>
      <c r="E488" s="5" t="n">
        <v>39</v>
      </c>
      <c r="F488" s="5" t="n">
        <v>13</v>
      </c>
      <c r="G488" s="5" t="n">
        <v>18</v>
      </c>
      <c r="H488" s="14">
        <f>IF(AND(ISNUMBER(C488),C488&gt;0,ISNUMBER(G488)),G488/C488-1,"")</f>
        <v/>
      </c>
    </row>
    <row r="489">
      <c r="A489" s="12" t="inlineStr">
        <is>
          <t>570</t>
        </is>
      </c>
      <c r="B489" s="4" t="inlineStr"/>
      <c r="C489" s="5" t="n">
        <v>174</v>
      </c>
      <c r="D489" s="5" t="n"/>
      <c r="E489" s="5" t="n"/>
      <c r="F489" s="5" t="n"/>
      <c r="G489" s="5" t="n"/>
      <c r="H489" s="14">
        <f>IF(AND(ISNUMBER(C489),C489&gt;0,ISNUMBER(G489)),G489/C489-1,"")</f>
        <v/>
      </c>
    </row>
    <row r="490">
      <c r="A490" s="12" t="inlineStr">
        <is>
          <t>575</t>
        </is>
      </c>
      <c r="B490" s="13" t="inlineStr">
        <is>
          <t>General</t>
        </is>
      </c>
      <c r="C490" s="5" t="n">
        <v>135</v>
      </c>
      <c r="D490" s="5" t="n">
        <v>199</v>
      </c>
      <c r="E490" s="5" t="n">
        <v>215</v>
      </c>
      <c r="F490" s="5" t="n">
        <v>250</v>
      </c>
      <c r="G490" s="5" t="n">
        <v>245</v>
      </c>
      <c r="H490" s="14">
        <f>IF(AND(ISNUMBER(C490),C490&gt;0,ISNUMBER(G490)),G490/C490-1,"")</f>
        <v/>
      </c>
    </row>
    <row r="491">
      <c r="A491" s="12" t="inlineStr">
        <is>
          <t>580N</t>
        </is>
      </c>
      <c r="B491" s="13" t="inlineStr">
        <is>
          <t>General</t>
        </is>
      </c>
      <c r="C491" s="5" t="n">
        <v>459</v>
      </c>
      <c r="D491" s="5" t="n">
        <v>508</v>
      </c>
      <c r="E491" s="5" t="n">
        <v>544</v>
      </c>
      <c r="F491" s="5" t="n">
        <v>482</v>
      </c>
      <c r="G491" s="5" t="n">
        <v>604</v>
      </c>
      <c r="H491" s="14">
        <f>IF(AND(ISNUMBER(C491),C491&gt;0,ISNUMBER(G491)),G491/C491-1,"")</f>
        <v/>
      </c>
    </row>
    <row r="492">
      <c r="A492" s="12" t="inlineStr">
        <is>
          <t>580S</t>
        </is>
      </c>
      <c r="B492" s="13" t="inlineStr">
        <is>
          <t>General</t>
        </is>
      </c>
      <c r="C492" s="5" t="n">
        <v>145</v>
      </c>
      <c r="D492" s="5" t="n">
        <v>169</v>
      </c>
      <c r="E492" s="5" t="n">
        <v>266</v>
      </c>
      <c r="F492" s="5" t="n">
        <v>198</v>
      </c>
      <c r="G492" s="5" t="n">
        <v>198</v>
      </c>
      <c r="H492" s="14">
        <f>IF(AND(ISNUMBER(C492),C492&gt;0,ISNUMBER(G492)),G492/C492-1,"")</f>
        <v/>
      </c>
    </row>
    <row r="493">
      <c r="A493" s="12" t="inlineStr">
        <is>
          <t>590</t>
        </is>
      </c>
      <c r="B493" s="13" t="inlineStr">
        <is>
          <t>General</t>
        </is>
      </c>
      <c r="C493" s="5" t="n"/>
      <c r="D493" s="5" t="n">
        <v>712</v>
      </c>
      <c r="E493" s="5" t="n">
        <v>651</v>
      </c>
      <c r="F493" s="5" t="n">
        <v>750</v>
      </c>
      <c r="G493" s="5" t="n">
        <v>766</v>
      </c>
      <c r="H493" s="14">
        <f>IF(AND(ISNUMBER(C493),C493&gt;0,ISNUMBER(G493)),G493/C493-1,"")</f>
        <v/>
      </c>
    </row>
    <row r="494">
      <c r="A494" s="12" t="inlineStr">
        <is>
          <t>590N</t>
        </is>
      </c>
      <c r="B494" s="13" t="inlineStr">
        <is>
          <t>General</t>
        </is>
      </c>
      <c r="C494" s="5" t="n">
        <v>420</v>
      </c>
      <c r="D494" s="5" t="n"/>
      <c r="E494" s="5" t="n"/>
      <c r="F494" s="5" t="n"/>
      <c r="G494" s="5" t="n"/>
      <c r="H494" s="14">
        <f>IF(AND(ISNUMBER(C494),C494&gt;0,ISNUMBER(G494)),G494/C494-1,"")</f>
        <v/>
      </c>
    </row>
    <row r="495">
      <c r="A495" s="12" t="inlineStr">
        <is>
          <t>590S</t>
        </is>
      </c>
      <c r="B495" s="13" t="inlineStr">
        <is>
          <t>General</t>
        </is>
      </c>
      <c r="C495" s="5" t="n">
        <v>61</v>
      </c>
      <c r="D495" s="5" t="n"/>
      <c r="E495" s="5" t="n"/>
      <c r="F495" s="5" t="n"/>
      <c r="G495" s="5" t="n"/>
      <c r="H495" s="14">
        <f>IF(AND(ISNUMBER(C495),C495&gt;0,ISNUMBER(G495)),G495/C495-1,"")</f>
        <v/>
      </c>
    </row>
    <row r="496">
      <c r="A496" s="12" t="inlineStr">
        <is>
          <t>600</t>
        </is>
      </c>
      <c r="B496" s="13" t="inlineStr">
        <is>
          <t>General</t>
        </is>
      </c>
      <c r="C496" s="5" t="n">
        <v>16</v>
      </c>
      <c r="D496" s="5" t="n">
        <v>22</v>
      </c>
      <c r="E496" s="5" t="n">
        <v>9</v>
      </c>
      <c r="F496" s="5" t="n">
        <v>14</v>
      </c>
      <c r="G496" s="5" t="n">
        <v>22</v>
      </c>
      <c r="H496" s="14">
        <f>IF(AND(ISNUMBER(C496),C496&gt;0,ISNUMBER(G496)),G496/C496-1,"")</f>
        <v/>
      </c>
    </row>
    <row r="497">
      <c r="A497" s="12" t="inlineStr">
        <is>
          <t>620</t>
        </is>
      </c>
      <c r="B497" s="15" t="inlineStr">
        <is>
          <t>Draw</t>
        </is>
      </c>
      <c r="C497" s="5" t="n">
        <v>135</v>
      </c>
      <c r="D497" s="5" t="n">
        <v>129</v>
      </c>
      <c r="E497" s="5" t="n">
        <v>92</v>
      </c>
      <c r="F497" s="5" t="n">
        <v>128</v>
      </c>
      <c r="G497" s="5" t="n">
        <v>117</v>
      </c>
      <c r="H497" s="14">
        <f>IF(AND(ISNUMBER(C497),C497&gt;0,ISNUMBER(G497)),G497/C497-1,"")</f>
        <v/>
      </c>
    </row>
    <row r="498">
      <c r="A498" s="12" t="inlineStr">
        <is>
          <t>621</t>
        </is>
      </c>
      <c r="B498" s="15" t="inlineStr">
        <is>
          <t>Draw</t>
        </is>
      </c>
      <c r="C498" s="5" t="n">
        <v>144</v>
      </c>
      <c r="D498" s="5" t="n">
        <v>118</v>
      </c>
      <c r="E498" s="5" t="n">
        <v>126</v>
      </c>
      <c r="F498" s="5" t="n">
        <v>94</v>
      </c>
      <c r="G498" s="5" t="n">
        <v>93</v>
      </c>
      <c r="H498" s="14">
        <f>IF(AND(ISNUMBER(C498),C498&gt;0,ISNUMBER(G498)),G498/C498-1,"")</f>
        <v/>
      </c>
    </row>
    <row r="499">
      <c r="A499" s="12" t="inlineStr">
        <is>
          <t>622</t>
        </is>
      </c>
      <c r="B499" s="15" t="inlineStr">
        <is>
          <t>Draw</t>
        </is>
      </c>
      <c r="C499" s="5" t="n">
        <v>234</v>
      </c>
      <c r="D499" s="5" t="n">
        <v>138</v>
      </c>
      <c r="E499" s="5" t="n">
        <v>152</v>
      </c>
      <c r="F499" s="5" t="n">
        <v>101</v>
      </c>
      <c r="G499" s="5" t="n">
        <v>102</v>
      </c>
      <c r="H499" s="14">
        <f>IF(AND(ISNUMBER(C499),C499&gt;0,ISNUMBER(G499)),G499/C499-1,"")</f>
        <v/>
      </c>
    </row>
    <row r="500">
      <c r="A500" s="12" t="inlineStr">
        <is>
          <t>630</t>
        </is>
      </c>
      <c r="B500" s="15" t="inlineStr">
        <is>
          <t>Draw</t>
        </is>
      </c>
      <c r="C500" s="5" t="n">
        <v>14</v>
      </c>
      <c r="D500" s="5" t="n">
        <v>55</v>
      </c>
      <c r="E500" s="5" t="n">
        <v>59</v>
      </c>
      <c r="F500" s="5" t="n">
        <v>61</v>
      </c>
      <c r="G500" s="5" t="n">
        <v>54</v>
      </c>
      <c r="H500" s="14">
        <f>IF(AND(ISNUMBER(C500),C500&gt;0,ISNUMBER(G500)),G500/C500-1,"")</f>
        <v/>
      </c>
    </row>
    <row r="501">
      <c r="A501" s="12" t="inlineStr">
        <is>
          <t>631</t>
        </is>
      </c>
      <c r="B501" s="4" t="inlineStr"/>
      <c r="C501" s="5" t="n">
        <v>64</v>
      </c>
      <c r="D501" s="5" t="n"/>
      <c r="E501" s="5" t="n"/>
      <c r="F501" s="5" t="n"/>
      <c r="G501" s="5" t="n"/>
      <c r="H501" s="14">
        <f>IF(AND(ISNUMBER(C501),C501&gt;0,ISNUMBER(G501)),G501/C501-1,"")</f>
        <v/>
      </c>
    </row>
    <row r="502">
      <c r="A502" s="12" t="inlineStr">
        <is>
          <t>632</t>
        </is>
      </c>
      <c r="B502" s="4" t="inlineStr"/>
      <c r="C502" s="5" t="n">
        <v>16</v>
      </c>
      <c r="D502" s="5" t="n"/>
      <c r="E502" s="5" t="n"/>
      <c r="F502" s="5" t="n"/>
      <c r="G502" s="5" t="n"/>
      <c r="H502" s="14">
        <f>IF(AND(ISNUMBER(C502),C502&gt;0,ISNUMBER(G502)),G502/C502-1,"")</f>
        <v/>
      </c>
    </row>
    <row r="503">
      <c r="A503" s="12" t="inlineStr">
        <is>
          <t>640</t>
        </is>
      </c>
      <c r="B503" s="13" t="inlineStr">
        <is>
          <t>General</t>
        </is>
      </c>
      <c r="C503" s="5" t="n">
        <v>4</v>
      </c>
      <c r="D503" s="5" t="n">
        <v>16</v>
      </c>
      <c r="E503" s="5" t="n">
        <v>14</v>
      </c>
      <c r="F503" s="5" t="n">
        <v>3</v>
      </c>
      <c r="G503" s="5" t="n">
        <v>27</v>
      </c>
      <c r="H503" s="14">
        <f>IF(AND(ISNUMBER(C503),C503&gt;0,ISNUMBER(G503)),G503/C503-1,"")</f>
        <v/>
      </c>
    </row>
    <row r="504">
      <c r="A504" s="12" t="inlineStr">
        <is>
          <t>650</t>
        </is>
      </c>
      <c r="B504" s="13" t="inlineStr">
        <is>
          <t>General</t>
        </is>
      </c>
      <c r="C504" s="5" t="n">
        <v>4</v>
      </c>
      <c r="D504" s="5" t="n">
        <v>9</v>
      </c>
      <c r="E504" s="5" t="n">
        <v>6</v>
      </c>
      <c r="F504" s="5" t="n">
        <v>14</v>
      </c>
      <c r="G504" s="5" t="n">
        <v>4</v>
      </c>
      <c r="H504" s="14">
        <f>IF(AND(ISNUMBER(C504),C504&gt;0,ISNUMBER(G504)),G504/C504-1,"")</f>
        <v/>
      </c>
    </row>
    <row r="505">
      <c r="A505" s="12" t="inlineStr">
        <is>
          <t>652</t>
        </is>
      </c>
      <c r="B505" s="13" t="inlineStr">
        <is>
          <t>General</t>
        </is>
      </c>
      <c r="C505" s="5" t="n">
        <v>3</v>
      </c>
      <c r="D505" s="5" t="n"/>
      <c r="E505" s="5" t="n">
        <v>3</v>
      </c>
      <c r="F505" s="5" t="n"/>
      <c r="G505" s="5" t="n"/>
      <c r="H505" s="14">
        <f>IF(AND(ISNUMBER(C505),C505&gt;0,ISNUMBER(G505)),G505/C505-1,"")</f>
        <v/>
      </c>
    </row>
    <row r="506">
      <c r="A506" s="12" t="inlineStr">
        <is>
          <t>670</t>
        </is>
      </c>
      <c r="B506" s="13" t="inlineStr">
        <is>
          <t>General</t>
        </is>
      </c>
      <c r="C506" s="5" t="n">
        <v>7</v>
      </c>
      <c r="D506" s="5" t="n">
        <v>7</v>
      </c>
      <c r="E506" s="5" t="n">
        <v>3</v>
      </c>
      <c r="F506" s="5" t="n">
        <v>3</v>
      </c>
      <c r="G506" s="5" t="n">
        <v>8</v>
      </c>
      <c r="H506" s="14">
        <f>IF(AND(ISNUMBER(C506),C506&gt;0,ISNUMBER(G506)),G506/C506-1,"")</f>
        <v/>
      </c>
    </row>
    <row r="507">
      <c r="A507" s="12" t="inlineStr">
        <is>
          <t>690</t>
        </is>
      </c>
      <c r="B507" s="15" t="inlineStr">
        <is>
          <t>Draw</t>
        </is>
      </c>
      <c r="C507" s="5" t="n">
        <v>179</v>
      </c>
      <c r="D507" s="5" t="n">
        <v>220</v>
      </c>
      <c r="E507" s="5" t="n">
        <v>209</v>
      </c>
      <c r="F507" s="5" t="n">
        <v>257</v>
      </c>
      <c r="G507" s="5" t="n">
        <v>349</v>
      </c>
      <c r="H507" s="14">
        <f>IF(AND(ISNUMBER(C507),C507&gt;0,ISNUMBER(G507)),G507/C507-1,"")</f>
        <v/>
      </c>
    </row>
    <row r="508">
      <c r="A508" s="12" t="inlineStr">
        <is>
          <t>700</t>
        </is>
      </c>
      <c r="B508" s="15" t="inlineStr">
        <is>
          <t>Draw</t>
        </is>
      </c>
      <c r="C508" s="5" t="n">
        <v>499</v>
      </c>
      <c r="D508" s="5" t="n">
        <v>499</v>
      </c>
      <c r="E508" s="5" t="n">
        <v>518</v>
      </c>
      <c r="F508" s="5" t="n">
        <v>660</v>
      </c>
      <c r="G508" s="5" t="n">
        <v>588</v>
      </c>
      <c r="H508" s="14">
        <f>IF(AND(ISNUMBER(C508),C508&gt;0,ISNUMBER(G508)),G508/C508-1,"")</f>
        <v/>
      </c>
    </row>
    <row r="509">
      <c r="A509" s="12" t="inlineStr">
        <is>
          <t>701E</t>
        </is>
      </c>
      <c r="B509" s="13" t="inlineStr">
        <is>
          <t>General</t>
        </is>
      </c>
      <c r="C509" s="5" t="n">
        <v>114</v>
      </c>
      <c r="D509" s="5" t="n">
        <v>77</v>
      </c>
      <c r="E509" s="5" t="n">
        <v>92</v>
      </c>
      <c r="F509" s="5" t="n">
        <v>105</v>
      </c>
      <c r="G509" s="5" t="n">
        <v>102</v>
      </c>
      <c r="H509" s="14">
        <f>IF(AND(ISNUMBER(C509),C509&gt;0,ISNUMBER(G509)),G509/C509-1,"")</f>
        <v/>
      </c>
    </row>
    <row r="510">
      <c r="A510" s="12" t="inlineStr">
        <is>
          <t>701W</t>
        </is>
      </c>
      <c r="B510" s="13" t="inlineStr">
        <is>
          <t>General</t>
        </is>
      </c>
      <c r="C510" s="5" t="n">
        <v>17</v>
      </c>
      <c r="D510" s="5" t="n">
        <v>17</v>
      </c>
      <c r="E510" s="5" t="n">
        <v>42</v>
      </c>
      <c r="F510" s="5" t="n">
        <v>73</v>
      </c>
      <c r="G510" s="5" t="n">
        <v>37</v>
      </c>
      <c r="H510" s="14">
        <f>IF(AND(ISNUMBER(C510),C510&gt;0,ISNUMBER(G510)),G510/C510-1,"")</f>
        <v/>
      </c>
    </row>
    <row r="511">
      <c r="A511" s="12" t="inlineStr">
        <is>
          <t>702</t>
        </is>
      </c>
      <c r="B511" s="13" t="inlineStr">
        <is>
          <t>General</t>
        </is>
      </c>
      <c r="C511" s="5" t="n">
        <v>224</v>
      </c>
      <c r="D511" s="5" t="n">
        <v>220</v>
      </c>
      <c r="E511" s="5" t="n">
        <v>184</v>
      </c>
      <c r="F511" s="5" t="n">
        <v>284</v>
      </c>
      <c r="G511" s="5" t="n">
        <v>263</v>
      </c>
      <c r="H511" s="14">
        <f>IF(AND(ISNUMBER(C511),C511&gt;0,ISNUMBER(G511)),G511/C511-1,"")</f>
        <v/>
      </c>
    </row>
    <row r="512">
      <c r="A512" s="12" t="inlineStr">
        <is>
          <t>703</t>
        </is>
      </c>
      <c r="B512" s="13" t="inlineStr">
        <is>
          <t>General</t>
        </is>
      </c>
      <c r="C512" s="5" t="n">
        <v>41</v>
      </c>
      <c r="D512" s="5" t="n">
        <v>73</v>
      </c>
      <c r="E512" s="5" t="n">
        <v>94</v>
      </c>
      <c r="F512" s="5" t="n">
        <v>62</v>
      </c>
      <c r="G512" s="5" t="n">
        <v>111</v>
      </c>
      <c r="H512" s="14">
        <f>IF(AND(ISNUMBER(C512),C512&gt;0,ISNUMBER(G512)),G512/C512-1,"")</f>
        <v/>
      </c>
    </row>
    <row r="513">
      <c r="A513" s="12" t="inlineStr">
        <is>
          <t>704</t>
        </is>
      </c>
      <c r="B513" s="13" t="inlineStr">
        <is>
          <t>General</t>
        </is>
      </c>
      <c r="C513" s="5" t="n">
        <v>401</v>
      </c>
      <c r="D513" s="5" t="n">
        <v>342</v>
      </c>
      <c r="E513" s="5" t="n">
        <v>396</v>
      </c>
      <c r="F513" s="5" t="n">
        <v>534</v>
      </c>
      <c r="G513" s="5" t="n">
        <v>492</v>
      </c>
      <c r="H513" s="14">
        <f>IF(AND(ISNUMBER(C513),C513&gt;0,ISNUMBER(G513)),G513/C513-1,"")</f>
        <v/>
      </c>
    </row>
    <row r="514">
      <c r="A514" s="12" t="inlineStr">
        <is>
          <t>705</t>
        </is>
      </c>
      <c r="B514" s="13" t="inlineStr">
        <is>
          <t>General</t>
        </is>
      </c>
      <c r="C514" s="5" t="n">
        <v>154</v>
      </c>
      <c r="D514" s="5" t="n">
        <v>184</v>
      </c>
      <c r="E514" s="5" t="n">
        <v>171</v>
      </c>
      <c r="F514" s="5" t="n">
        <v>203</v>
      </c>
      <c r="G514" s="5" t="n">
        <v>145</v>
      </c>
      <c r="H514" s="14">
        <f>IF(AND(ISNUMBER(C514),C514&gt;0,ISNUMBER(G514)),G514/C514-1,"")</f>
        <v/>
      </c>
    </row>
    <row r="517">
      <c r="A517" s="6" t="inlineStr">
        <is>
          <t>Antelope</t>
        </is>
      </c>
    </row>
    <row r="518">
      <c r="A518" s="3" t="inlineStr">
        <is>
          <t>District</t>
        </is>
      </c>
      <c r="B518" s="3" t="inlineStr">
        <is>
          <t>License</t>
        </is>
      </c>
      <c r="C518" s="3" t="inlineStr">
        <is>
          <t>2021</t>
        </is>
      </c>
      <c r="D518" s="3" t="inlineStr">
        <is>
          <t>2022</t>
        </is>
      </c>
      <c r="E518" s="3" t="inlineStr">
        <is>
          <t>2023</t>
        </is>
      </c>
      <c r="F518" s="3" t="inlineStr">
        <is>
          <t>2024</t>
        </is>
      </c>
      <c r="G518" s="3" t="inlineStr">
        <is>
          <t>2025</t>
        </is>
      </c>
      <c r="H518" s="3" t="inlineStr">
        <is>
          <t>Change</t>
        </is>
      </c>
    </row>
    <row r="519">
      <c r="A519" s="12" t="inlineStr">
        <is>
          <t>215</t>
        </is>
      </c>
      <c r="B519" s="15" t="inlineStr">
        <is>
          <t>Draw</t>
        </is>
      </c>
      <c r="C519" s="5" t="n">
        <v>5</v>
      </c>
      <c r="D519" s="5" t="n">
        <v>6</v>
      </c>
      <c r="E519" s="5" t="n">
        <v>2</v>
      </c>
      <c r="F519" s="5" t="n">
        <v>5</v>
      </c>
      <c r="G519" s="5" t="n">
        <v>3</v>
      </c>
      <c r="H519" s="14">
        <f>IF(AND(ISNUMBER(C519),C519&gt;0,ISNUMBER(G519)),G519/C519-1,"")</f>
        <v/>
      </c>
    </row>
    <row r="520">
      <c r="A520" s="12" t="inlineStr">
        <is>
          <t>291</t>
        </is>
      </c>
      <c r="B520" s="15" t="inlineStr">
        <is>
          <t>Draw</t>
        </is>
      </c>
      <c r="C520" s="5" t="n">
        <v>1</v>
      </c>
      <c r="D520" s="5" t="n">
        <v>9</v>
      </c>
      <c r="E520" s="5" t="n">
        <v>1</v>
      </c>
      <c r="F520" s="5" t="n">
        <v>1</v>
      </c>
      <c r="G520" s="5" t="n"/>
      <c r="H520" s="14">
        <f>IF(AND(ISNUMBER(C520),C520&gt;0,ISNUMBER(G520)),G520/C520-1,"")</f>
        <v/>
      </c>
    </row>
    <row r="521">
      <c r="A521" s="12" t="inlineStr">
        <is>
          <t>300</t>
        </is>
      </c>
      <c r="B521" s="15" t="inlineStr">
        <is>
          <t>Draw</t>
        </is>
      </c>
      <c r="C521" s="5" t="n">
        <v>172</v>
      </c>
      <c r="D521" s="5" t="n">
        <v>128</v>
      </c>
      <c r="E521" s="5" t="n">
        <v>96</v>
      </c>
      <c r="F521" s="5" t="n">
        <v>81</v>
      </c>
      <c r="G521" s="5" t="n">
        <v>80</v>
      </c>
      <c r="H521" s="14">
        <f>IF(AND(ISNUMBER(C521),C521&gt;0,ISNUMBER(G521)),G521/C521-1,"")</f>
        <v/>
      </c>
    </row>
    <row r="522">
      <c r="A522" s="12" t="inlineStr">
        <is>
          <t>301</t>
        </is>
      </c>
      <c r="B522" s="15" t="inlineStr">
        <is>
          <t>Draw</t>
        </is>
      </c>
      <c r="C522" s="5" t="n">
        <v>17</v>
      </c>
      <c r="D522" s="5" t="n">
        <v>17</v>
      </c>
      <c r="E522" s="5" t="n">
        <v>19</v>
      </c>
      <c r="F522" s="5" t="n">
        <v>8</v>
      </c>
      <c r="G522" s="5" t="n">
        <v>9</v>
      </c>
      <c r="H522" s="14">
        <f>IF(AND(ISNUMBER(C522),C522&gt;0,ISNUMBER(G522)),G522/C522-1,"")</f>
        <v/>
      </c>
    </row>
    <row r="523">
      <c r="A523" s="12" t="inlineStr">
        <is>
          <t>310</t>
        </is>
      </c>
      <c r="B523" s="15" t="inlineStr">
        <is>
          <t>Draw</t>
        </is>
      </c>
      <c r="C523" s="5" t="n">
        <v>142</v>
      </c>
      <c r="D523" s="5" t="n">
        <v>188</v>
      </c>
      <c r="E523" s="5" t="n">
        <v>133</v>
      </c>
      <c r="F523" s="5" t="n">
        <v>148</v>
      </c>
      <c r="G523" s="5" t="n">
        <v>71</v>
      </c>
      <c r="H523" s="14">
        <f>IF(AND(ISNUMBER(C523),C523&gt;0,ISNUMBER(G523)),G523/C523-1,"")</f>
        <v/>
      </c>
    </row>
    <row r="524">
      <c r="A524" s="12" t="inlineStr">
        <is>
          <t>311</t>
        </is>
      </c>
      <c r="B524" s="15" t="inlineStr">
        <is>
          <t>Draw</t>
        </is>
      </c>
      <c r="C524" s="5" t="n">
        <v>49</v>
      </c>
      <c r="D524" s="5" t="n">
        <v>36</v>
      </c>
      <c r="E524" s="5" t="n">
        <v>29</v>
      </c>
      <c r="F524" s="5" t="n">
        <v>22</v>
      </c>
      <c r="G524" s="5" t="n">
        <v>41</v>
      </c>
      <c r="H524" s="14">
        <f>IF(AND(ISNUMBER(C524),C524&gt;0,ISNUMBER(G524)),G524/C524-1,"")</f>
        <v/>
      </c>
    </row>
    <row r="525">
      <c r="A525" s="12" t="inlineStr">
        <is>
          <t>313</t>
        </is>
      </c>
      <c r="B525" s="15" t="inlineStr">
        <is>
          <t>Draw</t>
        </is>
      </c>
      <c r="C525" s="5" t="n">
        <v>15</v>
      </c>
      <c r="D525" s="5" t="n">
        <v>10</v>
      </c>
      <c r="E525" s="5" t="n">
        <v>7</v>
      </c>
      <c r="F525" s="5" t="n">
        <v>5</v>
      </c>
      <c r="G525" s="5" t="n">
        <v>5</v>
      </c>
      <c r="H525" s="14">
        <f>IF(AND(ISNUMBER(C525),C525&gt;0,ISNUMBER(G525)),G525/C525-1,"")</f>
        <v/>
      </c>
    </row>
    <row r="526">
      <c r="A526" s="12" t="inlineStr">
        <is>
          <t>317</t>
        </is>
      </c>
      <c r="B526" s="15" t="inlineStr">
        <is>
          <t>Draw</t>
        </is>
      </c>
      <c r="C526" s="5" t="n"/>
      <c r="D526" s="5" t="n">
        <v>78</v>
      </c>
      <c r="E526" s="5" t="n">
        <v>22</v>
      </c>
      <c r="F526" s="5" t="n">
        <v>43</v>
      </c>
      <c r="G526" s="5" t="n">
        <v>36</v>
      </c>
      <c r="H526" s="14">
        <f>IF(AND(ISNUMBER(C526),C526&gt;0,ISNUMBER(G526)),G526/C526-1,"")</f>
        <v/>
      </c>
    </row>
    <row r="527">
      <c r="A527" s="12" t="inlineStr">
        <is>
          <t>318</t>
        </is>
      </c>
      <c r="B527" s="15" t="inlineStr">
        <is>
          <t>Draw</t>
        </is>
      </c>
      <c r="C527" s="5" t="n">
        <v>88</v>
      </c>
      <c r="D527" s="5" t="n">
        <v>71</v>
      </c>
      <c r="E527" s="5" t="n">
        <v>40</v>
      </c>
      <c r="F527" s="5" t="n">
        <v>24</v>
      </c>
      <c r="G527" s="5" t="n">
        <v>37</v>
      </c>
      <c r="H527" s="14">
        <f>IF(AND(ISNUMBER(C527),C527&gt;0,ISNUMBER(G527)),G527/C527-1,"")</f>
        <v/>
      </c>
    </row>
    <row r="528">
      <c r="A528" s="12" t="inlineStr">
        <is>
          <t>319</t>
        </is>
      </c>
      <c r="B528" s="15" t="inlineStr">
        <is>
          <t>Draw</t>
        </is>
      </c>
      <c r="C528" s="5" t="n">
        <v>37</v>
      </c>
      <c r="D528" s="5" t="n">
        <v>33</v>
      </c>
      <c r="E528" s="5" t="n">
        <v>37</v>
      </c>
      <c r="F528" s="5" t="n">
        <v>18</v>
      </c>
      <c r="G528" s="5" t="n">
        <v>33</v>
      </c>
      <c r="H528" s="14">
        <f>IF(AND(ISNUMBER(C528),C528&gt;0,ISNUMBER(G528)),G528/C528-1,"")</f>
        <v/>
      </c>
    </row>
    <row r="529">
      <c r="A529" s="12" t="inlineStr">
        <is>
          <t>320</t>
        </is>
      </c>
      <c r="B529" s="15" t="inlineStr">
        <is>
          <t>Draw</t>
        </is>
      </c>
      <c r="C529" s="5" t="n">
        <v>52</v>
      </c>
      <c r="D529" s="5" t="n">
        <v>45</v>
      </c>
      <c r="E529" s="5" t="n">
        <v>81</v>
      </c>
      <c r="F529" s="5" t="n">
        <v>75</v>
      </c>
      <c r="G529" s="5" t="n">
        <v>95</v>
      </c>
      <c r="H529" s="14">
        <f>IF(AND(ISNUMBER(C529),C529&gt;0,ISNUMBER(G529)),G529/C529-1,"")</f>
        <v/>
      </c>
    </row>
    <row r="530">
      <c r="A530" s="12" t="inlineStr">
        <is>
          <t>321</t>
        </is>
      </c>
      <c r="B530" s="4" t="inlineStr"/>
      <c r="C530" s="5" t="n">
        <v>194</v>
      </c>
      <c r="D530" s="5" t="n"/>
      <c r="E530" s="5" t="n"/>
      <c r="F530" s="5" t="n"/>
      <c r="G530" s="5" t="n"/>
      <c r="H530" s="14">
        <f>IF(AND(ISNUMBER(C530),C530&gt;0,ISNUMBER(G530)),G530/C530-1,"")</f>
        <v/>
      </c>
    </row>
    <row r="531">
      <c r="A531" s="12" t="inlineStr">
        <is>
          <t>322</t>
        </is>
      </c>
      <c r="B531" s="15" t="inlineStr">
        <is>
          <t>Draw</t>
        </is>
      </c>
      <c r="C531" s="5" t="n"/>
      <c r="D531" s="5" t="n">
        <v>808</v>
      </c>
      <c r="E531" s="5" t="n">
        <v>432</v>
      </c>
      <c r="F531" s="5" t="n">
        <v>433</v>
      </c>
      <c r="G531" s="5" t="n">
        <v>408</v>
      </c>
      <c r="H531" s="14">
        <f>IF(AND(ISNUMBER(C531),C531&gt;0,ISNUMBER(G531)),G531/C531-1,"")</f>
        <v/>
      </c>
    </row>
    <row r="532">
      <c r="A532" s="12" t="inlineStr">
        <is>
          <t>329</t>
        </is>
      </c>
      <c r="B532" s="15" t="inlineStr">
        <is>
          <t>Draw</t>
        </is>
      </c>
      <c r="C532" s="5" t="n">
        <v>34</v>
      </c>
      <c r="D532" s="5" t="n">
        <v>53</v>
      </c>
      <c r="E532" s="5" t="n">
        <v>51</v>
      </c>
      <c r="F532" s="5" t="n">
        <v>52</v>
      </c>
      <c r="G532" s="5" t="n">
        <v>48</v>
      </c>
      <c r="H532" s="14">
        <f>IF(AND(ISNUMBER(C532),C532&gt;0,ISNUMBER(G532)),G532/C532-1,"")</f>
        <v/>
      </c>
    </row>
    <row r="533">
      <c r="A533" s="12" t="inlineStr">
        <is>
          <t>330</t>
        </is>
      </c>
      <c r="B533" s="4" t="inlineStr"/>
      <c r="C533" s="5" t="n">
        <v>468</v>
      </c>
      <c r="D533" s="5" t="n"/>
      <c r="E533" s="5" t="n"/>
      <c r="F533" s="5" t="n"/>
      <c r="G533" s="5" t="n"/>
      <c r="H533" s="14">
        <f>IF(AND(ISNUMBER(C533),C533&gt;0,ISNUMBER(G533)),G533/C533-1,"")</f>
        <v/>
      </c>
    </row>
    <row r="534">
      <c r="A534" s="12" t="inlineStr">
        <is>
          <t>338</t>
        </is>
      </c>
      <c r="B534" s="15" t="inlineStr">
        <is>
          <t>Draw</t>
        </is>
      </c>
      <c r="C534" s="5" t="n">
        <v>68</v>
      </c>
      <c r="D534" s="5" t="n">
        <v>50</v>
      </c>
      <c r="E534" s="5" t="n">
        <v>79</v>
      </c>
      <c r="F534" s="5" t="n">
        <v>56</v>
      </c>
      <c r="G534" s="5" t="n">
        <v>87</v>
      </c>
      <c r="H534" s="14">
        <f>IF(AND(ISNUMBER(C534),C534&gt;0,ISNUMBER(G534)),G534/C534-1,"")</f>
        <v/>
      </c>
    </row>
    <row r="535">
      <c r="A535" s="12" t="inlineStr">
        <is>
          <t>339</t>
        </is>
      </c>
      <c r="B535" s="15" t="inlineStr">
        <is>
          <t>Draw</t>
        </is>
      </c>
      <c r="C535" s="5" t="n">
        <v>69</v>
      </c>
      <c r="D535" s="5" t="n">
        <v>47</v>
      </c>
      <c r="E535" s="5" t="n">
        <v>44</v>
      </c>
      <c r="F535" s="5" t="n">
        <v>37</v>
      </c>
      <c r="G535" s="5" t="n">
        <v>42</v>
      </c>
      <c r="H535" s="14">
        <f>IF(AND(ISNUMBER(C535),C535&gt;0,ISNUMBER(G535)),G535/C535-1,"")</f>
        <v/>
      </c>
    </row>
    <row r="536">
      <c r="A536" s="12" t="inlineStr">
        <is>
          <t>340</t>
        </is>
      </c>
      <c r="B536" s="15" t="inlineStr">
        <is>
          <t>Draw</t>
        </is>
      </c>
      <c r="C536" s="5" t="n">
        <v>92</v>
      </c>
      <c r="D536" s="5" t="n">
        <v>252</v>
      </c>
      <c r="E536" s="5" t="n">
        <v>247</v>
      </c>
      <c r="F536" s="5" t="n">
        <v>335</v>
      </c>
      <c r="G536" s="5" t="n">
        <v>320</v>
      </c>
      <c r="H536" s="14">
        <f>IF(AND(ISNUMBER(C536),C536&gt;0,ISNUMBER(G536)),G536/C536-1,"")</f>
        <v/>
      </c>
    </row>
    <row r="537">
      <c r="A537" s="12" t="inlineStr">
        <is>
          <t>341</t>
        </is>
      </c>
      <c r="B537" s="4" t="inlineStr"/>
      <c r="C537" s="5" t="n">
        <v>200</v>
      </c>
      <c r="D537" s="5" t="n"/>
      <c r="E537" s="5" t="n"/>
      <c r="F537" s="5" t="n"/>
      <c r="G537" s="5" t="n"/>
      <c r="H537" s="14">
        <f>IF(AND(ISNUMBER(C537),C537&gt;0,ISNUMBER(G537)),G537/C537-1,"")</f>
        <v/>
      </c>
    </row>
    <row r="538">
      <c r="A538" s="12" t="inlineStr">
        <is>
          <t>350</t>
        </is>
      </c>
      <c r="B538" s="15" t="inlineStr">
        <is>
          <t>Draw</t>
        </is>
      </c>
      <c r="C538" s="5" t="n">
        <v>59</v>
      </c>
      <c r="D538" s="5" t="n">
        <v>77</v>
      </c>
      <c r="E538" s="5" t="n">
        <v>70</v>
      </c>
      <c r="F538" s="5" t="n">
        <v>66</v>
      </c>
      <c r="G538" s="5" t="n">
        <v>107</v>
      </c>
      <c r="H538" s="14">
        <f>IF(AND(ISNUMBER(C538),C538&gt;0,ISNUMBER(G538)),G538/C538-1,"")</f>
        <v/>
      </c>
    </row>
    <row r="539">
      <c r="A539" s="12" t="inlineStr">
        <is>
          <t>360</t>
        </is>
      </c>
      <c r="B539" s="15" t="inlineStr">
        <is>
          <t>Draw</t>
        </is>
      </c>
      <c r="C539" s="5" t="n">
        <v>161</v>
      </c>
      <c r="D539" s="5" t="n">
        <v>246</v>
      </c>
      <c r="E539" s="5" t="n">
        <v>160</v>
      </c>
      <c r="F539" s="5" t="n">
        <v>180</v>
      </c>
      <c r="G539" s="5" t="n">
        <v>158</v>
      </c>
      <c r="H539" s="14">
        <f>IF(AND(ISNUMBER(C539),C539&gt;0,ISNUMBER(G539)),G539/C539-1,"")</f>
        <v/>
      </c>
    </row>
    <row r="540">
      <c r="A540" s="12" t="inlineStr">
        <is>
          <t>370</t>
        </is>
      </c>
      <c r="B540" s="15" t="inlineStr">
        <is>
          <t>Draw</t>
        </is>
      </c>
      <c r="C540" s="5" t="n">
        <v>38</v>
      </c>
      <c r="D540" s="5" t="n">
        <v>42</v>
      </c>
      <c r="E540" s="5" t="n">
        <v>61</v>
      </c>
      <c r="F540" s="5" t="n">
        <v>69</v>
      </c>
      <c r="G540" s="5" t="n">
        <v>68</v>
      </c>
      <c r="H540" s="14">
        <f>IF(AND(ISNUMBER(C540),C540&gt;0,ISNUMBER(G540)),G540/C540-1,"")</f>
        <v/>
      </c>
    </row>
    <row r="541">
      <c r="A541" s="12" t="inlineStr">
        <is>
          <t>371</t>
        </is>
      </c>
      <c r="B541" s="15" t="inlineStr">
        <is>
          <t>Draw</t>
        </is>
      </c>
      <c r="C541" s="5" t="n">
        <v>29</v>
      </c>
      <c r="D541" s="5" t="n">
        <v>32</v>
      </c>
      <c r="E541" s="5" t="n">
        <v>18</v>
      </c>
      <c r="F541" s="5" t="n">
        <v>23</v>
      </c>
      <c r="G541" s="5" t="n">
        <v>38</v>
      </c>
      <c r="H541" s="14">
        <f>IF(AND(ISNUMBER(C541),C541&gt;0,ISNUMBER(G541)),G541/C541-1,"")</f>
        <v/>
      </c>
    </row>
    <row r="542">
      <c r="A542" s="12" t="inlineStr">
        <is>
          <t>380</t>
        </is>
      </c>
      <c r="B542" s="15" t="inlineStr">
        <is>
          <t>Draw</t>
        </is>
      </c>
      <c r="C542" s="5" t="n">
        <v>25</v>
      </c>
      <c r="D542" s="5" t="n">
        <v>14</v>
      </c>
      <c r="E542" s="5" t="n">
        <v>29</v>
      </c>
      <c r="F542" s="5" t="n">
        <v>30</v>
      </c>
      <c r="G542" s="5" t="n">
        <v>19</v>
      </c>
      <c r="H542" s="14">
        <f>IF(AND(ISNUMBER(C542),C542&gt;0,ISNUMBER(G542)),G542/C542-1,"")</f>
        <v/>
      </c>
    </row>
    <row r="543">
      <c r="A543" s="12" t="inlineStr">
        <is>
          <t>381</t>
        </is>
      </c>
      <c r="B543" s="15" t="inlineStr">
        <is>
          <t>Draw</t>
        </is>
      </c>
      <c r="C543" s="5" t="n">
        <v>7</v>
      </c>
      <c r="D543" s="5" t="n">
        <v>3</v>
      </c>
      <c r="E543" s="5" t="n">
        <v>3</v>
      </c>
      <c r="F543" s="5" t="n">
        <v>6</v>
      </c>
      <c r="G543" s="5" t="n">
        <v>6</v>
      </c>
      <c r="H543" s="14">
        <f>IF(AND(ISNUMBER(C543),C543&gt;0,ISNUMBER(G543)),G543/C543-1,"")</f>
        <v/>
      </c>
    </row>
    <row r="544">
      <c r="A544" s="12" t="inlineStr">
        <is>
          <t>388</t>
        </is>
      </c>
      <c r="B544" s="15" t="inlineStr">
        <is>
          <t>Draw</t>
        </is>
      </c>
      <c r="C544" s="5" t="n">
        <v>33</v>
      </c>
      <c r="D544" s="5" t="n">
        <v>18</v>
      </c>
      <c r="E544" s="5" t="n">
        <v>8</v>
      </c>
      <c r="F544" s="5" t="n">
        <v>8</v>
      </c>
      <c r="G544" s="5" t="n">
        <v>10</v>
      </c>
      <c r="H544" s="14">
        <f>IF(AND(ISNUMBER(C544),C544&gt;0,ISNUMBER(G544)),G544/C544-1,"")</f>
        <v/>
      </c>
    </row>
    <row r="545">
      <c r="A545" s="12" t="inlineStr">
        <is>
          <t>390</t>
        </is>
      </c>
      <c r="B545" s="15" t="inlineStr">
        <is>
          <t>Draw</t>
        </is>
      </c>
      <c r="C545" s="5" t="n">
        <v>40</v>
      </c>
      <c r="D545" s="5" t="n">
        <v>46</v>
      </c>
      <c r="E545" s="5" t="n">
        <v>49</v>
      </c>
      <c r="F545" s="5" t="n">
        <v>58</v>
      </c>
      <c r="G545" s="5" t="n">
        <v>61</v>
      </c>
      <c r="H545" s="14">
        <f>IF(AND(ISNUMBER(C545),C545&gt;0,ISNUMBER(G545)),G545/C545-1,"")</f>
        <v/>
      </c>
    </row>
    <row r="546">
      <c r="A546" s="12" t="inlineStr">
        <is>
          <t>401</t>
        </is>
      </c>
      <c r="B546" s="15" t="inlineStr">
        <is>
          <t>Draw</t>
        </is>
      </c>
      <c r="C546" s="5" t="n">
        <v>181</v>
      </c>
      <c r="D546" s="5" t="n">
        <v>275</v>
      </c>
      <c r="E546" s="5" t="n">
        <v>207</v>
      </c>
      <c r="F546" s="5" t="n">
        <v>168</v>
      </c>
      <c r="G546" s="5" t="n">
        <v>204</v>
      </c>
      <c r="H546" s="14">
        <f>IF(AND(ISNUMBER(C546),C546&gt;0,ISNUMBER(G546)),G546/C546-1,"")</f>
        <v/>
      </c>
    </row>
    <row r="547">
      <c r="A547" s="12" t="inlineStr">
        <is>
          <t>404</t>
        </is>
      </c>
      <c r="B547" s="15" t="inlineStr">
        <is>
          <t>Draw</t>
        </is>
      </c>
      <c r="C547" s="5" t="n">
        <v>371</v>
      </c>
      <c r="D547" s="5" t="n">
        <v>265</v>
      </c>
      <c r="E547" s="5" t="n">
        <v>216</v>
      </c>
      <c r="F547" s="5" t="n">
        <v>278</v>
      </c>
      <c r="G547" s="5" t="n">
        <v>232</v>
      </c>
      <c r="H547" s="14">
        <f>IF(AND(ISNUMBER(C547),C547&gt;0,ISNUMBER(G547)),G547/C547-1,"")</f>
        <v/>
      </c>
    </row>
    <row r="548">
      <c r="A548" s="12" t="inlineStr">
        <is>
          <t>413</t>
        </is>
      </c>
      <c r="B548" s="15" t="inlineStr">
        <is>
          <t>Draw</t>
        </is>
      </c>
      <c r="C548" s="5" t="n">
        <v>54</v>
      </c>
      <c r="D548" s="5" t="n"/>
      <c r="E548" s="5" t="n"/>
      <c r="F548" s="5" t="n"/>
      <c r="G548" s="5" t="n"/>
      <c r="H548" s="14">
        <f>IF(AND(ISNUMBER(C548),C548&gt;0,ISNUMBER(G548)),G548/C548-1,"")</f>
        <v/>
      </c>
    </row>
    <row r="549">
      <c r="A549" s="12" t="inlineStr">
        <is>
          <t>420</t>
        </is>
      </c>
      <c r="B549" s="15" t="inlineStr">
        <is>
          <t>Draw</t>
        </is>
      </c>
      <c r="C549" s="5" t="n">
        <v>83</v>
      </c>
      <c r="D549" s="5" t="n">
        <v>57</v>
      </c>
      <c r="E549" s="5" t="n">
        <v>33</v>
      </c>
      <c r="F549" s="5" t="n">
        <v>103</v>
      </c>
      <c r="G549" s="5" t="n">
        <v>78</v>
      </c>
      <c r="H549" s="14">
        <f>IF(AND(ISNUMBER(C549),C549&gt;0,ISNUMBER(G549)),G549/C549-1,"")</f>
        <v/>
      </c>
    </row>
    <row r="550">
      <c r="A550" s="12" t="inlineStr">
        <is>
          <t>430</t>
        </is>
      </c>
      <c r="B550" s="15" t="inlineStr">
        <is>
          <t>Draw</t>
        </is>
      </c>
      <c r="C550" s="5" t="n">
        <v>73</v>
      </c>
      <c r="D550" s="5" t="n">
        <v>135</v>
      </c>
      <c r="E550" s="5" t="n">
        <v>126</v>
      </c>
      <c r="F550" s="5" t="n">
        <v>148</v>
      </c>
      <c r="G550" s="5" t="n">
        <v>192</v>
      </c>
      <c r="H550" s="14">
        <f>IF(AND(ISNUMBER(C550),C550&gt;0,ISNUMBER(G550)),G550/C550-1,"")</f>
        <v/>
      </c>
    </row>
    <row r="551">
      <c r="A551" s="12" t="inlineStr">
        <is>
          <t>440</t>
        </is>
      </c>
      <c r="B551" s="15" t="inlineStr">
        <is>
          <t>Draw</t>
        </is>
      </c>
      <c r="C551" s="5" t="n">
        <v>85</v>
      </c>
      <c r="D551" s="5" t="n">
        <v>82</v>
      </c>
      <c r="E551" s="5" t="n">
        <v>91</v>
      </c>
      <c r="F551" s="5" t="n">
        <v>143</v>
      </c>
      <c r="G551" s="5" t="n">
        <v>132</v>
      </c>
      <c r="H551" s="14">
        <f>IF(AND(ISNUMBER(C551),C551&gt;0,ISNUMBER(G551)),G551/C551-1,"")</f>
        <v/>
      </c>
    </row>
    <row r="552">
      <c r="A552" s="12" t="inlineStr">
        <is>
          <t>441</t>
        </is>
      </c>
      <c r="B552" s="15" t="inlineStr">
        <is>
          <t>Draw</t>
        </is>
      </c>
      <c r="C552" s="5" t="n">
        <v>11</v>
      </c>
      <c r="D552" s="5" t="n">
        <v>7</v>
      </c>
      <c r="E552" s="5" t="n">
        <v>9</v>
      </c>
      <c r="F552" s="5" t="n">
        <v>10</v>
      </c>
      <c r="G552" s="5" t="n">
        <v>10</v>
      </c>
      <c r="H552" s="14">
        <f>IF(AND(ISNUMBER(C552),C552&gt;0,ISNUMBER(G552)),G552/C552-1,"")</f>
        <v/>
      </c>
    </row>
    <row r="553">
      <c r="A553" s="12" t="inlineStr">
        <is>
          <t>444</t>
        </is>
      </c>
      <c r="B553" s="15" t="inlineStr">
        <is>
          <t>Draw</t>
        </is>
      </c>
      <c r="C553" s="5" t="n">
        <v>106</v>
      </c>
      <c r="D553" s="5" t="n">
        <v>61</v>
      </c>
      <c r="E553" s="5" t="n">
        <v>94</v>
      </c>
      <c r="F553" s="5" t="n">
        <v>102</v>
      </c>
      <c r="G553" s="5" t="n">
        <v>92</v>
      </c>
      <c r="H553" s="14">
        <f>IF(AND(ISNUMBER(C553),C553&gt;0,ISNUMBER(G553)),G553/C553-1,"")</f>
        <v/>
      </c>
    </row>
    <row r="554">
      <c r="A554" s="12" t="inlineStr">
        <is>
          <t>450</t>
        </is>
      </c>
      <c r="B554" s="15" t="inlineStr">
        <is>
          <t>Draw</t>
        </is>
      </c>
      <c r="C554" s="5" t="n">
        <v>49</v>
      </c>
      <c r="D554" s="5" t="n">
        <v>51</v>
      </c>
      <c r="E554" s="5" t="n">
        <v>58</v>
      </c>
      <c r="F554" s="5" t="n">
        <v>72</v>
      </c>
      <c r="G554" s="5" t="n">
        <v>98</v>
      </c>
      <c r="H554" s="14">
        <f>IF(AND(ISNUMBER(C554),C554&gt;0,ISNUMBER(G554)),G554/C554-1,"")</f>
        <v/>
      </c>
    </row>
    <row r="555">
      <c r="A555" s="12" t="inlineStr">
        <is>
          <t>455</t>
        </is>
      </c>
      <c r="B555" s="15" t="inlineStr">
        <is>
          <t>Draw</t>
        </is>
      </c>
      <c r="C555" s="5" t="n">
        <v>2</v>
      </c>
      <c r="D555" s="5" t="n">
        <v>2</v>
      </c>
      <c r="E555" s="5" t="n">
        <v>2</v>
      </c>
      <c r="F555" s="5" t="n">
        <v>0</v>
      </c>
      <c r="G555" s="5" t="n">
        <v>6</v>
      </c>
      <c r="H555" s="14">
        <f>IF(AND(ISNUMBER(C555),C555&gt;0,ISNUMBER(G555)),G555/C555-1,"")</f>
        <v/>
      </c>
    </row>
    <row r="556">
      <c r="A556" s="12" t="inlineStr">
        <is>
          <t>471</t>
        </is>
      </c>
      <c r="B556" s="15" t="inlineStr">
        <is>
          <t>Draw</t>
        </is>
      </c>
      <c r="C556" s="5" t="n">
        <v>337</v>
      </c>
      <c r="D556" s="5" t="n">
        <v>485</v>
      </c>
      <c r="E556" s="5" t="n">
        <v>315</v>
      </c>
      <c r="F556" s="5" t="n">
        <v>273</v>
      </c>
      <c r="G556" s="5" t="n">
        <v>430</v>
      </c>
      <c r="H556" s="14">
        <f>IF(AND(ISNUMBER(C556),C556&gt;0,ISNUMBER(G556)),G556/C556-1,"")</f>
        <v/>
      </c>
    </row>
    <row r="557">
      <c r="A557" s="12" t="inlineStr">
        <is>
          <t>480</t>
        </is>
      </c>
      <c r="B557" s="15" t="inlineStr">
        <is>
          <t>Draw</t>
        </is>
      </c>
      <c r="C557" s="5" t="n">
        <v>121</v>
      </c>
      <c r="D557" s="5" t="n">
        <v>94</v>
      </c>
      <c r="E557" s="5" t="n">
        <v>85</v>
      </c>
      <c r="F557" s="5" t="n">
        <v>118</v>
      </c>
      <c r="G557" s="5" t="n">
        <v>206</v>
      </c>
      <c r="H557" s="14">
        <f>IF(AND(ISNUMBER(C557),C557&gt;0,ISNUMBER(G557)),G557/C557-1,"")</f>
        <v/>
      </c>
    </row>
    <row r="558">
      <c r="A558" s="12" t="inlineStr">
        <is>
          <t>481</t>
        </is>
      </c>
      <c r="B558" s="15" t="inlineStr">
        <is>
          <t>Draw</t>
        </is>
      </c>
      <c r="C558" s="5" t="n">
        <v>225</v>
      </c>
      <c r="D558" s="5" t="n">
        <v>78</v>
      </c>
      <c r="E558" s="5" t="n">
        <v>57</v>
      </c>
      <c r="F558" s="5" t="n">
        <v>101</v>
      </c>
      <c r="G558" s="5" t="n">
        <v>150</v>
      </c>
      <c r="H558" s="14">
        <f>IF(AND(ISNUMBER(C558),C558&gt;0,ISNUMBER(G558)),G558/C558-1,"")</f>
        <v/>
      </c>
    </row>
    <row r="559">
      <c r="A559" s="12" t="inlineStr">
        <is>
          <t>490</t>
        </is>
      </c>
      <c r="B559" s="15" t="inlineStr">
        <is>
          <t>Draw</t>
        </is>
      </c>
      <c r="C559" s="5" t="n">
        <v>285</v>
      </c>
      <c r="D559" s="5" t="n">
        <v>316</v>
      </c>
      <c r="E559" s="5" t="n">
        <v>115</v>
      </c>
      <c r="F559" s="5" t="n">
        <v>156</v>
      </c>
      <c r="G559" s="5" t="n">
        <v>174</v>
      </c>
      <c r="H559" s="14">
        <f>IF(AND(ISNUMBER(C559),C559&gt;0,ISNUMBER(G559)),G559/C559-1,"")</f>
        <v/>
      </c>
    </row>
    <row r="560">
      <c r="A560" s="12" t="inlineStr">
        <is>
          <t>491</t>
        </is>
      </c>
      <c r="B560" s="4" t="inlineStr"/>
      <c r="C560" s="5" t="n">
        <v>48</v>
      </c>
      <c r="D560" s="5" t="n"/>
      <c r="E560" s="5" t="n"/>
      <c r="F560" s="5" t="n"/>
      <c r="G560" s="5" t="n"/>
      <c r="H560" s="14">
        <f>IF(AND(ISNUMBER(C560),C560&gt;0,ISNUMBER(G560)),G560/C560-1,"")</f>
        <v/>
      </c>
    </row>
    <row r="561">
      <c r="A561" s="12" t="inlineStr">
        <is>
          <t>500</t>
        </is>
      </c>
      <c r="B561" s="4" t="inlineStr"/>
      <c r="C561" s="5" t="n">
        <v>146</v>
      </c>
      <c r="D561" s="5" t="n"/>
      <c r="E561" s="5" t="n"/>
      <c r="F561" s="5" t="n"/>
      <c r="G561" s="5" t="n"/>
      <c r="H561" s="14">
        <f>IF(AND(ISNUMBER(C561),C561&gt;0,ISNUMBER(G561)),G561/C561-1,"")</f>
        <v/>
      </c>
    </row>
    <row r="562">
      <c r="A562" s="12" t="inlineStr">
        <is>
          <t>501</t>
        </is>
      </c>
      <c r="B562" s="4" t="inlineStr"/>
      <c r="C562" s="5" t="n">
        <v>150</v>
      </c>
      <c r="D562" s="5" t="n"/>
      <c r="E562" s="5" t="n"/>
      <c r="F562" s="5" t="n"/>
      <c r="G562" s="5" t="n"/>
      <c r="H562" s="14">
        <f>IF(AND(ISNUMBER(C562),C562&gt;0,ISNUMBER(G562)),G562/C562-1,"")</f>
        <v/>
      </c>
    </row>
    <row r="563">
      <c r="A563" s="12" t="inlineStr">
        <is>
          <t>506</t>
        </is>
      </c>
      <c r="B563" s="15" t="inlineStr">
        <is>
          <t>Draw</t>
        </is>
      </c>
      <c r="C563" s="5" t="n"/>
      <c r="D563" s="5" t="n">
        <v>130</v>
      </c>
      <c r="E563" s="5" t="n">
        <v>110</v>
      </c>
      <c r="F563" s="5" t="n">
        <v>136</v>
      </c>
      <c r="G563" s="5" t="n">
        <v>64</v>
      </c>
      <c r="H563" s="14">
        <f>IF(AND(ISNUMBER(C563),C563&gt;0,ISNUMBER(G563)),G563/C563-1,"")</f>
        <v/>
      </c>
    </row>
    <row r="564">
      <c r="A564" s="12" t="inlineStr">
        <is>
          <t>510</t>
        </is>
      </c>
      <c r="B564" s="4" t="inlineStr"/>
      <c r="C564" s="5" t="n">
        <v>157</v>
      </c>
      <c r="D564" s="5" t="n"/>
      <c r="E564" s="5" t="n"/>
      <c r="F564" s="5" t="n"/>
      <c r="G564" s="5" t="n"/>
      <c r="H564" s="14">
        <f>IF(AND(ISNUMBER(C564),C564&gt;0,ISNUMBER(G564)),G564/C564-1,"")</f>
        <v/>
      </c>
    </row>
    <row r="565">
      <c r="A565" s="12" t="inlineStr">
        <is>
          <t>511</t>
        </is>
      </c>
      <c r="B565" s="4" t="inlineStr"/>
      <c r="C565" s="5" t="n">
        <v>101</v>
      </c>
      <c r="D565" s="5" t="n"/>
      <c r="E565" s="5" t="n"/>
      <c r="F565" s="5" t="n"/>
      <c r="G565" s="5" t="n"/>
      <c r="H565" s="14">
        <f>IF(AND(ISNUMBER(C565),C565&gt;0,ISNUMBER(G565)),G565/C565-1,"")</f>
        <v/>
      </c>
    </row>
    <row r="566">
      <c r="A566" s="12" t="inlineStr">
        <is>
          <t>512</t>
        </is>
      </c>
      <c r="B566" s="4" t="inlineStr"/>
      <c r="C566" s="5" t="n">
        <v>26</v>
      </c>
      <c r="D566" s="5" t="n"/>
      <c r="E566" s="5" t="n"/>
      <c r="F566" s="5" t="n"/>
      <c r="G566" s="5" t="n"/>
      <c r="H566" s="14">
        <f>IF(AND(ISNUMBER(C566),C566&gt;0,ISNUMBER(G566)),G566/C566-1,"")</f>
        <v/>
      </c>
    </row>
    <row r="567">
      <c r="A567" s="12" t="inlineStr">
        <is>
          <t>513</t>
        </is>
      </c>
      <c r="B567" s="4" t="inlineStr"/>
      <c r="C567" s="5" t="n">
        <v>145</v>
      </c>
      <c r="D567" s="5" t="n"/>
      <c r="E567" s="5" t="n"/>
      <c r="F567" s="5" t="n"/>
      <c r="G567" s="5" t="n"/>
      <c r="H567" s="14">
        <f>IF(AND(ISNUMBER(C567),C567&gt;0,ISNUMBER(G567)),G567/C567-1,"")</f>
        <v/>
      </c>
    </row>
    <row r="568">
      <c r="A568" s="12" t="inlineStr">
        <is>
          <t>514</t>
        </is>
      </c>
      <c r="B568" s="4" t="inlineStr"/>
      <c r="C568" s="5" t="n">
        <v>41</v>
      </c>
      <c r="D568" s="5" t="n"/>
      <c r="E568" s="5" t="n"/>
      <c r="F568" s="5" t="n"/>
      <c r="G568" s="5" t="n"/>
      <c r="H568" s="14">
        <f>IF(AND(ISNUMBER(C568),C568&gt;0,ISNUMBER(G568)),G568/C568-1,"")</f>
        <v/>
      </c>
    </row>
    <row r="569">
      <c r="A569" s="12" t="inlineStr">
        <is>
          <t>516</t>
        </is>
      </c>
      <c r="B569" s="15" t="inlineStr">
        <is>
          <t>Draw</t>
        </is>
      </c>
      <c r="C569" s="5" t="n"/>
      <c r="D569" s="5" t="n">
        <v>400</v>
      </c>
      <c r="E569" s="5" t="n">
        <v>395</v>
      </c>
      <c r="F569" s="5" t="n">
        <v>424</v>
      </c>
      <c r="G569" s="5" t="n">
        <v>332</v>
      </c>
      <c r="H569" s="14">
        <f>IF(AND(ISNUMBER(C569),C569&gt;0,ISNUMBER(G569)),G569/C569-1,"")</f>
        <v/>
      </c>
    </row>
    <row r="570">
      <c r="A570" s="12" t="inlineStr">
        <is>
          <t>526</t>
        </is>
      </c>
      <c r="B570" s="15" t="inlineStr">
        <is>
          <t>Draw</t>
        </is>
      </c>
      <c r="C570" s="5" t="n"/>
      <c r="D570" s="5" t="n">
        <v>84</v>
      </c>
      <c r="E570" s="5" t="n">
        <v>119</v>
      </c>
      <c r="F570" s="5" t="n">
        <v>104</v>
      </c>
      <c r="G570" s="5" t="n">
        <v>104</v>
      </c>
      <c r="H570" s="14">
        <f>IF(AND(ISNUMBER(C570),C570&gt;0,ISNUMBER(G570)),G570/C570-1,"")</f>
        <v/>
      </c>
    </row>
    <row r="571">
      <c r="A571" s="12" t="inlineStr">
        <is>
          <t>530</t>
        </is>
      </c>
      <c r="B571" s="4" t="inlineStr"/>
      <c r="C571" s="5" t="n">
        <v>128</v>
      </c>
      <c r="D571" s="5" t="n"/>
      <c r="E571" s="5" t="n"/>
      <c r="F571" s="5" t="n"/>
      <c r="G571" s="5" t="n"/>
      <c r="H571" s="14">
        <f>IF(AND(ISNUMBER(C571),C571&gt;0,ISNUMBER(G571)),G571/C571-1,"")</f>
        <v/>
      </c>
    </row>
    <row r="572">
      <c r="A572" s="12" t="inlineStr">
        <is>
          <t>536</t>
        </is>
      </c>
      <c r="B572" s="15" t="inlineStr">
        <is>
          <t>Draw</t>
        </is>
      </c>
      <c r="C572" s="5" t="n"/>
      <c r="D572" s="5" t="n">
        <v>181</v>
      </c>
      <c r="E572" s="5" t="n">
        <v>178</v>
      </c>
      <c r="F572" s="5" t="n">
        <v>188</v>
      </c>
      <c r="G572" s="5" t="n">
        <v>198</v>
      </c>
      <c r="H572" s="14">
        <f>IF(AND(ISNUMBER(C572),C572&gt;0,ISNUMBER(G572)),G572/C572-1,"")</f>
        <v/>
      </c>
    </row>
    <row r="573">
      <c r="A573" s="12" t="inlineStr">
        <is>
          <t>540</t>
        </is>
      </c>
      <c r="B573" s="4" t="inlineStr"/>
      <c r="C573" s="5" t="n">
        <v>103</v>
      </c>
      <c r="D573" s="5" t="n"/>
      <c r="E573" s="5" t="n"/>
      <c r="F573" s="5" t="n"/>
      <c r="G573" s="5" t="n"/>
      <c r="H573" s="14">
        <f>IF(AND(ISNUMBER(C573),C573&gt;0,ISNUMBER(G573)),G573/C573-1,"")</f>
        <v/>
      </c>
    </row>
    <row r="574">
      <c r="A574" s="12" t="inlineStr">
        <is>
          <t>546</t>
        </is>
      </c>
      <c r="B574" s="15" t="inlineStr">
        <is>
          <t>Draw</t>
        </is>
      </c>
      <c r="C574" s="5" t="n"/>
      <c r="D574" s="5" t="n">
        <v>194</v>
      </c>
      <c r="E574" s="5" t="n">
        <v>204</v>
      </c>
      <c r="F574" s="5" t="n">
        <v>220</v>
      </c>
      <c r="G574" s="5" t="n">
        <v>282</v>
      </c>
      <c r="H574" s="14">
        <f>IF(AND(ISNUMBER(C574),C574&gt;0,ISNUMBER(G574)),G574/C574-1,"")</f>
        <v/>
      </c>
    </row>
    <row r="575">
      <c r="A575" s="12" t="inlineStr">
        <is>
          <t>550</t>
        </is>
      </c>
      <c r="B575" s="4" t="inlineStr"/>
      <c r="C575" s="5" t="n">
        <v>78</v>
      </c>
      <c r="D575" s="5" t="n"/>
      <c r="E575" s="5" t="n"/>
      <c r="F575" s="5" t="n"/>
      <c r="G575" s="5" t="n"/>
      <c r="H575" s="14">
        <f>IF(AND(ISNUMBER(C575),C575&gt;0,ISNUMBER(G575)),G575/C575-1,"")</f>
        <v/>
      </c>
    </row>
    <row r="576">
      <c r="A576" s="12" t="inlineStr">
        <is>
          <t>556</t>
        </is>
      </c>
      <c r="B576" s="15" t="inlineStr">
        <is>
          <t>Draw</t>
        </is>
      </c>
      <c r="C576" s="5" t="n"/>
      <c r="D576" s="5" t="n">
        <v>52</v>
      </c>
      <c r="E576" s="5" t="n">
        <v>77</v>
      </c>
      <c r="F576" s="5" t="n">
        <v>71</v>
      </c>
      <c r="G576" s="5" t="n">
        <v>88</v>
      </c>
      <c r="H576" s="14">
        <f>IF(AND(ISNUMBER(C576),C576&gt;0,ISNUMBER(G576)),G576/C576-1,"")</f>
        <v/>
      </c>
    </row>
    <row r="577">
      <c r="A577" s="12" t="inlineStr">
        <is>
          <t>560</t>
        </is>
      </c>
      <c r="B577" s="4" t="inlineStr"/>
      <c r="C577" s="5" t="n">
        <v>407</v>
      </c>
      <c r="D577" s="5" t="n"/>
      <c r="E577" s="5" t="n">
        <v>3</v>
      </c>
      <c r="F577" s="5" t="n"/>
      <c r="G577" s="5" t="n"/>
      <c r="H577" s="14">
        <f>IF(AND(ISNUMBER(C577),C577&gt;0,ISNUMBER(G577)),G577/C577-1,"")</f>
        <v/>
      </c>
    </row>
    <row r="578">
      <c r="A578" s="12" t="inlineStr">
        <is>
          <t>570</t>
        </is>
      </c>
      <c r="B578" s="4" t="inlineStr"/>
      <c r="C578" s="5" t="n">
        <v>407</v>
      </c>
      <c r="D578" s="5" t="n"/>
      <c r="E578" s="5" t="n"/>
      <c r="F578" s="5" t="n"/>
      <c r="G578" s="5" t="n"/>
      <c r="H578" s="14">
        <f>IF(AND(ISNUMBER(C578),C578&gt;0,ISNUMBER(G578)),G578/C578-1,"")</f>
        <v/>
      </c>
    </row>
    <row r="579">
      <c r="A579" s="12" t="inlineStr">
        <is>
          <t>576</t>
        </is>
      </c>
      <c r="B579" s="15" t="inlineStr">
        <is>
          <t>Draw</t>
        </is>
      </c>
      <c r="C579" s="5" t="n"/>
      <c r="D579" s="5" t="n">
        <v>875</v>
      </c>
      <c r="E579" s="5" t="n">
        <v>649</v>
      </c>
      <c r="F579" s="5" t="n">
        <v>503</v>
      </c>
      <c r="G579" s="5" t="n">
        <v>552</v>
      </c>
      <c r="H579" s="14">
        <f>IF(AND(ISNUMBER(C579),C579&gt;0,ISNUMBER(G579)),G579/C579-1,"")</f>
        <v/>
      </c>
    </row>
    <row r="580">
      <c r="A580" s="12" t="inlineStr">
        <is>
          <t>586</t>
        </is>
      </c>
      <c r="B580" s="15" t="inlineStr">
        <is>
          <t>Draw</t>
        </is>
      </c>
      <c r="C580" s="5" t="n"/>
      <c r="D580" s="5" t="n">
        <v>239</v>
      </c>
      <c r="E580" s="5" t="n">
        <v>267</v>
      </c>
      <c r="F580" s="5" t="n">
        <v>306</v>
      </c>
      <c r="G580" s="5" t="n">
        <v>322</v>
      </c>
      <c r="H580" s="14">
        <f>IF(AND(ISNUMBER(C580),C580&gt;0,ISNUMBER(G580)),G580/C580-1,"")</f>
        <v/>
      </c>
    </row>
    <row r="581">
      <c r="A581" s="12" t="inlineStr">
        <is>
          <t>590</t>
        </is>
      </c>
      <c r="B581" s="4" t="inlineStr"/>
      <c r="C581" s="5" t="n">
        <v>235</v>
      </c>
      <c r="D581" s="5" t="n"/>
      <c r="E581" s="5" t="n"/>
      <c r="F581" s="5" t="n"/>
      <c r="G581" s="5" t="n"/>
      <c r="H581" s="14">
        <f>IF(AND(ISNUMBER(C581),C581&gt;0,ISNUMBER(G581)),G581/C581-1,"")</f>
        <v/>
      </c>
    </row>
    <row r="582">
      <c r="A582" s="12" t="inlineStr">
        <is>
          <t>596</t>
        </is>
      </c>
      <c r="B582" s="15" t="inlineStr">
        <is>
          <t>Draw</t>
        </is>
      </c>
      <c r="C582" s="5" t="n"/>
      <c r="D582" s="5" t="n">
        <v>123</v>
      </c>
      <c r="E582" s="5" t="n">
        <v>158</v>
      </c>
      <c r="F582" s="5" t="n">
        <v>108</v>
      </c>
      <c r="G582" s="5" t="n">
        <v>101</v>
      </c>
      <c r="H582" s="14">
        <f>IF(AND(ISNUMBER(C582),C582&gt;0,ISNUMBER(G582)),G582/C582-1,"")</f>
        <v/>
      </c>
    </row>
    <row r="583">
      <c r="A583" s="12" t="inlineStr">
        <is>
          <t>600</t>
        </is>
      </c>
      <c r="B583" s="15" t="inlineStr">
        <is>
          <t>Draw</t>
        </is>
      </c>
      <c r="C583" s="5" t="n">
        <v>184</v>
      </c>
      <c r="D583" s="5" t="n">
        <v>213</v>
      </c>
      <c r="E583" s="5" t="n">
        <v>185</v>
      </c>
      <c r="F583" s="5" t="n">
        <v>200</v>
      </c>
      <c r="G583" s="5" t="n">
        <v>295</v>
      </c>
      <c r="H583" s="14">
        <f>IF(AND(ISNUMBER(C583),C583&gt;0,ISNUMBER(G583)),G583/C583-1,"")</f>
        <v/>
      </c>
    </row>
    <row r="584">
      <c r="A584" s="12" t="inlineStr">
        <is>
          <t>620</t>
        </is>
      </c>
      <c r="B584" s="15" t="inlineStr">
        <is>
          <t>Draw</t>
        </is>
      </c>
      <c r="C584" s="5" t="n">
        <v>355</v>
      </c>
      <c r="D584" s="5" t="n">
        <v>267</v>
      </c>
      <c r="E584" s="5" t="n">
        <v>284</v>
      </c>
      <c r="F584" s="5" t="n">
        <v>310</v>
      </c>
      <c r="G584" s="5" t="n">
        <v>403</v>
      </c>
      <c r="H584" s="14">
        <f>IF(AND(ISNUMBER(C584),C584&gt;0,ISNUMBER(G584)),G584/C584-1,"")</f>
        <v/>
      </c>
    </row>
    <row r="585">
      <c r="A585" s="12" t="inlineStr">
        <is>
          <t>630</t>
        </is>
      </c>
      <c r="B585" s="15" t="inlineStr">
        <is>
          <t>Draw</t>
        </is>
      </c>
      <c r="C585" s="5" t="n">
        <v>155</v>
      </c>
      <c r="D585" s="5" t="n">
        <v>183</v>
      </c>
      <c r="E585" s="5" t="n">
        <v>179</v>
      </c>
      <c r="F585" s="5" t="n">
        <v>236</v>
      </c>
      <c r="G585" s="5" t="n">
        <v>245</v>
      </c>
      <c r="H585" s="14">
        <f>IF(AND(ISNUMBER(C585),C585&gt;0,ISNUMBER(G585)),G585/C585-1,"")</f>
        <v/>
      </c>
    </row>
    <row r="586">
      <c r="A586" s="12" t="inlineStr">
        <is>
          <t>640</t>
        </is>
      </c>
      <c r="B586" s="15" t="inlineStr">
        <is>
          <t>Draw</t>
        </is>
      </c>
      <c r="C586" s="5" t="n">
        <v>70</v>
      </c>
      <c r="D586" s="5" t="n">
        <v>125</v>
      </c>
      <c r="E586" s="5" t="n">
        <v>78</v>
      </c>
      <c r="F586" s="5" t="n">
        <v>93</v>
      </c>
      <c r="G586" s="5" t="n">
        <v>76</v>
      </c>
      <c r="H586" s="14">
        <f>IF(AND(ISNUMBER(C586),C586&gt;0,ISNUMBER(G586)),G586/C586-1,"")</f>
        <v/>
      </c>
    </row>
    <row r="587">
      <c r="A587" s="12" t="inlineStr">
        <is>
          <t>650</t>
        </is>
      </c>
      <c r="B587" s="15" t="inlineStr">
        <is>
          <t>Draw</t>
        </is>
      </c>
      <c r="C587" s="5" t="n">
        <v>547</v>
      </c>
      <c r="D587" s="5" t="n">
        <v>569</v>
      </c>
      <c r="E587" s="5" t="n">
        <v>529</v>
      </c>
      <c r="F587" s="5" t="n">
        <v>344</v>
      </c>
      <c r="G587" s="5" t="n">
        <v>461</v>
      </c>
      <c r="H587" s="14">
        <f>IF(AND(ISNUMBER(C587),C587&gt;0,ISNUMBER(G587)),G587/C587-1,"")</f>
        <v/>
      </c>
    </row>
    <row r="588">
      <c r="A588" s="12" t="inlineStr">
        <is>
          <t>670</t>
        </is>
      </c>
      <c r="B588" s="15" t="inlineStr">
        <is>
          <t>Draw</t>
        </is>
      </c>
      <c r="C588" s="5" t="n">
        <v>397</v>
      </c>
      <c r="D588" s="5" t="n">
        <v>295</v>
      </c>
      <c r="E588" s="5" t="n">
        <v>229</v>
      </c>
      <c r="F588" s="5" t="n">
        <v>220</v>
      </c>
      <c r="G588" s="5" t="n">
        <v>288</v>
      </c>
      <c r="H588" s="14">
        <f>IF(AND(ISNUMBER(C588),C588&gt;0,ISNUMBER(G588)),G588/C588-1,"")</f>
        <v/>
      </c>
    </row>
    <row r="589">
      <c r="A589" s="12" t="inlineStr">
        <is>
          <t>690</t>
        </is>
      </c>
      <c r="B589" s="15" t="inlineStr">
        <is>
          <t>Draw</t>
        </is>
      </c>
      <c r="C589" s="5" t="n">
        <v>332</v>
      </c>
      <c r="D589" s="5" t="n">
        <v>397</v>
      </c>
      <c r="E589" s="5" t="n">
        <v>215</v>
      </c>
      <c r="F589" s="5" t="n">
        <v>239</v>
      </c>
      <c r="G589" s="5" t="n">
        <v>445</v>
      </c>
      <c r="H589" s="14">
        <f>IF(AND(ISNUMBER(C589),C589&gt;0,ISNUMBER(G589)),G589/C589-1,"")</f>
        <v/>
      </c>
    </row>
    <row r="590">
      <c r="A590" s="12" t="inlineStr">
        <is>
          <t>700</t>
        </is>
      </c>
      <c r="B590" s="15" t="inlineStr">
        <is>
          <t>Draw</t>
        </is>
      </c>
      <c r="C590" s="5" t="n">
        <v>779</v>
      </c>
      <c r="D590" s="5" t="n">
        <v>1047</v>
      </c>
      <c r="E590" s="5" t="n">
        <v>985</v>
      </c>
      <c r="F590" s="5" t="n">
        <v>956</v>
      </c>
      <c r="G590" s="5" t="n">
        <v>1052</v>
      </c>
      <c r="H590" s="14">
        <f>IF(AND(ISNUMBER(C590),C590&gt;0,ISNUMBER(G590)),G590/C590-1,"")</f>
        <v/>
      </c>
    </row>
    <row r="591">
      <c r="A591" s="12" t="inlineStr">
        <is>
          <t>701</t>
        </is>
      </c>
      <c r="B591" s="15" t="inlineStr">
        <is>
          <t>Draw</t>
        </is>
      </c>
      <c r="C591" s="5" t="n">
        <v>714</v>
      </c>
      <c r="D591" s="5" t="n">
        <v>820</v>
      </c>
      <c r="E591" s="5" t="n">
        <v>939</v>
      </c>
      <c r="F591" s="5" t="n">
        <v>728</v>
      </c>
      <c r="G591" s="5" t="n">
        <v>933</v>
      </c>
      <c r="H591" s="14">
        <f>IF(AND(ISNUMBER(C591),C591&gt;0,ISNUMBER(G591)),G591/C591-1,"")</f>
        <v/>
      </c>
    </row>
    <row r="592">
      <c r="A592" s="12" t="inlineStr">
        <is>
          <t>702</t>
        </is>
      </c>
      <c r="B592" s="15" t="inlineStr">
        <is>
          <t>Draw</t>
        </is>
      </c>
      <c r="C592" s="5" t="n">
        <v>215</v>
      </c>
      <c r="D592" s="5" t="n">
        <v>212</v>
      </c>
      <c r="E592" s="5" t="n">
        <v>245</v>
      </c>
      <c r="F592" s="5" t="n">
        <v>331</v>
      </c>
      <c r="G592" s="5" t="n">
        <v>331</v>
      </c>
      <c r="H592" s="14">
        <f>IF(AND(ISNUMBER(C592),C592&gt;0,ISNUMBER(G592)),G592/C592-1,"")</f>
        <v/>
      </c>
    </row>
    <row r="593">
      <c r="A593" s="12" t="inlineStr">
        <is>
          <t>703</t>
        </is>
      </c>
      <c r="B593" s="15" t="inlineStr">
        <is>
          <t>Draw</t>
        </is>
      </c>
      <c r="C593" s="5" t="n">
        <v>430</v>
      </c>
      <c r="D593" s="5" t="n">
        <v>522</v>
      </c>
      <c r="E593" s="5" t="n">
        <v>449</v>
      </c>
      <c r="F593" s="5" t="n">
        <v>338</v>
      </c>
      <c r="G593" s="5" t="n">
        <v>459</v>
      </c>
      <c r="H593" s="14">
        <f>IF(AND(ISNUMBER(C593),C593&gt;0,ISNUMBER(G593)),G593/C593-1,"")</f>
        <v/>
      </c>
    </row>
    <row r="594">
      <c r="A594" s="12" t="inlineStr">
        <is>
          <t>704</t>
        </is>
      </c>
      <c r="B594" s="15" t="inlineStr">
        <is>
          <t>Draw</t>
        </is>
      </c>
      <c r="C594" s="5" t="n">
        <v>687</v>
      </c>
      <c r="D594" s="5" t="n">
        <v>753</v>
      </c>
      <c r="E594" s="5" t="n">
        <v>879</v>
      </c>
      <c r="F594" s="5" t="n">
        <v>668</v>
      </c>
      <c r="G594" s="5" t="n">
        <v>708</v>
      </c>
      <c r="H594" s="14">
        <f>IF(AND(ISNUMBER(C594),C594&gt;0,ISNUMBER(G594)),G594/C594-1,"")</f>
        <v/>
      </c>
    </row>
    <row r="595">
      <c r="A595" s="12" t="inlineStr">
        <is>
          <t>705</t>
        </is>
      </c>
      <c r="B595" s="15" t="inlineStr">
        <is>
          <t>Draw</t>
        </is>
      </c>
      <c r="C595" s="5" t="n">
        <v>1135</v>
      </c>
      <c r="D595" s="5" t="n">
        <v>1255</v>
      </c>
      <c r="E595" s="5" t="n">
        <v>1337</v>
      </c>
      <c r="F595" s="5" t="n">
        <v>1594</v>
      </c>
      <c r="G595" s="5" t="n">
        <v>2091</v>
      </c>
      <c r="H595" s="14">
        <f>IF(AND(ISNUMBER(C595),C595&gt;0,ISNUMBER(G595)),G595/C595-1,"")</f>
        <v/>
      </c>
    </row>
  </sheetData>
  <conditionalFormatting sqref="C6:G170">
    <cfRule type="colorScale" priority="1">
      <colorScale>
        <cfvo type="min"/>
        <cfvo type="percentile" val="95"/>
        <color rgb="00FFFDF8"/>
        <color rgb="005E9C6A"/>
      </colorScale>
    </cfRule>
  </conditionalFormatting>
  <conditionalFormatting sqref="H6:H170">
    <cfRule type="colorScale" priority="2">
      <colorScale>
        <cfvo type="num" val="-0.6"/>
        <cfvo type="num" val="0"/>
        <cfvo type="num" val="0.6"/>
        <color rgb="00E8A397"/>
        <color rgb="00FFFFFF"/>
        <color rgb="009CCB9F"/>
      </colorScale>
    </cfRule>
  </conditionalFormatting>
  <conditionalFormatting sqref="C175:G338">
    <cfRule type="colorScale" priority="3">
      <colorScale>
        <cfvo type="min"/>
        <cfvo type="percentile" val="95"/>
        <color rgb="00FFFDF8"/>
        <color rgb="005E9C6A"/>
      </colorScale>
    </cfRule>
  </conditionalFormatting>
  <conditionalFormatting sqref="H175:H338">
    <cfRule type="colorScale" priority="4">
      <colorScale>
        <cfvo type="num" val="-0.6"/>
        <cfvo type="num" val="0"/>
        <cfvo type="num" val="0.6"/>
        <color rgb="00E8A397"/>
        <color rgb="00FFFFFF"/>
        <color rgb="009CCB9F"/>
      </colorScale>
    </cfRule>
  </conditionalFormatting>
  <conditionalFormatting sqref="C343:G514">
    <cfRule type="colorScale" priority="5">
      <colorScale>
        <cfvo type="min"/>
        <cfvo type="percentile" val="95"/>
        <color rgb="00FFFDF8"/>
        <color rgb="005E9C6A"/>
      </colorScale>
    </cfRule>
  </conditionalFormatting>
  <conditionalFormatting sqref="H343:H514">
    <cfRule type="colorScale" priority="6">
      <colorScale>
        <cfvo type="num" val="-0.6"/>
        <cfvo type="num" val="0"/>
        <cfvo type="num" val="0.6"/>
        <color rgb="00E8A397"/>
        <color rgb="00FFFFFF"/>
        <color rgb="009CCB9F"/>
      </colorScale>
    </cfRule>
  </conditionalFormatting>
  <conditionalFormatting sqref="C519:G595">
    <cfRule type="colorScale" priority="7">
      <colorScale>
        <cfvo type="min"/>
        <cfvo type="percentile" val="95"/>
        <color rgb="00FFFDF8"/>
        <color rgb="005E9C6A"/>
      </colorScale>
    </cfRule>
  </conditionalFormatting>
  <conditionalFormatting sqref="H519:H595">
    <cfRule type="colorScale" priority="8">
      <colorScale>
        <cfvo type="num" val="-0.6"/>
        <cfvo type="num" val="0"/>
        <cfvo type="num" val="0.6"/>
        <color rgb="00E8A397"/>
        <color rgb="00FFFFFF"/>
        <color rgb="009CCB9F"/>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68"/>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22" customWidth="1" min="3" max="3"/>
    <col width="16" customWidth="1" min="4" max="4"/>
    <col width="30" customWidth="1" min="5" max="5"/>
    <col width="15" customWidth="1" min="6" max="6"/>
    <col width="15" customWidth="1" min="7" max="7"/>
    <col width="14" customWidth="1" min="8" max="8"/>
    <col width="14" customWidth="1" min="9" max="9"/>
    <col width="10" customWidth="1" min="10" max="10"/>
    <col width="8" customWidth="1" min="11" max="11"/>
    <col width="70" customWidth="1" min="12" max="12"/>
  </cols>
  <sheetData>
    <row r="1">
      <c r="A1" s="1" t="inlineStr">
        <is>
          <t>2026 hunting opportunities by district</t>
        </is>
      </c>
    </row>
    <row r="2">
      <c r="A2" s="2" t="inlineStr">
        <is>
          <t>Read automatically from FWP's Deer, Elk &amp; Antelope regulations booklet. Always check the official booklet before you hunt.</t>
        </is>
      </c>
    </row>
    <row r="4">
      <c r="A4" s="3" t="inlineStr">
        <is>
          <t>District</t>
        </is>
      </c>
      <c r="B4" s="3" t="inlineStr">
        <is>
          <t>Species</t>
        </is>
      </c>
      <c r="C4" s="3" t="inlineStr">
        <is>
          <t>License</t>
        </is>
      </c>
      <c r="D4" s="3" t="inlineStr">
        <is>
          <t>How you get it</t>
        </is>
      </c>
      <c r="E4" s="3" t="inlineStr">
        <is>
          <t>Legal animal</t>
        </is>
      </c>
      <c r="F4" s="3" t="inlineStr">
        <is>
          <t>Archery</t>
        </is>
      </c>
      <c r="G4" s="3" t="inlineStr">
        <is>
          <t>General (rifle)</t>
        </is>
      </c>
      <c r="H4" s="3" t="inlineStr">
        <is>
          <t>Muzzleloader</t>
        </is>
      </c>
      <c r="I4" s="3" t="inlineStr">
        <is>
          <t>Late</t>
        </is>
      </c>
      <c r="J4" s="3" t="inlineStr">
        <is>
          <t>Apply by</t>
        </is>
      </c>
      <c r="K4" s="3" t="inlineStr">
        <is>
          <t>Quota</t>
        </is>
      </c>
      <c r="L4" s="3" t="inlineStr">
        <is>
          <t>Details</t>
        </is>
      </c>
    </row>
    <row r="5">
      <c r="A5" s="4" t="inlineStr">
        <is>
          <t>215</t>
        </is>
      </c>
      <c r="B5" s="4" t="inlineStr">
        <is>
          <t>antelope</t>
        </is>
      </c>
      <c r="C5" s="4" t="inlineStr">
        <is>
          <t>Antelope License: 215-20</t>
        </is>
      </c>
      <c r="D5" s="15" t="inlineStr">
        <is>
          <t>Drawing</t>
        </is>
      </c>
      <c r="E5" s="4" t="inlineStr">
        <is>
          <t>Either-sex Antelope</t>
        </is>
      </c>
      <c r="F5" s="4" t="inlineStr">
        <is>
          <t>Sept. 05-Oct. 09</t>
        </is>
      </c>
      <c r="G5" s="4" t="inlineStr">
        <is>
          <t>Oct. 10-Nov. 08</t>
        </is>
      </c>
      <c r="H5" s="4" t="n"/>
      <c r="I5" s="4" t="n"/>
      <c r="J5" s="4" t="inlineStr">
        <is>
          <t>June 1</t>
        </is>
      </c>
      <c r="K5" s="4" t="inlineStr">
        <is>
          <t>5</t>
        </is>
      </c>
      <c r="L5" s="4" t="n"/>
    </row>
    <row r="6">
      <c r="A6" s="4" t="inlineStr">
        <is>
          <t>215</t>
        </is>
      </c>
      <c r="B6" s="4" t="inlineStr">
        <is>
          <t>antelope</t>
        </is>
      </c>
      <c r="C6" s="4" t="inlineStr">
        <is>
          <t>Antelope B License: 215-30</t>
        </is>
      </c>
      <c r="D6" s="15" t="inlineStr">
        <is>
          <t>Drawing</t>
        </is>
      </c>
      <c r="E6" s="4" t="inlineStr">
        <is>
          <t>Doe/Fawn Antelope</t>
        </is>
      </c>
      <c r="F6" s="4" t="inlineStr">
        <is>
          <t>Sept. 05-Oct. 09</t>
        </is>
      </c>
      <c r="G6" s="4" t="inlineStr">
        <is>
          <t>Oct. 10-Nov. 08</t>
        </is>
      </c>
      <c r="H6" s="4" t="n"/>
      <c r="I6" s="4" t="n"/>
      <c r="J6" s="4" t="inlineStr">
        <is>
          <t>June 1</t>
        </is>
      </c>
      <c r="K6" s="4" t="inlineStr">
        <is>
          <t>1</t>
        </is>
      </c>
      <c r="L6" s="4" t="n"/>
    </row>
    <row r="7">
      <c r="A7" s="4" t="inlineStr">
        <is>
          <t>291</t>
        </is>
      </c>
      <c r="B7" s="4" t="inlineStr">
        <is>
          <t>antelope</t>
        </is>
      </c>
      <c r="C7" s="4" t="inlineStr">
        <is>
          <t>Antelope License: 291-20</t>
        </is>
      </c>
      <c r="D7" s="15" t="inlineStr">
        <is>
          <t>Drawing</t>
        </is>
      </c>
      <c r="E7" s="4" t="inlineStr">
        <is>
          <t>Either-sex Antelope</t>
        </is>
      </c>
      <c r="F7" s="4" t="inlineStr">
        <is>
          <t>Sept. 05-Oct. 09</t>
        </is>
      </c>
      <c r="G7" s="4" t="inlineStr">
        <is>
          <t>Oct. 10-Nov. 08</t>
        </is>
      </c>
      <c r="H7" s="4" t="n"/>
      <c r="I7" s="4" t="n"/>
      <c r="J7" s="4" t="inlineStr">
        <is>
          <t>June 1</t>
        </is>
      </c>
      <c r="K7" s="4" t="inlineStr">
        <is>
          <t>1</t>
        </is>
      </c>
      <c r="L7" s="4" t="n"/>
    </row>
    <row r="8">
      <c r="A8" s="4" t="inlineStr">
        <is>
          <t>291</t>
        </is>
      </c>
      <c r="B8" s="4" t="inlineStr">
        <is>
          <t>antelope</t>
        </is>
      </c>
      <c r="C8" s="4" t="inlineStr">
        <is>
          <t>Antelope B License: 291-30</t>
        </is>
      </c>
      <c r="D8" s="15" t="inlineStr">
        <is>
          <t>Drawing</t>
        </is>
      </c>
      <c r="E8" s="4" t="inlineStr">
        <is>
          <t>Doe/Fawn Antelope</t>
        </is>
      </c>
      <c r="F8" s="4" t="inlineStr">
        <is>
          <t>Sept. 05-Oct. 09</t>
        </is>
      </c>
      <c r="G8" s="4" t="inlineStr">
        <is>
          <t>Oct. 10-Nov. 08</t>
        </is>
      </c>
      <c r="H8" s="4" t="n"/>
      <c r="I8" s="4" t="n"/>
      <c r="J8" s="4" t="inlineStr">
        <is>
          <t>June 1</t>
        </is>
      </c>
      <c r="K8" s="4" t="inlineStr">
        <is>
          <t>1</t>
        </is>
      </c>
      <c r="L8" s="4" t="inlineStr">
        <is>
          <t>Region</t>
        </is>
      </c>
    </row>
    <row r="9">
      <c r="A9" s="4" t="inlineStr">
        <is>
          <t>300</t>
        </is>
      </c>
      <c r="B9" s="4" t="inlineStr">
        <is>
          <t>antelope</t>
        </is>
      </c>
      <c r="C9" s="4" t="inlineStr">
        <is>
          <t>Antelope License: 300-20</t>
        </is>
      </c>
      <c r="D9" s="15" t="inlineStr">
        <is>
          <t>Drawing</t>
        </is>
      </c>
      <c r="E9" s="4" t="inlineStr">
        <is>
          <t>Either-sex Antelope</t>
        </is>
      </c>
      <c r="F9" s="4" t="inlineStr">
        <is>
          <t>Sept. 05-Oct. 09</t>
        </is>
      </c>
      <c r="G9" s="4" t="inlineStr">
        <is>
          <t>Oct. 10-Nov. 08</t>
        </is>
      </c>
      <c r="H9" s="4" t="n"/>
      <c r="I9" s="4" t="n"/>
      <c r="J9" s="4" t="inlineStr">
        <is>
          <t>June 1</t>
        </is>
      </c>
      <c r="K9" s="4" t="inlineStr">
        <is>
          <t>125</t>
        </is>
      </c>
      <c r="L9" s="4" t="n"/>
    </row>
    <row r="10">
      <c r="A10" s="4" t="inlineStr">
        <is>
          <t>300</t>
        </is>
      </c>
      <c r="B10" s="4" t="inlineStr">
        <is>
          <t>antelope</t>
        </is>
      </c>
      <c r="C10" s="4" t="inlineStr">
        <is>
          <t>Antelope B License: 300-30</t>
        </is>
      </c>
      <c r="D10" s="15" t="inlineStr">
        <is>
          <t>Drawing</t>
        </is>
      </c>
      <c r="E10" s="4" t="inlineStr">
        <is>
          <t>Doe/Fawn Antelope</t>
        </is>
      </c>
      <c r="F10" s="4" t="inlineStr">
        <is>
          <t>Sept. 05-Oct. 09</t>
        </is>
      </c>
      <c r="G10" s="4" t="inlineStr">
        <is>
          <t>Oct. 10-Nov. 08</t>
        </is>
      </c>
      <c r="H10" s="4" t="n"/>
      <c r="I10" s="4" t="n"/>
      <c r="J10" s="4" t="inlineStr">
        <is>
          <t>June 1</t>
        </is>
      </c>
      <c r="K10" s="4" t="inlineStr">
        <is>
          <t>10</t>
        </is>
      </c>
      <c r="L10" s="4" t="n"/>
    </row>
    <row r="11">
      <c r="A11" s="4" t="inlineStr">
        <is>
          <t>300</t>
        </is>
      </c>
      <c r="B11" s="4" t="inlineStr">
        <is>
          <t>antelope</t>
        </is>
      </c>
      <c r="C11" s="4" t="inlineStr">
        <is>
          <t>Antelope License: 399-20</t>
        </is>
      </c>
      <c r="D11" s="15" t="inlineStr">
        <is>
          <t>Drawing</t>
        </is>
      </c>
      <c r="E11" s="4" t="inlineStr">
        <is>
          <t>Either-sex Antelope</t>
        </is>
      </c>
      <c r="F11" s="4" t="n"/>
      <c r="G11" s="4" t="inlineStr">
        <is>
          <t>Aug. 15-Nov. 08</t>
        </is>
      </c>
      <c r="H11" s="4" t="n"/>
      <c r="I11" s="4" t="n"/>
      <c r="J11" s="4" t="inlineStr">
        <is>
          <t>June 1</t>
        </is>
      </c>
      <c r="K11" s="4" t="inlineStr">
        <is>
          <t>500</t>
        </is>
      </c>
      <c r="L11" s="4" t="inlineStr">
        <is>
          <t>First and only choice. ArchEquip only.</t>
        </is>
      </c>
    </row>
    <row r="12">
      <c r="A12" s="4" t="inlineStr">
        <is>
          <t>301</t>
        </is>
      </c>
      <c r="B12" s="4" t="inlineStr">
        <is>
          <t>antelope</t>
        </is>
      </c>
      <c r="C12" s="4" t="inlineStr">
        <is>
          <t>Antelope License: 301-20</t>
        </is>
      </c>
      <c r="D12" s="15" t="inlineStr">
        <is>
          <t>Drawing</t>
        </is>
      </c>
      <c r="E12" s="4" t="inlineStr">
        <is>
          <t>Either-sex Antelope</t>
        </is>
      </c>
      <c r="F12" s="4" t="inlineStr">
        <is>
          <t>Sept. 05-Oct. 09</t>
        </is>
      </c>
      <c r="G12" s="4" t="inlineStr">
        <is>
          <t>Oct. 10-Nov. 08</t>
        </is>
      </c>
      <c r="H12" s="4" t="n"/>
      <c r="I12" s="4" t="n"/>
      <c r="J12" s="4" t="inlineStr">
        <is>
          <t>June 1</t>
        </is>
      </c>
      <c r="K12" s="4" t="inlineStr">
        <is>
          <t>20</t>
        </is>
      </c>
      <c r="L12" s="4" t="n"/>
    </row>
    <row r="13">
      <c r="A13" s="4" t="inlineStr">
        <is>
          <t>301</t>
        </is>
      </c>
      <c r="B13" s="4" t="inlineStr">
        <is>
          <t>antelope</t>
        </is>
      </c>
      <c r="C13" s="4" t="inlineStr">
        <is>
          <t>Antelope License: 399-20</t>
        </is>
      </c>
      <c r="D13" s="15" t="inlineStr">
        <is>
          <t>Drawing</t>
        </is>
      </c>
      <c r="E13" s="4" t="inlineStr">
        <is>
          <t>Either-sex Antelope</t>
        </is>
      </c>
      <c r="F13" s="4" t="n"/>
      <c r="G13" s="4" t="inlineStr">
        <is>
          <t>Aug. 15-Nov. 08</t>
        </is>
      </c>
      <c r="H13" s="4" t="n"/>
      <c r="I13" s="4" t="n"/>
      <c r="J13" s="4" t="inlineStr">
        <is>
          <t>June 1</t>
        </is>
      </c>
      <c r="K13" s="4" t="inlineStr">
        <is>
          <t>500</t>
        </is>
      </c>
      <c r="L13" s="4" t="inlineStr">
        <is>
          <t>First and only choice. ArchEquip only.</t>
        </is>
      </c>
    </row>
    <row r="14">
      <c r="A14" s="4" t="inlineStr">
        <is>
          <t>310</t>
        </is>
      </c>
      <c r="B14" s="4" t="inlineStr">
        <is>
          <t>antelope</t>
        </is>
      </c>
      <c r="C14" s="4" t="inlineStr">
        <is>
          <t>Antelope License: 310-20</t>
        </is>
      </c>
      <c r="D14" s="15" t="inlineStr">
        <is>
          <t>Drawing</t>
        </is>
      </c>
      <c r="E14" s="4" t="inlineStr">
        <is>
          <t>Either-sex Antelope</t>
        </is>
      </c>
      <c r="F14" s="4" t="inlineStr">
        <is>
          <t>Sept. 05-Oct. 09</t>
        </is>
      </c>
      <c r="G14" s="4" t="inlineStr">
        <is>
          <t>Oct. 10-Nov. 08</t>
        </is>
      </c>
      <c r="H14" s="4" t="n"/>
      <c r="I14" s="4" t="n"/>
      <c r="J14" s="4" t="inlineStr">
        <is>
          <t>June 1</t>
        </is>
      </c>
      <c r="K14" s="4" t="inlineStr">
        <is>
          <t>75</t>
        </is>
      </c>
      <c r="L14" s="4" t="n"/>
    </row>
    <row r="15">
      <c r="A15" s="4" t="inlineStr">
        <is>
          <t>310</t>
        </is>
      </c>
      <c r="B15" s="4" t="inlineStr">
        <is>
          <t>antelope</t>
        </is>
      </c>
      <c r="C15" s="4" t="inlineStr">
        <is>
          <t>Antelope B License: 310-30</t>
        </is>
      </c>
      <c r="D15" s="15" t="inlineStr">
        <is>
          <t>Drawing</t>
        </is>
      </c>
      <c r="E15" s="4" t="inlineStr">
        <is>
          <t>Doe/Fawn Antelope</t>
        </is>
      </c>
      <c r="F15" s="4" t="inlineStr">
        <is>
          <t>Sept. 05-Oct. 09</t>
        </is>
      </c>
      <c r="G15" s="4" t="inlineStr">
        <is>
          <t>Oct. 10-Nov. 08</t>
        </is>
      </c>
      <c r="H15" s="4" t="n"/>
      <c r="I15" s="4" t="n"/>
      <c r="J15" s="4" t="inlineStr">
        <is>
          <t>June 1</t>
        </is>
      </c>
      <c r="K15" s="4" t="inlineStr">
        <is>
          <t>50</t>
        </is>
      </c>
      <c r="L15" s="4" t="n"/>
    </row>
    <row r="16">
      <c r="A16" s="4" t="inlineStr">
        <is>
          <t>310</t>
        </is>
      </c>
      <c r="B16" s="4" t="inlineStr">
        <is>
          <t>antelope</t>
        </is>
      </c>
      <c r="C16" s="4" t="inlineStr">
        <is>
          <t>Antelope License: 399-20</t>
        </is>
      </c>
      <c r="D16" s="15" t="inlineStr">
        <is>
          <t>Drawing</t>
        </is>
      </c>
      <c r="E16" s="4" t="inlineStr">
        <is>
          <t>Either-sex Antelope</t>
        </is>
      </c>
      <c r="F16" s="4" t="n"/>
      <c r="G16" s="4" t="inlineStr">
        <is>
          <t>Aug. 15-Nov. 08</t>
        </is>
      </c>
      <c r="H16" s="4" t="n"/>
      <c r="I16" s="4" t="n"/>
      <c r="J16" s="4" t="inlineStr">
        <is>
          <t>June 1</t>
        </is>
      </c>
      <c r="K16" s="4" t="inlineStr">
        <is>
          <t>500</t>
        </is>
      </c>
      <c r="L16" s="4" t="inlineStr">
        <is>
          <t>First and only choice. ArchEquip only.</t>
        </is>
      </c>
    </row>
    <row r="17">
      <c r="A17" s="4" t="inlineStr">
        <is>
          <t>311</t>
        </is>
      </c>
      <c r="B17" s="4" t="inlineStr">
        <is>
          <t>antelope</t>
        </is>
      </c>
      <c r="C17" s="4" t="inlineStr">
        <is>
          <t>Antelope License: 311-20</t>
        </is>
      </c>
      <c r="D17" s="15" t="inlineStr">
        <is>
          <t>Drawing</t>
        </is>
      </c>
      <c r="E17" s="4" t="inlineStr">
        <is>
          <t>Either-sex Antelope</t>
        </is>
      </c>
      <c r="F17" s="4" t="inlineStr">
        <is>
          <t>Sept. 05-Oct. 09</t>
        </is>
      </c>
      <c r="G17" s="4" t="inlineStr">
        <is>
          <t>Oct. 10-Nov. 08</t>
        </is>
      </c>
      <c r="H17" s="4" t="n"/>
      <c r="I17" s="4" t="n"/>
      <c r="J17" s="4" t="inlineStr">
        <is>
          <t>June 1</t>
        </is>
      </c>
      <c r="K17" s="4" t="inlineStr">
        <is>
          <t>75</t>
        </is>
      </c>
      <c r="L17" s="4" t="n"/>
    </row>
    <row r="18">
      <c r="A18" s="4" t="inlineStr">
        <is>
          <t>311</t>
        </is>
      </c>
      <c r="B18" s="4" t="inlineStr">
        <is>
          <t>antelope</t>
        </is>
      </c>
      <c r="C18" s="4" t="inlineStr">
        <is>
          <t>Antelope License: 399-20</t>
        </is>
      </c>
      <c r="D18" s="15" t="inlineStr">
        <is>
          <t>Drawing</t>
        </is>
      </c>
      <c r="E18" s="4" t="inlineStr">
        <is>
          <t>Either-sex Antelope</t>
        </is>
      </c>
      <c r="F18" s="4" t="n"/>
      <c r="G18" s="4" t="inlineStr">
        <is>
          <t>Aug. 15-Nov. 08</t>
        </is>
      </c>
      <c r="H18" s="4" t="n"/>
      <c r="I18" s="4" t="n"/>
      <c r="J18" s="4" t="inlineStr">
        <is>
          <t>June 1</t>
        </is>
      </c>
      <c r="K18" s="4" t="inlineStr">
        <is>
          <t>500</t>
        </is>
      </c>
      <c r="L18" s="4" t="inlineStr">
        <is>
          <t>First and only choice. ArchEquip only.</t>
        </is>
      </c>
    </row>
    <row r="19">
      <c r="A19" s="4" t="inlineStr">
        <is>
          <t>313</t>
        </is>
      </c>
      <c r="B19" s="4" t="inlineStr">
        <is>
          <t>antelope</t>
        </is>
      </c>
      <c r="C19" s="4" t="inlineStr">
        <is>
          <t>Antelope License: 313-20</t>
        </is>
      </c>
      <c r="D19" s="15" t="inlineStr">
        <is>
          <t>Drawing</t>
        </is>
      </c>
      <c r="E19" s="4" t="inlineStr">
        <is>
          <t>Either-sex Antelope</t>
        </is>
      </c>
      <c r="F19" s="4" t="inlineStr">
        <is>
          <t>Sept. 05-Oct. 09</t>
        </is>
      </c>
      <c r="G19" s="4" t="inlineStr">
        <is>
          <t>Oct. 10-Nov. 08</t>
        </is>
      </c>
      <c r="H19" s="4" t="n"/>
      <c r="I19" s="4" t="n"/>
      <c r="J19" s="4" t="inlineStr">
        <is>
          <t>June 1</t>
        </is>
      </c>
      <c r="K19" s="4" t="inlineStr">
        <is>
          <t>10</t>
        </is>
      </c>
      <c r="L19" s="4" t="n"/>
    </row>
    <row r="20">
      <c r="A20" s="4" t="inlineStr">
        <is>
          <t>317</t>
        </is>
      </c>
      <c r="B20" s="4" t="inlineStr">
        <is>
          <t>antelope</t>
        </is>
      </c>
      <c r="C20" s="4" t="inlineStr">
        <is>
          <t>Antelope License: 317-20</t>
        </is>
      </c>
      <c r="D20" s="15" t="inlineStr">
        <is>
          <t>Drawing</t>
        </is>
      </c>
      <c r="E20" s="4" t="inlineStr">
        <is>
          <t>Either-sex Antelope</t>
        </is>
      </c>
      <c r="F20" s="4" t="inlineStr">
        <is>
          <t>Sept. 05-Oct. 09</t>
        </is>
      </c>
      <c r="G20" s="4" t="inlineStr">
        <is>
          <t>Oct. 10-Nov. 08</t>
        </is>
      </c>
      <c r="H20" s="4" t="n"/>
      <c r="I20" s="4" t="n"/>
      <c r="J20" s="4" t="inlineStr">
        <is>
          <t>June 1</t>
        </is>
      </c>
      <c r="K20" s="4" t="inlineStr">
        <is>
          <t>50</t>
        </is>
      </c>
      <c r="L20" s="4" t="n"/>
    </row>
    <row r="21">
      <c r="A21" s="4" t="inlineStr">
        <is>
          <t>317</t>
        </is>
      </c>
      <c r="B21" s="4" t="inlineStr">
        <is>
          <t>antelope</t>
        </is>
      </c>
      <c r="C21" s="4" t="inlineStr">
        <is>
          <t>Antelope License: 399-20</t>
        </is>
      </c>
      <c r="D21" s="15" t="inlineStr">
        <is>
          <t>Drawing</t>
        </is>
      </c>
      <c r="E21" s="4" t="inlineStr">
        <is>
          <t>Either-sex Antelope</t>
        </is>
      </c>
      <c r="F21" s="4" t="n"/>
      <c r="G21" s="4" t="inlineStr">
        <is>
          <t>Aug. 15-Nov. 08</t>
        </is>
      </c>
      <c r="H21" s="4" t="n"/>
      <c r="I21" s="4" t="n"/>
      <c r="J21" s="4" t="inlineStr">
        <is>
          <t>June 1</t>
        </is>
      </c>
      <c r="K21" s="4" t="inlineStr">
        <is>
          <t>500</t>
        </is>
      </c>
      <c r="L21" s="4" t="inlineStr">
        <is>
          <t>First and only choice. ArchEquip only.</t>
        </is>
      </c>
    </row>
    <row r="22">
      <c r="A22" s="4" t="inlineStr">
        <is>
          <t>318</t>
        </is>
      </c>
      <c r="B22" s="4" t="inlineStr">
        <is>
          <t>antelope</t>
        </is>
      </c>
      <c r="C22" s="4" t="inlineStr">
        <is>
          <t>Antelope License: 318-20</t>
        </is>
      </c>
      <c r="D22" s="15" t="inlineStr">
        <is>
          <t>Drawing</t>
        </is>
      </c>
      <c r="E22" s="4" t="inlineStr">
        <is>
          <t>Either-sex Antelope</t>
        </is>
      </c>
      <c r="F22" s="4" t="inlineStr">
        <is>
          <t>Sept. 05-Oct. 09</t>
        </is>
      </c>
      <c r="G22" s="4" t="inlineStr">
        <is>
          <t>Oct. 10-Nov. 08</t>
        </is>
      </c>
      <c r="H22" s="4" t="n"/>
      <c r="I22" s="4" t="n"/>
      <c r="J22" s="4" t="inlineStr">
        <is>
          <t>June 1</t>
        </is>
      </c>
      <c r="K22" s="4" t="inlineStr">
        <is>
          <t>50</t>
        </is>
      </c>
      <c r="L22" s="4" t="n"/>
    </row>
    <row r="23">
      <c r="A23" s="4" t="inlineStr">
        <is>
          <t>318</t>
        </is>
      </c>
      <c r="B23" s="4" t="inlineStr">
        <is>
          <t>antelope</t>
        </is>
      </c>
      <c r="C23" s="4" t="inlineStr">
        <is>
          <t>Antelope B License: 318-30</t>
        </is>
      </c>
      <c r="D23" s="15" t="inlineStr">
        <is>
          <t>Drawing</t>
        </is>
      </c>
      <c r="E23" s="4" t="inlineStr">
        <is>
          <t>Doe/Fawn Antelope</t>
        </is>
      </c>
      <c r="F23" s="4" t="inlineStr">
        <is>
          <t>Sept. 05-Oct. 09</t>
        </is>
      </c>
      <c r="G23" s="4" t="inlineStr">
        <is>
          <t>Oct. 10-Nov. 08</t>
        </is>
      </c>
      <c r="H23" s="4" t="n"/>
      <c r="I23" s="4" t="n"/>
      <c r="J23" s="4" t="inlineStr">
        <is>
          <t>June 1</t>
        </is>
      </c>
      <c r="K23" s="4" t="inlineStr">
        <is>
          <t>50</t>
        </is>
      </c>
      <c r="L23" s="4" t="n"/>
    </row>
    <row r="24">
      <c r="A24" s="4" t="inlineStr">
        <is>
          <t>318</t>
        </is>
      </c>
      <c r="B24" s="4" t="inlineStr">
        <is>
          <t>antelope</t>
        </is>
      </c>
      <c r="C24" s="4" t="inlineStr">
        <is>
          <t>Antelope License: 399-20</t>
        </is>
      </c>
      <c r="D24" s="15" t="inlineStr">
        <is>
          <t>Drawing</t>
        </is>
      </c>
      <c r="E24" s="4" t="inlineStr">
        <is>
          <t>Either-sex Antelope</t>
        </is>
      </c>
      <c r="F24" s="4" t="n"/>
      <c r="G24" s="4" t="inlineStr">
        <is>
          <t>Aug. 15-Nov. 08</t>
        </is>
      </c>
      <c r="H24" s="4" t="n"/>
      <c r="I24" s="4" t="n"/>
      <c r="J24" s="4" t="inlineStr">
        <is>
          <t>June 1</t>
        </is>
      </c>
      <c r="K24" s="4" t="inlineStr">
        <is>
          <t>500</t>
        </is>
      </c>
      <c r="L24" s="4" t="inlineStr">
        <is>
          <t>First and only choice. ArchEquip only.</t>
        </is>
      </c>
    </row>
    <row r="25">
      <c r="A25" s="4" t="inlineStr">
        <is>
          <t>319</t>
        </is>
      </c>
      <c r="B25" s="4" t="inlineStr">
        <is>
          <t>antelope</t>
        </is>
      </c>
      <c r="C25" s="4" t="inlineStr">
        <is>
          <t>Antelope License: 319-20</t>
        </is>
      </c>
      <c r="D25" s="15" t="inlineStr">
        <is>
          <t>Drawing</t>
        </is>
      </c>
      <c r="E25" s="4" t="inlineStr">
        <is>
          <t>Either-sex Antelope</t>
        </is>
      </c>
      <c r="F25" s="4" t="inlineStr">
        <is>
          <t>Sept. 05-Oct. 09</t>
        </is>
      </c>
      <c r="G25" s="4" t="inlineStr">
        <is>
          <t>Oct. 10-Nov. 08</t>
        </is>
      </c>
      <c r="H25" s="4" t="n"/>
      <c r="I25" s="4" t="n"/>
      <c r="J25" s="4" t="inlineStr">
        <is>
          <t>June 1</t>
        </is>
      </c>
      <c r="K25" s="4" t="inlineStr">
        <is>
          <t>50</t>
        </is>
      </c>
      <c r="L25" s="4" t="n"/>
    </row>
    <row r="26">
      <c r="A26" s="4" t="inlineStr">
        <is>
          <t>319</t>
        </is>
      </c>
      <c r="B26" s="4" t="inlineStr">
        <is>
          <t>antelope</t>
        </is>
      </c>
      <c r="C26" s="4" t="inlineStr">
        <is>
          <t>Antelope B License: 319-30</t>
        </is>
      </c>
      <c r="D26" s="15" t="inlineStr">
        <is>
          <t>Drawing</t>
        </is>
      </c>
      <c r="E26" s="4" t="inlineStr">
        <is>
          <t>Doe/Fawn Antelope</t>
        </is>
      </c>
      <c r="F26" s="4" t="inlineStr">
        <is>
          <t>Sept. 05-Oct. 09</t>
        </is>
      </c>
      <c r="G26" s="4" t="inlineStr">
        <is>
          <t>Oct. 10-Nov. 08</t>
        </is>
      </c>
      <c r="H26" s="4" t="n"/>
      <c r="I26" s="4" t="n"/>
      <c r="J26" s="4" t="inlineStr">
        <is>
          <t>June 1</t>
        </is>
      </c>
      <c r="K26" s="4" t="inlineStr">
        <is>
          <t>50</t>
        </is>
      </c>
      <c r="L26" s="4" t="n"/>
    </row>
    <row r="27">
      <c r="A27" s="4" t="inlineStr">
        <is>
          <t>319</t>
        </is>
      </c>
      <c r="B27" s="4" t="inlineStr">
        <is>
          <t>antelope</t>
        </is>
      </c>
      <c r="C27" s="4" t="inlineStr">
        <is>
          <t>Antelope License: 399-20</t>
        </is>
      </c>
      <c r="D27" s="15" t="inlineStr">
        <is>
          <t>Drawing</t>
        </is>
      </c>
      <c r="E27" s="4" t="inlineStr">
        <is>
          <t>Either-sex Antelope</t>
        </is>
      </c>
      <c r="F27" s="4" t="n"/>
      <c r="G27" s="4" t="inlineStr">
        <is>
          <t>Aug. 15-Nov. 08</t>
        </is>
      </c>
      <c r="H27" s="4" t="n"/>
      <c r="I27" s="4" t="n"/>
      <c r="J27" s="4" t="inlineStr">
        <is>
          <t>June 1</t>
        </is>
      </c>
      <c r="K27" s="4" t="inlineStr">
        <is>
          <t>500</t>
        </is>
      </c>
      <c r="L27" s="4" t="inlineStr">
        <is>
          <t>First and only choice. ArchEquip only. 137 2026 Deer • Elk • Antelope Visit fwp.mt.gov</t>
        </is>
      </c>
    </row>
    <row r="28">
      <c r="A28" s="4" t="inlineStr">
        <is>
          <t>320</t>
        </is>
      </c>
      <c r="B28" s="4" t="inlineStr">
        <is>
          <t>antelope</t>
        </is>
      </c>
      <c r="C28" s="4" t="inlineStr">
        <is>
          <t>Antelope License: 320-20</t>
        </is>
      </c>
      <c r="D28" s="15" t="inlineStr">
        <is>
          <t>Drawing</t>
        </is>
      </c>
      <c r="E28" s="4" t="inlineStr">
        <is>
          <t>Either-sex Antelope</t>
        </is>
      </c>
      <c r="F28" s="4" t="inlineStr">
        <is>
          <t>Sept. 05-Oct. 09</t>
        </is>
      </c>
      <c r="G28" s="4" t="inlineStr">
        <is>
          <t>Oct. 10-Nov. 08</t>
        </is>
      </c>
      <c r="H28" s="4" t="n"/>
      <c r="I28" s="4" t="n"/>
      <c r="J28" s="4" t="inlineStr">
        <is>
          <t>June 1</t>
        </is>
      </c>
      <c r="K28" s="4" t="inlineStr">
        <is>
          <t>25</t>
        </is>
      </c>
      <c r="L28" s="4" t="n"/>
    </row>
    <row r="29">
      <c r="A29" s="4" t="inlineStr">
        <is>
          <t>320</t>
        </is>
      </c>
      <c r="B29" s="4" t="inlineStr">
        <is>
          <t>antelope</t>
        </is>
      </c>
      <c r="C29" s="4" t="inlineStr">
        <is>
          <t>Antelope B License: 320-30</t>
        </is>
      </c>
      <c r="D29" s="15" t="inlineStr">
        <is>
          <t>Drawing</t>
        </is>
      </c>
      <c r="E29" s="4" t="inlineStr">
        <is>
          <t>Doe/Fawn Antelope</t>
        </is>
      </c>
      <c r="F29" s="4" t="inlineStr">
        <is>
          <t>Sept. 05-Oct. 09</t>
        </is>
      </c>
      <c r="G29" s="4" t="inlineStr">
        <is>
          <t>Oct. 10-Nov. 08</t>
        </is>
      </c>
      <c r="H29" s="4" t="n"/>
      <c r="I29" s="4" t="n"/>
      <c r="J29" s="4" t="inlineStr">
        <is>
          <t>June 1</t>
        </is>
      </c>
      <c r="K29" s="4" t="inlineStr">
        <is>
          <t>50</t>
        </is>
      </c>
      <c r="L29" s="4" t="n"/>
    </row>
    <row r="30">
      <c r="A30" s="4" t="inlineStr">
        <is>
          <t>320</t>
        </is>
      </c>
      <c r="B30" s="4" t="inlineStr">
        <is>
          <t>antelope</t>
        </is>
      </c>
      <c r="C30" s="4" t="inlineStr">
        <is>
          <t>Antelope License: 399-20</t>
        </is>
      </c>
      <c r="D30" s="15" t="inlineStr">
        <is>
          <t>Drawing</t>
        </is>
      </c>
      <c r="E30" s="4" t="inlineStr">
        <is>
          <t>Either-sex Antelope</t>
        </is>
      </c>
      <c r="F30" s="4" t="n"/>
      <c r="G30" s="4" t="inlineStr">
        <is>
          <t>Aug. 15-Nov. 08</t>
        </is>
      </c>
      <c r="H30" s="4" t="n"/>
      <c r="I30" s="4" t="n"/>
      <c r="J30" s="4" t="inlineStr">
        <is>
          <t>June 1</t>
        </is>
      </c>
      <c r="K30" s="4" t="inlineStr">
        <is>
          <t>500</t>
        </is>
      </c>
      <c r="L30" s="4" t="inlineStr">
        <is>
          <t>First and only choice. ArchEquip only.</t>
        </is>
      </c>
    </row>
    <row r="31">
      <c r="A31" s="4" t="inlineStr">
        <is>
          <t>322</t>
        </is>
      </c>
      <c r="B31" s="4" t="inlineStr">
        <is>
          <t>antelope</t>
        </is>
      </c>
      <c r="C31" s="4" t="inlineStr">
        <is>
          <t>Antelope License: 322-20</t>
        </is>
      </c>
      <c r="D31" s="15" t="inlineStr">
        <is>
          <t>Drawing</t>
        </is>
      </c>
      <c r="E31" s="4" t="inlineStr">
        <is>
          <t>Either-sex Antelope</t>
        </is>
      </c>
      <c r="F31" s="4" t="inlineStr">
        <is>
          <t>Sept. 05-Oct. 09</t>
        </is>
      </c>
      <c r="G31" s="4" t="inlineStr">
        <is>
          <t>Oct. 10-Nov. 08</t>
        </is>
      </c>
      <c r="H31" s="4" t="n"/>
      <c r="I31" s="4" t="n"/>
      <c r="J31" s="4" t="inlineStr">
        <is>
          <t>June 1</t>
        </is>
      </c>
      <c r="K31" s="4" t="inlineStr">
        <is>
          <t>300</t>
        </is>
      </c>
      <c r="L31" s="4" t="n"/>
    </row>
    <row r="32">
      <c r="A32" s="4" t="inlineStr">
        <is>
          <t>322</t>
        </is>
      </c>
      <c r="B32" s="4" t="inlineStr">
        <is>
          <t>antelope</t>
        </is>
      </c>
      <c r="C32" s="4" t="inlineStr">
        <is>
          <t>Antelope B License: 322-30</t>
        </is>
      </c>
      <c r="D32" s="15" t="inlineStr">
        <is>
          <t>Drawing</t>
        </is>
      </c>
      <c r="E32" s="4" t="inlineStr">
        <is>
          <t>Doe/Fawn Antelope</t>
        </is>
      </c>
      <c r="F32" s="4" t="inlineStr">
        <is>
          <t>Sept. 05-Oct. 09</t>
        </is>
      </c>
      <c r="G32" s="4" t="inlineStr">
        <is>
          <t>Oct. 10-Nov. 08</t>
        </is>
      </c>
      <c r="H32" s="4" t="n"/>
      <c r="I32" s="4" t="n"/>
      <c r="J32" s="4" t="inlineStr">
        <is>
          <t>June 1</t>
        </is>
      </c>
      <c r="K32" s="4" t="inlineStr">
        <is>
          <t>300</t>
        </is>
      </c>
      <c r="L32" s="4" t="n"/>
    </row>
    <row r="33">
      <c r="A33" s="4" t="inlineStr">
        <is>
          <t>322</t>
        </is>
      </c>
      <c r="B33" s="4" t="inlineStr">
        <is>
          <t>antelope</t>
        </is>
      </c>
      <c r="C33" s="4" t="inlineStr">
        <is>
          <t>Antelope License: 399-20</t>
        </is>
      </c>
      <c r="D33" s="15" t="inlineStr">
        <is>
          <t>Drawing</t>
        </is>
      </c>
      <c r="E33" s="4" t="inlineStr">
        <is>
          <t>Either-sex Antelope</t>
        </is>
      </c>
      <c r="F33" s="4" t="n"/>
      <c r="G33" s="4" t="inlineStr">
        <is>
          <t>Aug. 15-Nov. 08</t>
        </is>
      </c>
      <c r="H33" s="4" t="n"/>
      <c r="I33" s="4" t="n"/>
      <c r="J33" s="4" t="inlineStr">
        <is>
          <t>June 1</t>
        </is>
      </c>
      <c r="K33" s="4" t="inlineStr">
        <is>
          <t>500</t>
        </is>
      </c>
      <c r="L33" s="4" t="inlineStr">
        <is>
          <t>First and only choice. ArchEquip only.</t>
        </is>
      </c>
    </row>
    <row r="34">
      <c r="A34" s="4" t="inlineStr">
        <is>
          <t>329</t>
        </is>
      </c>
      <c r="B34" s="4" t="inlineStr">
        <is>
          <t>antelope</t>
        </is>
      </c>
      <c r="C34" s="4" t="inlineStr">
        <is>
          <t>Antelope License: 329-20</t>
        </is>
      </c>
      <c r="D34" s="15" t="inlineStr">
        <is>
          <t>Drawing</t>
        </is>
      </c>
      <c r="E34" s="4" t="inlineStr">
        <is>
          <t>Either-sex Antelope</t>
        </is>
      </c>
      <c r="F34" s="4" t="inlineStr">
        <is>
          <t>Sept. 05-Oct. 09</t>
        </is>
      </c>
      <c r="G34" s="4" t="inlineStr">
        <is>
          <t>Oct. 10-Nov. 08</t>
        </is>
      </c>
      <c r="H34" s="4" t="n"/>
      <c r="I34" s="4" t="n"/>
      <c r="J34" s="4" t="inlineStr">
        <is>
          <t>June 1</t>
        </is>
      </c>
      <c r="K34" s="4" t="inlineStr">
        <is>
          <t>100</t>
        </is>
      </c>
      <c r="L34" s="4" t="n"/>
    </row>
    <row r="35">
      <c r="A35" s="4" t="inlineStr">
        <is>
          <t>329</t>
        </is>
      </c>
      <c r="B35" s="4" t="inlineStr">
        <is>
          <t>antelope</t>
        </is>
      </c>
      <c r="C35" s="4" t="inlineStr">
        <is>
          <t>Antelope License: 399-20</t>
        </is>
      </c>
      <c r="D35" s="15" t="inlineStr">
        <is>
          <t>Drawing</t>
        </is>
      </c>
      <c r="E35" s="4" t="inlineStr">
        <is>
          <t>Either-sex Antelope</t>
        </is>
      </c>
      <c r="F35" s="4" t="n"/>
      <c r="G35" s="4" t="inlineStr">
        <is>
          <t>Aug. 15-Nov. 08</t>
        </is>
      </c>
      <c r="H35" s="4" t="n"/>
      <c r="I35" s="4" t="n"/>
      <c r="J35" s="4" t="inlineStr">
        <is>
          <t>June 1</t>
        </is>
      </c>
      <c r="K35" s="4" t="inlineStr">
        <is>
          <t>500</t>
        </is>
      </c>
      <c r="L35" s="4" t="inlineStr">
        <is>
          <t>First and only choice. ArchEquip only.</t>
        </is>
      </c>
    </row>
    <row r="36">
      <c r="A36" s="4" t="inlineStr">
        <is>
          <t>338</t>
        </is>
      </c>
      <c r="B36" s="4" t="inlineStr">
        <is>
          <t>antelope</t>
        </is>
      </c>
      <c r="C36" s="4" t="inlineStr">
        <is>
          <t>Antelope License: 338-20</t>
        </is>
      </c>
      <c r="D36" s="15" t="inlineStr">
        <is>
          <t>Drawing</t>
        </is>
      </c>
      <c r="E36" s="4" t="inlineStr">
        <is>
          <t>Either-sex Antelope</t>
        </is>
      </c>
      <c r="F36" s="4" t="inlineStr">
        <is>
          <t>Sept. 05-Oct. 09</t>
        </is>
      </c>
      <c r="G36" s="4" t="inlineStr">
        <is>
          <t>Oct. 10-Nov. 08</t>
        </is>
      </c>
      <c r="H36" s="4" t="n"/>
      <c r="I36" s="4" t="n"/>
      <c r="J36" s="4" t="inlineStr">
        <is>
          <t>June 1</t>
        </is>
      </c>
      <c r="K36" s="4" t="inlineStr">
        <is>
          <t>100</t>
        </is>
      </c>
      <c r="L36" s="4" t="n"/>
    </row>
    <row r="37">
      <c r="A37" s="4" t="inlineStr">
        <is>
          <t>338</t>
        </is>
      </c>
      <c r="B37" s="4" t="inlineStr">
        <is>
          <t>antelope</t>
        </is>
      </c>
      <c r="C37" s="4" t="inlineStr">
        <is>
          <t>Antelope License: 399-20</t>
        </is>
      </c>
      <c r="D37" s="15" t="inlineStr">
        <is>
          <t>Drawing</t>
        </is>
      </c>
      <c r="E37" s="4" t="inlineStr">
        <is>
          <t>Either-sex Antelope</t>
        </is>
      </c>
      <c r="F37" s="4" t="n"/>
      <c r="G37" s="4" t="inlineStr">
        <is>
          <t>Aug. 15-Nov. 08</t>
        </is>
      </c>
      <c r="H37" s="4" t="n"/>
      <c r="I37" s="4" t="n"/>
      <c r="J37" s="4" t="inlineStr">
        <is>
          <t>June 1</t>
        </is>
      </c>
      <c r="K37" s="4" t="inlineStr">
        <is>
          <t>500</t>
        </is>
      </c>
      <c r="L37" s="4" t="inlineStr">
        <is>
          <t>First and only choice. ArchEquip only.</t>
        </is>
      </c>
    </row>
    <row r="38">
      <c r="A38" s="4" t="inlineStr">
        <is>
          <t>339</t>
        </is>
      </c>
      <c r="B38" s="4" t="inlineStr">
        <is>
          <t>antelope</t>
        </is>
      </c>
      <c r="C38" s="4" t="inlineStr">
        <is>
          <t>Antelope License: 339-20</t>
        </is>
      </c>
      <c r="D38" s="15" t="inlineStr">
        <is>
          <t>Drawing</t>
        </is>
      </c>
      <c r="E38" s="4" t="inlineStr">
        <is>
          <t>Either-sex Antelope</t>
        </is>
      </c>
      <c r="F38" s="4" t="inlineStr">
        <is>
          <t>Sept. 05-Oct. 09</t>
        </is>
      </c>
      <c r="G38" s="4" t="inlineStr">
        <is>
          <t>Oct. 10-Nov. 08</t>
        </is>
      </c>
      <c r="H38" s="4" t="n"/>
      <c r="I38" s="4" t="n"/>
      <c r="J38" s="4" t="inlineStr">
        <is>
          <t>June 1</t>
        </is>
      </c>
      <c r="K38" s="4" t="inlineStr">
        <is>
          <t>75</t>
        </is>
      </c>
      <c r="L38" s="4" t="n"/>
    </row>
    <row r="39">
      <c r="A39" s="4" t="inlineStr">
        <is>
          <t>339</t>
        </is>
      </c>
      <c r="B39" s="4" t="inlineStr">
        <is>
          <t>antelope</t>
        </is>
      </c>
      <c r="C39" s="4" t="inlineStr">
        <is>
          <t>Antelope License: 399-20</t>
        </is>
      </c>
      <c r="D39" s="15" t="inlineStr">
        <is>
          <t>Drawing</t>
        </is>
      </c>
      <c r="E39" s="4" t="inlineStr">
        <is>
          <t>Either-sex Antelope</t>
        </is>
      </c>
      <c r="F39" s="4" t="n"/>
      <c r="G39" s="4" t="inlineStr">
        <is>
          <t>Aug. 15-Nov. 08</t>
        </is>
      </c>
      <c r="H39" s="4" t="n"/>
      <c r="I39" s="4" t="n"/>
      <c r="J39" s="4" t="inlineStr">
        <is>
          <t>June 1</t>
        </is>
      </c>
      <c r="K39" s="4" t="inlineStr">
        <is>
          <t>500</t>
        </is>
      </c>
      <c r="L39" s="4" t="inlineStr">
        <is>
          <t>First and only choice. ArchEquip only.</t>
        </is>
      </c>
    </row>
    <row r="40">
      <c r="A40" s="4" t="inlineStr">
        <is>
          <t>340</t>
        </is>
      </c>
      <c r="B40" s="4" t="inlineStr">
        <is>
          <t>antelope</t>
        </is>
      </c>
      <c r="C40" s="4" t="inlineStr">
        <is>
          <t>Antelope License: 340-20</t>
        </is>
      </c>
      <c r="D40" s="15" t="inlineStr">
        <is>
          <t>Drawing</t>
        </is>
      </c>
      <c r="E40" s="4" t="inlineStr">
        <is>
          <t>Either-sex Antelope</t>
        </is>
      </c>
      <c r="F40" s="4" t="inlineStr">
        <is>
          <t>Sept. 05-Oct. 09</t>
        </is>
      </c>
      <c r="G40" s="4" t="inlineStr">
        <is>
          <t>Oct. 10-Nov. 08</t>
        </is>
      </c>
      <c r="H40" s="4" t="n"/>
      <c r="I40" s="4" t="n"/>
      <c r="J40" s="4" t="inlineStr">
        <is>
          <t>June 1</t>
        </is>
      </c>
      <c r="K40" s="4" t="inlineStr">
        <is>
          <t>350</t>
        </is>
      </c>
      <c r="L40" s="4" t="inlineStr">
        <is>
          <t>Successful antelope either- sex 340-20 applicants may be ofered the opportunity to purchase one or more doe/fawn 340-30 (Quota: 300, Range 50-500) licenses valid in HD 340 during the same time periods and with the same restrictions.</t>
        </is>
      </c>
    </row>
    <row r="41">
      <c r="A41" s="4" t="inlineStr">
        <is>
          <t>340</t>
        </is>
      </c>
      <c r="B41" s="4" t="inlineStr">
        <is>
          <t>antelope</t>
        </is>
      </c>
      <c r="C41" s="4" t="inlineStr">
        <is>
          <t>Antelope License: 399-20</t>
        </is>
      </c>
      <c r="D41" s="15" t="inlineStr">
        <is>
          <t>Drawing</t>
        </is>
      </c>
      <c r="E41" s="4" t="inlineStr">
        <is>
          <t>Either-sex Antelope</t>
        </is>
      </c>
      <c r="F41" s="4" t="n"/>
      <c r="G41" s="4" t="inlineStr">
        <is>
          <t>Aug. 15-Nov. 08</t>
        </is>
      </c>
      <c r="H41" s="4" t="n"/>
      <c r="I41" s="4" t="n"/>
      <c r="J41" s="4" t="inlineStr">
        <is>
          <t>June 1</t>
        </is>
      </c>
      <c r="K41" s="4" t="inlineStr">
        <is>
          <t>500</t>
        </is>
      </c>
      <c r="L41" s="4" t="inlineStr">
        <is>
          <t>First and only choice. ArchEquip only.</t>
        </is>
      </c>
    </row>
    <row r="42">
      <c r="A42" s="4" t="inlineStr">
        <is>
          <t>350</t>
        </is>
      </c>
      <c r="B42" s="4" t="inlineStr">
        <is>
          <t>antelope</t>
        </is>
      </c>
      <c r="C42" s="4" t="inlineStr">
        <is>
          <t>Antelope License: 350-20</t>
        </is>
      </c>
      <c r="D42" s="15" t="inlineStr">
        <is>
          <t>Drawing</t>
        </is>
      </c>
      <c r="E42" s="4" t="inlineStr">
        <is>
          <t>Either-sex Antelope</t>
        </is>
      </c>
      <c r="F42" s="4" t="inlineStr">
        <is>
          <t>Sept. 05-Oct. 09</t>
        </is>
      </c>
      <c r="G42" s="4" t="inlineStr">
        <is>
          <t>Oct. 10-Nov. 08</t>
        </is>
      </c>
      <c r="H42" s="4" t="n"/>
      <c r="I42" s="4" t="n"/>
      <c r="J42" s="4" t="inlineStr">
        <is>
          <t>June 1</t>
        </is>
      </c>
      <c r="K42" s="4" t="inlineStr">
        <is>
          <t>55</t>
        </is>
      </c>
      <c r="L42" s="4" t="inlineStr">
        <is>
          <t>Successful antelope Either- sex 350-20 applicants may be ofered the opportunity to purchase one or more doe/fawn 350-30 (Quota: 100, Range 25-200) licenses valid in HD 350 during the same time periods and with the same restrictions.</t>
        </is>
      </c>
    </row>
    <row r="43">
      <c r="A43" s="4" t="inlineStr">
        <is>
          <t>350</t>
        </is>
      </c>
      <c r="B43" s="4" t="inlineStr">
        <is>
          <t>antelope</t>
        </is>
      </c>
      <c r="C43" s="4" t="inlineStr">
        <is>
          <t>Antelope License: 399-20</t>
        </is>
      </c>
      <c r="D43" s="15" t="inlineStr">
        <is>
          <t>Drawing</t>
        </is>
      </c>
      <c r="E43" s="4" t="inlineStr">
        <is>
          <t>Either-sex Antelope</t>
        </is>
      </c>
      <c r="F43" s="4" t="n"/>
      <c r="G43" s="4" t="inlineStr">
        <is>
          <t>Aug. 15-Nov. 08</t>
        </is>
      </c>
      <c r="H43" s="4" t="n"/>
      <c r="I43" s="4" t="n"/>
      <c r="J43" s="4" t="inlineStr">
        <is>
          <t>June 1</t>
        </is>
      </c>
      <c r="K43" s="4" t="inlineStr">
        <is>
          <t>500</t>
        </is>
      </c>
      <c r="L43" s="4" t="inlineStr">
        <is>
          <t>First and only choice. ArchEquip only.</t>
        </is>
      </c>
    </row>
    <row r="44">
      <c r="A44" s="4" t="inlineStr">
        <is>
          <t>360</t>
        </is>
      </c>
      <c r="B44" s="4" t="inlineStr">
        <is>
          <t>antelope</t>
        </is>
      </c>
      <c r="C44" s="4" t="inlineStr">
        <is>
          <t>Antelope License: 360-20</t>
        </is>
      </c>
      <c r="D44" s="15" t="inlineStr">
        <is>
          <t>Drawing</t>
        </is>
      </c>
      <c r="E44" s="4" t="inlineStr">
        <is>
          <t>Either-sex Antelope</t>
        </is>
      </c>
      <c r="F44" s="4" t="inlineStr">
        <is>
          <t>Sept. 05-Oct. 09</t>
        </is>
      </c>
      <c r="G44" s="4" t="inlineStr">
        <is>
          <t>Oct. 10-Nov. 08</t>
        </is>
      </c>
      <c r="H44" s="4" t="n"/>
      <c r="I44" s="4" t="n"/>
      <c r="J44" s="4" t="inlineStr">
        <is>
          <t>June 1</t>
        </is>
      </c>
      <c r="K44" s="4" t="inlineStr">
        <is>
          <t>350</t>
        </is>
      </c>
      <c r="L44" s="4" t="n"/>
    </row>
    <row r="45">
      <c r="A45" s="4" t="inlineStr">
        <is>
          <t>360</t>
        </is>
      </c>
      <c r="B45" s="4" t="inlineStr">
        <is>
          <t>antelope</t>
        </is>
      </c>
      <c r="C45" s="4" t="inlineStr">
        <is>
          <t>Antelope License: 399-20</t>
        </is>
      </c>
      <c r="D45" s="15" t="inlineStr">
        <is>
          <t>Drawing</t>
        </is>
      </c>
      <c r="E45" s="4" t="inlineStr">
        <is>
          <t>Either-sex Antelope</t>
        </is>
      </c>
      <c r="F45" s="4" t="n"/>
      <c r="G45" s="4" t="inlineStr">
        <is>
          <t>Aug. 15-Nov. 08</t>
        </is>
      </c>
      <c r="H45" s="4" t="n"/>
      <c r="I45" s="4" t="n"/>
      <c r="J45" s="4" t="inlineStr">
        <is>
          <t>June 1</t>
        </is>
      </c>
      <c r="K45" s="4" t="inlineStr">
        <is>
          <t>500</t>
        </is>
      </c>
      <c r="L45" s="4" t="inlineStr">
        <is>
          <t>First and only choice. ArchEquip only.</t>
        </is>
      </c>
    </row>
    <row r="46">
      <c r="A46" s="4" t="inlineStr">
        <is>
          <t>370</t>
        </is>
      </c>
      <c r="B46" s="4" t="inlineStr">
        <is>
          <t>antelope</t>
        </is>
      </c>
      <c r="C46" s="4" t="inlineStr">
        <is>
          <t>Antelope License: 370-20</t>
        </is>
      </c>
      <c r="D46" s="15" t="inlineStr">
        <is>
          <t>Drawing</t>
        </is>
      </c>
      <c r="E46" s="4" t="inlineStr">
        <is>
          <t>Either-sex Antelope</t>
        </is>
      </c>
      <c r="F46" s="4" t="inlineStr">
        <is>
          <t>Sept. 05-Oct. 09</t>
        </is>
      </c>
      <c r="G46" s="4" t="inlineStr">
        <is>
          <t>Oct. 10-Nov. 08</t>
        </is>
      </c>
      <c r="H46" s="4" t="n"/>
      <c r="I46" s="4" t="n"/>
      <c r="J46" s="4" t="inlineStr">
        <is>
          <t>June 1</t>
        </is>
      </c>
      <c r="K46" s="4" t="inlineStr">
        <is>
          <t>75</t>
        </is>
      </c>
      <c r="L46" s="4" t="inlineStr">
        <is>
          <t>Successful antelope Either- sex 370-20 applicants may be ofered the opportunity to purchase one or more doe/fawn 370-30 (Quota: 100, Range 25-250) licenses valid in HD 370 during the same time periods and with the same restrictions.</t>
        </is>
      </c>
    </row>
    <row r="47">
      <c r="A47" s="4" t="inlineStr">
        <is>
          <t>370</t>
        </is>
      </c>
      <c r="B47" s="4" t="inlineStr">
        <is>
          <t>antelope</t>
        </is>
      </c>
      <c r="C47" s="4" t="inlineStr">
        <is>
          <t>Antelope License: 399-20</t>
        </is>
      </c>
      <c r="D47" s="15" t="inlineStr">
        <is>
          <t>Drawing</t>
        </is>
      </c>
      <c r="E47" s="4" t="inlineStr">
        <is>
          <t>Either-sex Antelope</t>
        </is>
      </c>
      <c r="F47" s="4" t="n"/>
      <c r="G47" s="4" t="inlineStr">
        <is>
          <t>Aug. 15-Nov. 08</t>
        </is>
      </c>
      <c r="H47" s="4" t="n"/>
      <c r="I47" s="4" t="n"/>
      <c r="J47" s="4" t="inlineStr">
        <is>
          <t>June 1</t>
        </is>
      </c>
      <c r="K47" s="4" t="inlineStr">
        <is>
          <t>500</t>
        </is>
      </c>
      <c r="L47" s="4" t="inlineStr">
        <is>
          <t>First and only choice. ArchEquip only.</t>
        </is>
      </c>
    </row>
    <row r="48">
      <c r="A48" s="4" t="inlineStr">
        <is>
          <t>371</t>
        </is>
      </c>
      <c r="B48" s="4" t="inlineStr">
        <is>
          <t>antelope</t>
        </is>
      </c>
      <c r="C48" s="4" t="inlineStr">
        <is>
          <t>Antelope License: 371-20</t>
        </is>
      </c>
      <c r="D48" s="15" t="inlineStr">
        <is>
          <t>Drawing</t>
        </is>
      </c>
      <c r="E48" s="4" t="inlineStr">
        <is>
          <t>Either-sex Antelope</t>
        </is>
      </c>
      <c r="F48" s="4" t="inlineStr">
        <is>
          <t>Sept. 05-Oct. 09</t>
        </is>
      </c>
      <c r="G48" s="4" t="inlineStr">
        <is>
          <t>Oct. 10-Nov. 08</t>
        </is>
      </c>
      <c r="H48" s="4" t="n"/>
      <c r="I48" s="4" t="n"/>
      <c r="J48" s="4" t="inlineStr">
        <is>
          <t>June 1</t>
        </is>
      </c>
      <c r="K48" s="4" t="inlineStr">
        <is>
          <t>50</t>
        </is>
      </c>
      <c r="L48" s="4" t="n"/>
    </row>
    <row r="49">
      <c r="A49" s="4" t="inlineStr">
        <is>
          <t>371</t>
        </is>
      </c>
      <c r="B49" s="4" t="inlineStr">
        <is>
          <t>antelope</t>
        </is>
      </c>
      <c r="C49" s="4" t="inlineStr">
        <is>
          <t>Antelope B License: 371-30</t>
        </is>
      </c>
      <c r="D49" s="15" t="inlineStr">
        <is>
          <t>Drawing</t>
        </is>
      </c>
      <c r="E49" s="4" t="inlineStr">
        <is>
          <t>Doe/Fawn Antelope</t>
        </is>
      </c>
      <c r="F49" s="4" t="inlineStr">
        <is>
          <t>Sept. 05-Oct. 09</t>
        </is>
      </c>
      <c r="G49" s="4" t="inlineStr">
        <is>
          <t>Oct. 10-Nov. 08</t>
        </is>
      </c>
      <c r="H49" s="4" t="n"/>
      <c r="I49" s="4" t="n"/>
      <c r="J49" s="4" t="inlineStr">
        <is>
          <t>June 1</t>
        </is>
      </c>
      <c r="K49" s="4" t="inlineStr">
        <is>
          <t>25</t>
        </is>
      </c>
      <c r="L49" s="4" t="n"/>
    </row>
    <row r="50">
      <c r="A50" s="4" t="inlineStr">
        <is>
          <t>371</t>
        </is>
      </c>
      <c r="B50" s="4" t="inlineStr">
        <is>
          <t>antelope</t>
        </is>
      </c>
      <c r="C50" s="4" t="inlineStr">
        <is>
          <t>Antelope License: 399-20</t>
        </is>
      </c>
      <c r="D50" s="15" t="inlineStr">
        <is>
          <t>Drawing</t>
        </is>
      </c>
      <c r="E50" s="4" t="inlineStr">
        <is>
          <t>Either-sex Antelope</t>
        </is>
      </c>
      <c r="F50" s="4" t="n"/>
      <c r="G50" s="4" t="inlineStr">
        <is>
          <t>Aug. 15-Nov. 08</t>
        </is>
      </c>
      <c r="H50" s="4" t="n"/>
      <c r="I50" s="4" t="n"/>
      <c r="J50" s="4" t="inlineStr">
        <is>
          <t>June 1</t>
        </is>
      </c>
      <c r="K50" s="4" t="inlineStr">
        <is>
          <t>500</t>
        </is>
      </c>
      <c r="L50" s="4" t="inlineStr">
        <is>
          <t>First and only choice. ArchEquip only.</t>
        </is>
      </c>
    </row>
    <row r="51">
      <c r="A51" s="4" t="inlineStr">
        <is>
          <t>380</t>
        </is>
      </c>
      <c r="B51" s="4" t="inlineStr">
        <is>
          <t>antelope</t>
        </is>
      </c>
      <c r="C51" s="4" t="inlineStr">
        <is>
          <t>Antelope License: 380-20</t>
        </is>
      </c>
      <c r="D51" s="15" t="inlineStr">
        <is>
          <t>Drawing</t>
        </is>
      </c>
      <c r="E51" s="4" t="inlineStr">
        <is>
          <t>Either-sex Antelope</t>
        </is>
      </c>
      <c r="F51" s="4" t="inlineStr">
        <is>
          <t>Sept. 05-Oct. 09</t>
        </is>
      </c>
      <c r="G51" s="4" t="inlineStr">
        <is>
          <t>Oct. 10-Nov. 08</t>
        </is>
      </c>
      <c r="H51" s="4" t="n"/>
      <c r="I51" s="4" t="n"/>
      <c r="J51" s="4" t="inlineStr">
        <is>
          <t>June 1</t>
        </is>
      </c>
      <c r="K51" s="4" t="inlineStr">
        <is>
          <t>10</t>
        </is>
      </c>
      <c r="L51" s="4" t="inlineStr">
        <is>
          <t>Not valid in HD 380 portion of the Townsend WRA, except with the use of ArchEquip.</t>
        </is>
      </c>
    </row>
    <row r="52">
      <c r="A52" s="4" t="inlineStr">
        <is>
          <t>380</t>
        </is>
      </c>
      <c r="B52" s="4" t="inlineStr">
        <is>
          <t>antelope</t>
        </is>
      </c>
      <c r="C52" s="4" t="inlineStr">
        <is>
          <t>Antelope License: 399-20</t>
        </is>
      </c>
      <c r="D52" s="15" t="inlineStr">
        <is>
          <t>Drawing</t>
        </is>
      </c>
      <c r="E52" s="4" t="inlineStr">
        <is>
          <t>Either-sex Antelope</t>
        </is>
      </c>
      <c r="F52" s="4" t="n"/>
      <c r="G52" s="4" t="inlineStr">
        <is>
          <t>Aug. 15-Nov. 08</t>
        </is>
      </c>
      <c r="H52" s="4" t="n"/>
      <c r="I52" s="4" t="n"/>
      <c r="J52" s="4" t="inlineStr">
        <is>
          <t>June 1</t>
        </is>
      </c>
      <c r="K52" s="4" t="inlineStr">
        <is>
          <t>500</t>
        </is>
      </c>
      <c r="L52" s="4" t="inlineStr">
        <is>
          <t>First and only choice. ArchEquip only.</t>
        </is>
      </c>
    </row>
    <row r="53">
      <c r="A53" s="4" t="inlineStr">
        <is>
          <t>381</t>
        </is>
      </c>
      <c r="B53" s="4" t="inlineStr">
        <is>
          <t>antelope</t>
        </is>
      </c>
      <c r="C53" s="4" t="inlineStr">
        <is>
          <t>Antelope License: 381-20</t>
        </is>
      </c>
      <c r="D53" s="15" t="inlineStr">
        <is>
          <t>Drawing</t>
        </is>
      </c>
      <c r="E53" s="4" t="inlineStr">
        <is>
          <t>Either-sex Antelope</t>
        </is>
      </c>
      <c r="F53" s="4" t="inlineStr">
        <is>
          <t>Sept. 05-Oct. 09</t>
        </is>
      </c>
      <c r="G53" s="4" t="inlineStr">
        <is>
          <t>Oct. 10-Nov. 08</t>
        </is>
      </c>
      <c r="H53" s="4" t="n"/>
      <c r="I53" s="4" t="n"/>
      <c r="J53" s="4" t="inlineStr">
        <is>
          <t>June 1</t>
        </is>
      </c>
      <c r="K53" s="4" t="inlineStr">
        <is>
          <t>15</t>
        </is>
      </c>
      <c r="L53" s="4" t="n"/>
    </row>
    <row r="54">
      <c r="A54" s="4" t="inlineStr">
        <is>
          <t>381</t>
        </is>
      </c>
      <c r="B54" s="4" t="inlineStr">
        <is>
          <t>antelope</t>
        </is>
      </c>
      <c r="C54" s="4" t="inlineStr">
        <is>
          <t>Antelope License: 399-20</t>
        </is>
      </c>
      <c r="D54" s="15" t="inlineStr">
        <is>
          <t>Drawing</t>
        </is>
      </c>
      <c r="E54" s="4" t="inlineStr">
        <is>
          <t>Either-sex Antelope</t>
        </is>
      </c>
      <c r="F54" s="4" t="n"/>
      <c r="G54" s="4" t="inlineStr">
        <is>
          <t>Aug. 15-Nov. 08</t>
        </is>
      </c>
      <c r="H54" s="4" t="n"/>
      <c r="I54" s="4" t="n"/>
      <c r="J54" s="4" t="inlineStr">
        <is>
          <t>June 1</t>
        </is>
      </c>
      <c r="K54" s="4" t="inlineStr">
        <is>
          <t>500</t>
        </is>
      </c>
      <c r="L54" s="4" t="inlineStr">
        <is>
          <t>First and only choice. ArchEquip only.</t>
        </is>
      </c>
    </row>
    <row r="55">
      <c r="A55" s="4" t="inlineStr">
        <is>
          <t>388</t>
        </is>
      </c>
      <c r="B55" s="4" t="inlineStr">
        <is>
          <t>antelope</t>
        </is>
      </c>
      <c r="C55" s="4" t="inlineStr">
        <is>
          <t>Antelope License: 388-20</t>
        </is>
      </c>
      <c r="D55" s="15" t="inlineStr">
        <is>
          <t>Drawing</t>
        </is>
      </c>
      <c r="E55" s="4" t="inlineStr">
        <is>
          <t>Either-sex Antelope</t>
        </is>
      </c>
      <c r="F55" s="4" t="inlineStr">
        <is>
          <t>Sept. 05-Oct. 09</t>
        </is>
      </c>
      <c r="G55" s="4" t="inlineStr">
        <is>
          <t>Oct. 10-Nov. 08</t>
        </is>
      </c>
      <c r="H55" s="4" t="n"/>
      <c r="I55" s="4" t="n"/>
      <c r="J55" s="4" t="inlineStr">
        <is>
          <t>June 1</t>
        </is>
      </c>
      <c r="K55" s="4" t="inlineStr">
        <is>
          <t>15</t>
        </is>
      </c>
      <c r="L55" s="4" t="inlineStr">
        <is>
          <t>Successful antelope Either- sex 388-20 applicants may be ofered the opportunity to purchase one or more doe/fawn 388-31 (Quota: 30, Range 15-100) licenses valid in HD 388 during the same time periods and with the same restrictions. Valid both inside and outside Weapons Restriction Area.</t>
        </is>
      </c>
    </row>
    <row r="56">
      <c r="A56" s="4" t="inlineStr">
        <is>
          <t>388</t>
        </is>
      </c>
      <c r="B56" s="4" t="inlineStr">
        <is>
          <t>antelope</t>
        </is>
      </c>
      <c r="C56" s="4" t="inlineStr">
        <is>
          <t>Antelope License: 399-20</t>
        </is>
      </c>
      <c r="D56" s="15" t="inlineStr">
        <is>
          <t>Drawing</t>
        </is>
      </c>
      <c r="E56" s="4" t="inlineStr">
        <is>
          <t>Either-sex Antelope</t>
        </is>
      </c>
      <c r="F56" s="4" t="n"/>
      <c r="G56" s="4" t="inlineStr">
        <is>
          <t>Aug. 15-Nov. 08</t>
        </is>
      </c>
      <c r="H56" s="4" t="n"/>
      <c r="I56" s="4" t="n"/>
      <c r="J56" s="4" t="inlineStr">
        <is>
          <t>June 1</t>
        </is>
      </c>
      <c r="K56" s="4" t="inlineStr">
        <is>
          <t>500</t>
        </is>
      </c>
      <c r="L56" s="4" t="inlineStr">
        <is>
          <t>First and only choice. ArchEquip only.</t>
        </is>
      </c>
    </row>
    <row r="57">
      <c r="A57" s="4" t="inlineStr">
        <is>
          <t>390</t>
        </is>
      </c>
      <c r="B57" s="4" t="inlineStr">
        <is>
          <t>antelope</t>
        </is>
      </c>
      <c r="C57" s="4" t="inlineStr">
        <is>
          <t>Antelope License: 390-20</t>
        </is>
      </c>
      <c r="D57" s="15" t="inlineStr">
        <is>
          <t>Drawing</t>
        </is>
      </c>
      <c r="E57" s="4" t="inlineStr">
        <is>
          <t>Either-sex Antelope</t>
        </is>
      </c>
      <c r="F57" s="4" t="inlineStr">
        <is>
          <t>Sept. 05-Oct. 09</t>
        </is>
      </c>
      <c r="G57" s="4" t="inlineStr">
        <is>
          <t>Oct. 10-Nov. 08</t>
        </is>
      </c>
      <c r="H57" s="4" t="n"/>
      <c r="I57" s="4" t="n"/>
      <c r="J57" s="4" t="inlineStr">
        <is>
          <t>June 1</t>
        </is>
      </c>
      <c r="K57" s="4" t="inlineStr">
        <is>
          <t>25</t>
        </is>
      </c>
      <c r="L57" s="4" t="n"/>
    </row>
    <row r="58">
      <c r="A58" s="4" t="inlineStr">
        <is>
          <t>390</t>
        </is>
      </c>
      <c r="B58" s="4" t="inlineStr">
        <is>
          <t>antelope</t>
        </is>
      </c>
      <c r="C58" s="4" t="inlineStr">
        <is>
          <t>Antelope B License: 390-30</t>
        </is>
      </c>
      <c r="D58" s="15" t="inlineStr">
        <is>
          <t>Drawing</t>
        </is>
      </c>
      <c r="E58" s="4" t="inlineStr">
        <is>
          <t>Doe/Fawn Antelope</t>
        </is>
      </c>
      <c r="F58" s="4" t="inlineStr">
        <is>
          <t>Sept. 05-Oct. 09</t>
        </is>
      </c>
      <c r="G58" s="4" t="inlineStr">
        <is>
          <t>Oct. 10-Nov. 08</t>
        </is>
      </c>
      <c r="H58" s="4" t="n"/>
      <c r="I58" s="4" t="n"/>
      <c r="J58" s="4" t="inlineStr">
        <is>
          <t>June 1</t>
        </is>
      </c>
      <c r="K58" s="4" t="inlineStr">
        <is>
          <t>50</t>
        </is>
      </c>
      <c r="L58" s="4" t="n"/>
    </row>
    <row r="59">
      <c r="A59" s="4" t="inlineStr">
        <is>
          <t>390</t>
        </is>
      </c>
      <c r="B59" s="4" t="inlineStr">
        <is>
          <t>antelope</t>
        </is>
      </c>
      <c r="C59" s="4" t="inlineStr">
        <is>
          <t>Antelope License: 399-20</t>
        </is>
      </c>
      <c r="D59" s="15" t="inlineStr">
        <is>
          <t>Drawing</t>
        </is>
      </c>
      <c r="E59" s="4" t="inlineStr">
        <is>
          <t>Either-sex Antelope</t>
        </is>
      </c>
      <c r="F59" s="4" t="n"/>
      <c r="G59" s="4" t="inlineStr">
        <is>
          <t>Aug. 15-Nov. 08</t>
        </is>
      </c>
      <c r="H59" s="4" t="n"/>
      <c r="I59" s="4" t="n"/>
      <c r="J59" s="4" t="inlineStr">
        <is>
          <t>June 1</t>
        </is>
      </c>
      <c r="K59" s="4" t="inlineStr">
        <is>
          <t>500</t>
        </is>
      </c>
      <c r="L59" s="4" t="inlineStr">
        <is>
          <t>First and only choice. ArchEquip only. 139 2026 Deer • Elk • Antelope Visit fwp.mt.gov Region</t>
        </is>
      </c>
    </row>
    <row r="60">
      <c r="A60" s="4" t="inlineStr">
        <is>
          <t>401</t>
        </is>
      </c>
      <c r="B60" s="4" t="inlineStr">
        <is>
          <t>antelope</t>
        </is>
      </c>
      <c r="C60" s="4" t="inlineStr">
        <is>
          <t>Antelope License: 401-20</t>
        </is>
      </c>
      <c r="D60" s="15" t="inlineStr">
        <is>
          <t>Drawing</t>
        </is>
      </c>
      <c r="E60" s="4" t="inlineStr">
        <is>
          <t>Either-sex Antelope</t>
        </is>
      </c>
      <c r="F60" s="4" t="inlineStr">
        <is>
          <t>Sept. 05-Oct. 09</t>
        </is>
      </c>
      <c r="G60" s="4" t="inlineStr">
        <is>
          <t>Oct. 10-Nov. 08</t>
        </is>
      </c>
      <c r="H60" s="4" t="n"/>
      <c r="I60" s="4" t="n"/>
      <c r="J60" s="4" t="inlineStr">
        <is>
          <t>June 1</t>
        </is>
      </c>
      <c r="K60" s="4" t="inlineStr">
        <is>
          <t>200</t>
        </is>
      </c>
      <c r="L60" s="4" t="n"/>
    </row>
    <row r="61">
      <c r="A61" s="4" t="inlineStr">
        <is>
          <t>401</t>
        </is>
      </c>
      <c r="B61" s="4" t="inlineStr">
        <is>
          <t>antelope</t>
        </is>
      </c>
      <c r="C61" s="4" t="inlineStr">
        <is>
          <t>Antelope B License: 401-30</t>
        </is>
      </c>
      <c r="D61" s="15" t="inlineStr">
        <is>
          <t>Drawing</t>
        </is>
      </c>
      <c r="E61" s="4" t="inlineStr">
        <is>
          <t>Doe/Fawn Antelope</t>
        </is>
      </c>
      <c r="F61" s="4" t="inlineStr">
        <is>
          <t>Sept. 05-Oct. 09</t>
        </is>
      </c>
      <c r="G61" s="4" t="inlineStr">
        <is>
          <t>Oct. 10-Nov. 08</t>
        </is>
      </c>
      <c r="H61" s="4" t="n"/>
      <c r="I61" s="4" t="n"/>
      <c r="J61" s="4" t="inlineStr">
        <is>
          <t>June 1</t>
        </is>
      </c>
      <c r="K61" s="4" t="inlineStr">
        <is>
          <t>50</t>
        </is>
      </c>
      <c r="L61" s="4" t="n"/>
    </row>
    <row r="62">
      <c r="A62" s="4" t="inlineStr">
        <is>
          <t>401</t>
        </is>
      </c>
      <c r="B62" s="4" t="inlineStr">
        <is>
          <t>antelope</t>
        </is>
      </c>
      <c r="C62" s="4" t="inlineStr">
        <is>
          <t>Antelope License: 900-20</t>
        </is>
      </c>
      <c r="D62" s="15" t="inlineStr">
        <is>
          <t>Drawing</t>
        </is>
      </c>
      <c r="E62" s="4" t="inlineStr">
        <is>
          <t>Either-sex Antelope</t>
        </is>
      </c>
      <c r="F62" s="4" t="n"/>
      <c r="G62" s="4" t="inlineStr">
        <is>
          <t>Aug. 15-Nov. 08</t>
        </is>
      </c>
      <c r="H62" s="4" t="n"/>
      <c r="I62" s="4" t="n"/>
      <c r="J62" s="4" t="inlineStr">
        <is>
          <t>June 1</t>
        </is>
      </c>
      <c r="K62" s="4" t="inlineStr">
        <is>
          <t>5,600</t>
        </is>
      </c>
      <c r="L62" s="4" t="inlineStr">
        <is>
          <t>First and only choice. ArchEquip only.</t>
        </is>
      </c>
    </row>
    <row r="63">
      <c r="A63" s="4" t="inlineStr">
        <is>
          <t>404</t>
        </is>
      </c>
      <c r="B63" s="4" t="inlineStr">
        <is>
          <t>antelope</t>
        </is>
      </c>
      <c r="C63" s="4" t="inlineStr">
        <is>
          <t>Antelope License: 404-20</t>
        </is>
      </c>
      <c r="D63" s="15" t="inlineStr">
        <is>
          <t>Drawing</t>
        </is>
      </c>
      <c r="E63" s="4" t="inlineStr">
        <is>
          <t>Either-sex Antelope</t>
        </is>
      </c>
      <c r="F63" s="4" t="inlineStr">
        <is>
          <t>Sept. 05-Oct. 09</t>
        </is>
      </c>
      <c r="G63" s="4" t="inlineStr">
        <is>
          <t>Oct. 10-Nov. 08</t>
        </is>
      </c>
      <c r="H63" s="4" t="n"/>
      <c r="I63" s="4" t="n"/>
      <c r="J63" s="4" t="inlineStr">
        <is>
          <t>June 1</t>
        </is>
      </c>
      <c r="K63" s="4" t="inlineStr">
        <is>
          <t>200</t>
        </is>
      </c>
      <c r="L63" s="4" t="n"/>
    </row>
    <row r="64">
      <c r="A64" s="4" t="inlineStr">
        <is>
          <t>404</t>
        </is>
      </c>
      <c r="B64" s="4" t="inlineStr">
        <is>
          <t>antelope</t>
        </is>
      </c>
      <c r="C64" s="4" t="inlineStr">
        <is>
          <t>Antelope B License: 404-30</t>
        </is>
      </c>
      <c r="D64" s="15" t="inlineStr">
        <is>
          <t>Drawing</t>
        </is>
      </c>
      <c r="E64" s="4" t="inlineStr">
        <is>
          <t>Doe/Fawn Antelope</t>
        </is>
      </c>
      <c r="F64" s="4" t="inlineStr">
        <is>
          <t>Sept. 05-Oct. 09</t>
        </is>
      </c>
      <c r="G64" s="4" t="inlineStr">
        <is>
          <t>Oct. 10-Nov. 08</t>
        </is>
      </c>
      <c r="H64" s="4" t="n"/>
      <c r="I64" s="4" t="n"/>
      <c r="J64" s="4" t="inlineStr">
        <is>
          <t>June 1</t>
        </is>
      </c>
      <c r="K64" s="4" t="inlineStr">
        <is>
          <t>100</t>
        </is>
      </c>
      <c r="L64" s="4" t="n"/>
    </row>
    <row r="65">
      <c r="A65" s="4" t="inlineStr">
        <is>
          <t>404</t>
        </is>
      </c>
      <c r="B65" s="4" t="inlineStr">
        <is>
          <t>antelope</t>
        </is>
      </c>
      <c r="C65" s="4" t="inlineStr">
        <is>
          <t>Antelope License: 900-20</t>
        </is>
      </c>
      <c r="D65" s="15" t="inlineStr">
        <is>
          <t>Drawing</t>
        </is>
      </c>
      <c r="E65" s="4" t="inlineStr">
        <is>
          <t>Either-sex Antelope</t>
        </is>
      </c>
      <c r="F65" s="4" t="n"/>
      <c r="G65" s="4" t="inlineStr">
        <is>
          <t>Aug. 15-Nov. 08</t>
        </is>
      </c>
      <c r="H65" s="4" t="n"/>
      <c r="I65" s="4" t="n"/>
      <c r="J65" s="4" t="inlineStr">
        <is>
          <t>June 1</t>
        </is>
      </c>
      <c r="K65" s="4" t="inlineStr">
        <is>
          <t>5,600</t>
        </is>
      </c>
      <c r="L65" s="4" t="inlineStr">
        <is>
          <t>First and only choice. ArchEquip only.</t>
        </is>
      </c>
    </row>
    <row r="66">
      <c r="A66" s="4" t="inlineStr">
        <is>
          <t>413</t>
        </is>
      </c>
      <c r="B66" s="4" t="inlineStr">
        <is>
          <t>antelope</t>
        </is>
      </c>
      <c r="C66" s="4" t="inlineStr">
        <is>
          <t>Antelope License: 413-20</t>
        </is>
      </c>
      <c r="D66" s="15" t="inlineStr">
        <is>
          <t>Drawing</t>
        </is>
      </c>
      <c r="E66" s="4" t="inlineStr">
        <is>
          <t>Either-sex Antelope</t>
        </is>
      </c>
      <c r="F66" s="4" t="inlineStr">
        <is>
          <t>Sept. 05-Oct. 09</t>
        </is>
      </c>
      <c r="G66" s="4" t="inlineStr">
        <is>
          <t>Oct. 10-Nov. 08</t>
        </is>
      </c>
      <c r="H66" s="4" t="n"/>
      <c r="I66" s="4" t="n"/>
      <c r="J66" s="4" t="inlineStr">
        <is>
          <t>June 1</t>
        </is>
      </c>
      <c r="K66" s="4" t="inlineStr">
        <is>
          <t>50</t>
        </is>
      </c>
      <c r="L66" s="4" t="n"/>
    </row>
    <row r="67">
      <c r="A67" s="4" t="inlineStr">
        <is>
          <t>413</t>
        </is>
      </c>
      <c r="B67" s="4" t="inlineStr">
        <is>
          <t>antelope</t>
        </is>
      </c>
      <c r="C67" s="4" t="inlineStr">
        <is>
          <t>Antelope B License: 413-30</t>
        </is>
      </c>
      <c r="D67" s="15" t="inlineStr">
        <is>
          <t>Drawing</t>
        </is>
      </c>
      <c r="E67" s="4" t="inlineStr">
        <is>
          <t>Doe/Fawn Antelope</t>
        </is>
      </c>
      <c r="F67" s="4" t="inlineStr">
        <is>
          <t>Sept. 05-Oct. 09</t>
        </is>
      </c>
      <c r="G67" s="4" t="inlineStr">
        <is>
          <t>Oct. 10-Nov. 08</t>
        </is>
      </c>
      <c r="H67" s="4" t="n"/>
      <c r="I67" s="4" t="n"/>
      <c r="J67" s="4" t="inlineStr">
        <is>
          <t>June 1</t>
        </is>
      </c>
      <c r="K67" s="4" t="inlineStr">
        <is>
          <t>50</t>
        </is>
      </c>
      <c r="L67" s="4" t="n"/>
    </row>
    <row r="68">
      <c r="A68" s="4" t="inlineStr">
        <is>
          <t>413</t>
        </is>
      </c>
      <c r="B68" s="4" t="inlineStr">
        <is>
          <t>antelope</t>
        </is>
      </c>
      <c r="C68" s="4" t="inlineStr">
        <is>
          <t>Antelope License: 900-20</t>
        </is>
      </c>
      <c r="D68" s="15" t="inlineStr">
        <is>
          <t>Drawing</t>
        </is>
      </c>
      <c r="E68" s="4" t="inlineStr">
        <is>
          <t>Either-sex Antelope</t>
        </is>
      </c>
      <c r="F68" s="4" t="n"/>
      <c r="G68" s="4" t="inlineStr">
        <is>
          <t>Aug. 15-Nov. 08</t>
        </is>
      </c>
      <c r="H68" s="4" t="n"/>
      <c r="I68" s="4" t="n"/>
      <c r="J68" s="4" t="inlineStr">
        <is>
          <t>June 1</t>
        </is>
      </c>
      <c r="K68" s="4" t="inlineStr">
        <is>
          <t>5,600</t>
        </is>
      </c>
      <c r="L68" s="4" t="inlineStr">
        <is>
          <t>First and only choice. ArchEquip only.</t>
        </is>
      </c>
    </row>
    <row r="69">
      <c r="A69" s="4" t="inlineStr">
        <is>
          <t>420</t>
        </is>
      </c>
      <c r="B69" s="4" t="inlineStr">
        <is>
          <t>antelope</t>
        </is>
      </c>
      <c r="C69" s="4" t="inlineStr">
        <is>
          <t>Antelope License: 420-20</t>
        </is>
      </c>
      <c r="D69" s="15" t="inlineStr">
        <is>
          <t>Drawing</t>
        </is>
      </c>
      <c r="E69" s="4" t="inlineStr">
        <is>
          <t>Either-sex Antelope</t>
        </is>
      </c>
      <c r="F69" s="4" t="inlineStr">
        <is>
          <t>Sept. 05-Oct. 09</t>
        </is>
      </c>
      <c r="G69" s="4" t="inlineStr">
        <is>
          <t>Oct. 10-Nov. 08</t>
        </is>
      </c>
      <c r="H69" s="4" t="n"/>
      <c r="I69" s="4" t="n"/>
      <c r="J69" s="4" t="inlineStr">
        <is>
          <t>June 1</t>
        </is>
      </c>
      <c r="K69" s="4" t="inlineStr">
        <is>
          <t>75</t>
        </is>
      </c>
      <c r="L69" s="4" t="n"/>
    </row>
    <row r="70">
      <c r="A70" s="4" t="inlineStr">
        <is>
          <t>420</t>
        </is>
      </c>
      <c r="B70" s="4" t="inlineStr">
        <is>
          <t>antelope</t>
        </is>
      </c>
      <c r="C70" s="4" t="inlineStr">
        <is>
          <t>Antelope B License: 420-30</t>
        </is>
      </c>
      <c r="D70" s="15" t="inlineStr">
        <is>
          <t>Drawing</t>
        </is>
      </c>
      <c r="E70" s="4" t="inlineStr">
        <is>
          <t>Doe/Fawn Antelope</t>
        </is>
      </c>
      <c r="F70" s="4" t="inlineStr">
        <is>
          <t>Sept. 05-Oct. 09</t>
        </is>
      </c>
      <c r="G70" s="4" t="inlineStr">
        <is>
          <t>Oct. 10-Nov. 08</t>
        </is>
      </c>
      <c r="H70" s="4" t="n"/>
      <c r="I70" s="4" t="n"/>
      <c r="J70" s="4" t="inlineStr">
        <is>
          <t>June 1</t>
        </is>
      </c>
      <c r="K70" s="4" t="inlineStr">
        <is>
          <t>25</t>
        </is>
      </c>
      <c r="L70" s="4" t="n"/>
    </row>
    <row r="71">
      <c r="A71" s="4" t="inlineStr">
        <is>
          <t>420</t>
        </is>
      </c>
      <c r="B71" s="4" t="inlineStr">
        <is>
          <t>antelope</t>
        </is>
      </c>
      <c r="C71" s="4" t="inlineStr">
        <is>
          <t>Antelope License: 900-20</t>
        </is>
      </c>
      <c r="D71" s="15" t="inlineStr">
        <is>
          <t>Drawing</t>
        </is>
      </c>
      <c r="E71" s="4" t="inlineStr">
        <is>
          <t>Either-sex Antelope</t>
        </is>
      </c>
      <c r="F71" s="4" t="n"/>
      <c r="G71" s="4" t="inlineStr">
        <is>
          <t>Aug. 15-Nov. 08</t>
        </is>
      </c>
      <c r="H71" s="4" t="n"/>
      <c r="I71" s="4" t="n"/>
      <c r="J71" s="4" t="inlineStr">
        <is>
          <t>June 1</t>
        </is>
      </c>
      <c r="K71" s="4" t="inlineStr">
        <is>
          <t>5,600</t>
        </is>
      </c>
      <c r="L71" s="4" t="inlineStr">
        <is>
          <t>First and only choice. ArchEquip only.</t>
        </is>
      </c>
    </row>
    <row r="72">
      <c r="A72" s="4" t="inlineStr">
        <is>
          <t>430</t>
        </is>
      </c>
      <c r="B72" s="4" t="inlineStr">
        <is>
          <t>antelope</t>
        </is>
      </c>
      <c r="C72" s="4" t="inlineStr">
        <is>
          <t>Antelope License: 430-20</t>
        </is>
      </c>
      <c r="D72" s="15" t="inlineStr">
        <is>
          <t>Drawing</t>
        </is>
      </c>
      <c r="E72" s="4" t="inlineStr">
        <is>
          <t>Either-sex Antelope</t>
        </is>
      </c>
      <c r="F72" s="4" t="inlineStr">
        <is>
          <t>Sept. 05-Oct. 09</t>
        </is>
      </c>
      <c r="G72" s="4" t="inlineStr">
        <is>
          <t>Oct. 10-Nov. 08</t>
        </is>
      </c>
      <c r="H72" s="4" t="n"/>
      <c r="I72" s="4" t="n"/>
      <c r="J72" s="4" t="inlineStr">
        <is>
          <t>June 1</t>
        </is>
      </c>
      <c r="K72" s="4" t="inlineStr">
        <is>
          <t>150</t>
        </is>
      </c>
      <c r="L72" s="4" t="n"/>
    </row>
    <row r="73">
      <c r="A73" s="4" t="inlineStr">
        <is>
          <t>430</t>
        </is>
      </c>
      <c r="B73" s="4" t="inlineStr">
        <is>
          <t>antelope</t>
        </is>
      </c>
      <c r="C73" s="4" t="inlineStr">
        <is>
          <t>Antelope B License: 430-30</t>
        </is>
      </c>
      <c r="D73" s="15" t="inlineStr">
        <is>
          <t>Drawing</t>
        </is>
      </c>
      <c r="E73" s="4" t="inlineStr">
        <is>
          <t>Doe/Fawn Antelope</t>
        </is>
      </c>
      <c r="F73" s="4" t="inlineStr">
        <is>
          <t>Sept. 05-Oct. 09</t>
        </is>
      </c>
      <c r="G73" s="4" t="inlineStr">
        <is>
          <t>Oct. 10-Nov. 08</t>
        </is>
      </c>
      <c r="H73" s="4" t="n"/>
      <c r="I73" s="4" t="n"/>
      <c r="J73" s="4" t="inlineStr">
        <is>
          <t>June 1</t>
        </is>
      </c>
      <c r="K73" s="4" t="inlineStr">
        <is>
          <t>100</t>
        </is>
      </c>
      <c r="L73" s="4" t="n"/>
    </row>
    <row r="74">
      <c r="A74" s="4" t="inlineStr">
        <is>
          <t>430</t>
        </is>
      </c>
      <c r="B74" s="4" t="inlineStr">
        <is>
          <t>antelope</t>
        </is>
      </c>
      <c r="C74" s="4" t="inlineStr">
        <is>
          <t>Antelope License: 900-20</t>
        </is>
      </c>
      <c r="D74" s="15" t="inlineStr">
        <is>
          <t>Drawing</t>
        </is>
      </c>
      <c r="E74" s="4" t="inlineStr">
        <is>
          <t>Either-sex Antelope</t>
        </is>
      </c>
      <c r="F74" s="4" t="n"/>
      <c r="G74" s="4" t="inlineStr">
        <is>
          <t>Aug. 15-Nov. 08</t>
        </is>
      </c>
      <c r="H74" s="4" t="n"/>
      <c r="I74" s="4" t="n"/>
      <c r="J74" s="4" t="inlineStr">
        <is>
          <t>June 1</t>
        </is>
      </c>
      <c r="K74" s="4" t="inlineStr">
        <is>
          <t>5,600</t>
        </is>
      </c>
      <c r="L74" s="4" t="inlineStr">
        <is>
          <t>First and only choice. ArchEquip only.</t>
        </is>
      </c>
    </row>
    <row r="75">
      <c r="A75" s="4" t="inlineStr">
        <is>
          <t>440</t>
        </is>
      </c>
      <c r="B75" s="4" t="inlineStr">
        <is>
          <t>antelope</t>
        </is>
      </c>
      <c r="C75" s="4" t="inlineStr">
        <is>
          <t>Antelope License: 440-20</t>
        </is>
      </c>
      <c r="D75" s="15" t="inlineStr">
        <is>
          <t>Drawing</t>
        </is>
      </c>
      <c r="E75" s="4" t="inlineStr">
        <is>
          <t>Either-sex Antelope</t>
        </is>
      </c>
      <c r="F75" s="4" t="inlineStr">
        <is>
          <t>Sept. 05-Oct. 09</t>
        </is>
      </c>
      <c r="G75" s="4" t="inlineStr">
        <is>
          <t>Oct. 10-Nov. 08</t>
        </is>
      </c>
      <c r="H75" s="4" t="n"/>
      <c r="I75" s="4" t="n"/>
      <c r="J75" s="4" t="inlineStr">
        <is>
          <t>June 1</t>
        </is>
      </c>
      <c r="K75" s="4" t="inlineStr">
        <is>
          <t>125</t>
        </is>
      </c>
      <c r="L75" s="4" t="n"/>
    </row>
    <row r="76">
      <c r="A76" s="4" t="inlineStr">
        <is>
          <t>440</t>
        </is>
      </c>
      <c r="B76" s="4" t="inlineStr">
        <is>
          <t>antelope</t>
        </is>
      </c>
      <c r="C76" s="4" t="inlineStr">
        <is>
          <t>Antelope B License: 440-30</t>
        </is>
      </c>
      <c r="D76" s="15" t="inlineStr">
        <is>
          <t>Drawing</t>
        </is>
      </c>
      <c r="E76" s="4" t="inlineStr">
        <is>
          <t>Doe/Fawn Antelope</t>
        </is>
      </c>
      <c r="F76" s="4" t="inlineStr">
        <is>
          <t>Sept. 05-Oct. 09</t>
        </is>
      </c>
      <c r="G76" s="4" t="inlineStr">
        <is>
          <t>Oct. 10-Nov. 08</t>
        </is>
      </c>
      <c r="H76" s="4" t="n"/>
      <c r="I76" s="4" t="n"/>
      <c r="J76" s="4" t="inlineStr">
        <is>
          <t>June 1</t>
        </is>
      </c>
      <c r="K76" s="4" t="inlineStr">
        <is>
          <t>100</t>
        </is>
      </c>
      <c r="L76" s="4" t="n"/>
    </row>
    <row r="77">
      <c r="A77" s="4" t="inlineStr">
        <is>
          <t>440</t>
        </is>
      </c>
      <c r="B77" s="4" t="inlineStr">
        <is>
          <t>antelope</t>
        </is>
      </c>
      <c r="C77" s="4" t="inlineStr">
        <is>
          <t>Antelope License: 900-20</t>
        </is>
      </c>
      <c r="D77" s="15" t="inlineStr">
        <is>
          <t>Drawing</t>
        </is>
      </c>
      <c r="E77" s="4" t="inlineStr">
        <is>
          <t>Either-sex Antelope</t>
        </is>
      </c>
      <c r="F77" s="4" t="n"/>
      <c r="G77" s="4" t="inlineStr">
        <is>
          <t>Aug. 15-Nov. 08</t>
        </is>
      </c>
      <c r="H77" s="4" t="n"/>
      <c r="I77" s="4" t="n"/>
      <c r="J77" s="4" t="inlineStr">
        <is>
          <t>June 1</t>
        </is>
      </c>
      <c r="K77" s="4" t="inlineStr">
        <is>
          <t>5,600</t>
        </is>
      </c>
      <c r="L77" s="4" t="inlineStr">
        <is>
          <t>First and only choice. ArchEquip only.</t>
        </is>
      </c>
    </row>
    <row r="78">
      <c r="A78" s="4" t="inlineStr">
        <is>
          <t>441</t>
        </is>
      </c>
      <c r="B78" s="4" t="inlineStr">
        <is>
          <t>antelope</t>
        </is>
      </c>
      <c r="C78" s="4" t="inlineStr">
        <is>
          <t>Antelope License: 441-20</t>
        </is>
      </c>
      <c r="D78" s="15" t="inlineStr">
        <is>
          <t>Drawing</t>
        </is>
      </c>
      <c r="E78" s="4" t="inlineStr">
        <is>
          <t>Either-sex Antelope</t>
        </is>
      </c>
      <c r="F78" s="4" t="inlineStr">
        <is>
          <t>Sept. 05-Oct. 09</t>
        </is>
      </c>
      <c r="G78" s="4" t="inlineStr">
        <is>
          <t>Oct. 10-Nov. 08</t>
        </is>
      </c>
      <c r="H78" s="4" t="n"/>
      <c r="I78" s="4" t="n"/>
      <c r="J78" s="4" t="inlineStr">
        <is>
          <t>June 1</t>
        </is>
      </c>
      <c r="K78" s="4" t="inlineStr">
        <is>
          <t>20</t>
        </is>
      </c>
      <c r="L78" s="4" t="n"/>
    </row>
    <row r="79">
      <c r="A79" s="4" t="inlineStr">
        <is>
          <t>441</t>
        </is>
      </c>
      <c r="B79" s="4" t="inlineStr">
        <is>
          <t>antelope</t>
        </is>
      </c>
      <c r="C79" s="4" t="inlineStr">
        <is>
          <t>Antelope License: 900-20</t>
        </is>
      </c>
      <c r="D79" s="15" t="inlineStr">
        <is>
          <t>Drawing</t>
        </is>
      </c>
      <c r="E79" s="4" t="inlineStr">
        <is>
          <t>Either-sex Antelope</t>
        </is>
      </c>
      <c r="F79" s="4" t="n"/>
      <c r="G79" s="4" t="inlineStr">
        <is>
          <t>Aug. 15-Nov. 08</t>
        </is>
      </c>
      <c r="H79" s="4" t="n"/>
      <c r="I79" s="4" t="n"/>
      <c r="J79" s="4" t="inlineStr">
        <is>
          <t>June 1</t>
        </is>
      </c>
      <c r="K79" s="4" t="inlineStr">
        <is>
          <t>5,600</t>
        </is>
      </c>
      <c r="L79" s="4" t="inlineStr">
        <is>
          <t>First and only choice. ArchEquip only.</t>
        </is>
      </c>
    </row>
    <row r="80">
      <c r="A80" s="4" t="inlineStr">
        <is>
          <t>444</t>
        </is>
      </c>
      <c r="B80" s="4" t="inlineStr">
        <is>
          <t>antelope</t>
        </is>
      </c>
      <c r="C80" s="4" t="inlineStr">
        <is>
          <t>Antelope License: 444-20</t>
        </is>
      </c>
      <c r="D80" s="15" t="inlineStr">
        <is>
          <t>Drawing</t>
        </is>
      </c>
      <c r="E80" s="4" t="inlineStr">
        <is>
          <t>Either-sex Antelope</t>
        </is>
      </c>
      <c r="F80" s="4" t="inlineStr">
        <is>
          <t>Sept. 05-Oct. 09</t>
        </is>
      </c>
      <c r="G80" s="4" t="inlineStr">
        <is>
          <t>Oct. 10-Nov. 08</t>
        </is>
      </c>
      <c r="H80" s="4" t="n"/>
      <c r="I80" s="4" t="n"/>
      <c r="J80" s="4" t="inlineStr">
        <is>
          <t>June 1</t>
        </is>
      </c>
      <c r="K80" s="4" t="inlineStr">
        <is>
          <t>100</t>
        </is>
      </c>
      <c r="L80" s="4" t="n"/>
    </row>
    <row r="81">
      <c r="A81" s="4" t="inlineStr">
        <is>
          <t>444</t>
        </is>
      </c>
      <c r="B81" s="4" t="inlineStr">
        <is>
          <t>antelope</t>
        </is>
      </c>
      <c r="C81" s="4" t="inlineStr">
        <is>
          <t>Antelope B License: 444-30</t>
        </is>
      </c>
      <c r="D81" s="15" t="inlineStr">
        <is>
          <t>Drawing</t>
        </is>
      </c>
      <c r="E81" s="4" t="inlineStr">
        <is>
          <t>Doe/Fawn Antelope</t>
        </is>
      </c>
      <c r="F81" s="4" t="inlineStr">
        <is>
          <t>Sept. 05-Oct. 09</t>
        </is>
      </c>
      <c r="G81" s="4" t="inlineStr">
        <is>
          <t>Oct. 10-Nov. 08</t>
        </is>
      </c>
      <c r="H81" s="4" t="n"/>
      <c r="I81" s="4" t="n"/>
      <c r="J81" s="4" t="inlineStr">
        <is>
          <t>June 1</t>
        </is>
      </c>
      <c r="K81" s="4" t="inlineStr">
        <is>
          <t>50</t>
        </is>
      </c>
      <c r="L81" s="4" t="n"/>
    </row>
    <row r="82">
      <c r="A82" s="4" t="inlineStr">
        <is>
          <t>444</t>
        </is>
      </c>
      <c r="B82" s="4" t="inlineStr">
        <is>
          <t>antelope</t>
        </is>
      </c>
      <c r="C82" s="4" t="inlineStr">
        <is>
          <t>Antelope License: 900-20</t>
        </is>
      </c>
      <c r="D82" s="15" t="inlineStr">
        <is>
          <t>Drawing</t>
        </is>
      </c>
      <c r="E82" s="4" t="inlineStr">
        <is>
          <t>Either-sex Antelope</t>
        </is>
      </c>
      <c r="F82" s="4" t="n"/>
      <c r="G82" s="4" t="inlineStr">
        <is>
          <t>Aug. 15-Nov. 08</t>
        </is>
      </c>
      <c r="H82" s="4" t="n"/>
      <c r="I82" s="4" t="n"/>
      <c r="J82" s="4" t="inlineStr">
        <is>
          <t>June 1</t>
        </is>
      </c>
      <c r="K82" s="4" t="inlineStr">
        <is>
          <t>5,600</t>
        </is>
      </c>
      <c r="L82" s="4" t="inlineStr">
        <is>
          <t>First and only choice. ArchEquip only.</t>
        </is>
      </c>
    </row>
    <row r="83">
      <c r="A83" s="4" t="inlineStr">
        <is>
          <t>450</t>
        </is>
      </c>
      <c r="B83" s="4" t="inlineStr">
        <is>
          <t>antelope</t>
        </is>
      </c>
      <c r="C83" s="4" t="inlineStr">
        <is>
          <t>Antelope License: 450-20</t>
        </is>
      </c>
      <c r="D83" s="15" t="inlineStr">
        <is>
          <t>Drawing</t>
        </is>
      </c>
      <c r="E83" s="4" t="inlineStr">
        <is>
          <t>Either-sex Antelope</t>
        </is>
      </c>
      <c r="F83" s="4" t="inlineStr">
        <is>
          <t>Sept. 05-Oct. 09</t>
        </is>
      </c>
      <c r="G83" s="4" t="inlineStr">
        <is>
          <t>Oct. 10-Nov. 08</t>
        </is>
      </c>
      <c r="H83" s="4" t="n"/>
      <c r="I83" s="4" t="n"/>
      <c r="J83" s="4" t="inlineStr">
        <is>
          <t>June 1</t>
        </is>
      </c>
      <c r="K83" s="4" t="inlineStr">
        <is>
          <t>75</t>
        </is>
      </c>
      <c r="L83" s="4" t="n"/>
    </row>
    <row r="84">
      <c r="A84" s="4" t="inlineStr">
        <is>
          <t>450</t>
        </is>
      </c>
      <c r="B84" s="4" t="inlineStr">
        <is>
          <t>antelope</t>
        </is>
      </c>
      <c r="C84" s="4" t="inlineStr">
        <is>
          <t>Antelope B License: 450-30</t>
        </is>
      </c>
      <c r="D84" s="15" t="inlineStr">
        <is>
          <t>Drawing</t>
        </is>
      </c>
      <c r="E84" s="4" t="inlineStr">
        <is>
          <t>Doe/Fawn Antelope</t>
        </is>
      </c>
      <c r="F84" s="4" t="inlineStr">
        <is>
          <t>Sept. 05-Oct. 09</t>
        </is>
      </c>
      <c r="G84" s="4" t="inlineStr">
        <is>
          <t>Oct. 10-Nov. 08</t>
        </is>
      </c>
      <c r="H84" s="4" t="n"/>
      <c r="I84" s="4" t="n"/>
      <c r="J84" s="4" t="inlineStr">
        <is>
          <t>June 1</t>
        </is>
      </c>
      <c r="K84" s="4" t="inlineStr">
        <is>
          <t>75</t>
        </is>
      </c>
      <c r="L84" s="4" t="n"/>
    </row>
    <row r="85">
      <c r="A85" s="4" t="inlineStr">
        <is>
          <t>450</t>
        </is>
      </c>
      <c r="B85" s="4" t="inlineStr">
        <is>
          <t>antelope</t>
        </is>
      </c>
      <c r="C85" s="4" t="inlineStr">
        <is>
          <t>Antelope License: 900-20</t>
        </is>
      </c>
      <c r="D85" s="15" t="inlineStr">
        <is>
          <t>Drawing</t>
        </is>
      </c>
      <c r="E85" s="4" t="inlineStr">
        <is>
          <t>Either-sex Antelope</t>
        </is>
      </c>
      <c r="F85" s="4" t="n"/>
      <c r="G85" s="4" t="inlineStr">
        <is>
          <t>Aug. 15-Nov. 08</t>
        </is>
      </c>
      <c r="H85" s="4" t="n"/>
      <c r="I85" s="4" t="n"/>
      <c r="J85" s="4" t="inlineStr">
        <is>
          <t>June 1</t>
        </is>
      </c>
      <c r="K85" s="4" t="inlineStr">
        <is>
          <t>5,600</t>
        </is>
      </c>
      <c r="L85" s="4" t="inlineStr">
        <is>
          <t>First and only choice. ArchEquip only. 140 License Opportunity Apply by Date Quota Quota Range Archery Season Dates Season Dates Opportunity Specifc Information/Restrictions</t>
        </is>
      </c>
    </row>
    <row r="86">
      <c r="A86" s="4" t="inlineStr">
        <is>
          <t>455</t>
        </is>
      </c>
      <c r="B86" s="4" t="inlineStr">
        <is>
          <t>antelope</t>
        </is>
      </c>
      <c r="C86" s="4" t="inlineStr">
        <is>
          <t>Antelope License: 455-20</t>
        </is>
      </c>
      <c r="D86" s="15" t="inlineStr">
        <is>
          <t>Drawing</t>
        </is>
      </c>
      <c r="E86" s="4" t="inlineStr">
        <is>
          <t>Either-sex Antelope</t>
        </is>
      </c>
      <c r="F86" s="4" t="inlineStr">
        <is>
          <t>Sept. 05-Oct. 09</t>
        </is>
      </c>
      <c r="G86" s="4" t="inlineStr">
        <is>
          <t>Oct. 10-Nov. 08</t>
        </is>
      </c>
      <c r="H86" s="4" t="n"/>
      <c r="I86" s="4" t="n"/>
      <c r="J86" s="4" t="inlineStr">
        <is>
          <t>June 1</t>
        </is>
      </c>
      <c r="K86" s="4" t="inlineStr">
        <is>
          <t>2</t>
        </is>
      </c>
      <c r="L86" s="4" t="n"/>
    </row>
    <row r="87">
      <c r="A87" s="4" t="inlineStr">
        <is>
          <t>455</t>
        </is>
      </c>
      <c r="B87" s="4" t="inlineStr">
        <is>
          <t>antelope</t>
        </is>
      </c>
      <c r="C87" s="4" t="inlineStr">
        <is>
          <t>Antelope License: 900-20</t>
        </is>
      </c>
      <c r="D87" s="15" t="inlineStr">
        <is>
          <t>Drawing</t>
        </is>
      </c>
      <c r="E87" s="4" t="inlineStr">
        <is>
          <t>Either-sex Antelope</t>
        </is>
      </c>
      <c r="F87" s="4" t="n"/>
      <c r="G87" s="4" t="inlineStr">
        <is>
          <t>Aug. 15-Nov. 08</t>
        </is>
      </c>
      <c r="H87" s="4" t="n"/>
      <c r="I87" s="4" t="n"/>
      <c r="J87" s="4" t="inlineStr">
        <is>
          <t>June 1</t>
        </is>
      </c>
      <c r="K87" s="4" t="inlineStr">
        <is>
          <t>5,600</t>
        </is>
      </c>
      <c r="L87" s="4" t="inlineStr">
        <is>
          <t>First and only choice. ArchEquip only.</t>
        </is>
      </c>
    </row>
    <row r="88">
      <c r="A88" s="4" t="inlineStr">
        <is>
          <t>471</t>
        </is>
      </c>
      <c r="B88" s="4" t="inlineStr">
        <is>
          <t>antelope</t>
        </is>
      </c>
      <c r="C88" s="4" t="inlineStr">
        <is>
          <t>Antelope License: 471-20</t>
        </is>
      </c>
      <c r="D88" s="15" t="inlineStr">
        <is>
          <t>Drawing</t>
        </is>
      </c>
      <c r="E88" s="4" t="inlineStr">
        <is>
          <t>Either-sex Antelope</t>
        </is>
      </c>
      <c r="F88" s="4" t="inlineStr">
        <is>
          <t>Sept. 05-Oct. 09</t>
        </is>
      </c>
      <c r="G88" s="4" t="inlineStr">
        <is>
          <t>Oct. 10-Nov. 08</t>
        </is>
      </c>
      <c r="H88" s="4" t="n"/>
      <c r="I88" s="4" t="n"/>
      <c r="J88" s="4" t="inlineStr">
        <is>
          <t>June 1</t>
        </is>
      </c>
      <c r="K88" s="4" t="inlineStr">
        <is>
          <t>350</t>
        </is>
      </c>
      <c r="L88" s="4" t="n"/>
    </row>
    <row r="89">
      <c r="A89" s="4" t="inlineStr">
        <is>
          <t>471</t>
        </is>
      </c>
      <c r="B89" s="4" t="inlineStr">
        <is>
          <t>antelope</t>
        </is>
      </c>
      <c r="C89" s="4" t="inlineStr">
        <is>
          <t>Antelope B License: 471-30</t>
        </is>
      </c>
      <c r="D89" s="15" t="inlineStr">
        <is>
          <t>Drawing</t>
        </is>
      </c>
      <c r="E89" s="4" t="inlineStr">
        <is>
          <t>Doe/Fawn Antelope</t>
        </is>
      </c>
      <c r="F89" s="4" t="inlineStr">
        <is>
          <t>Sept. 05-Oct. 09</t>
        </is>
      </c>
      <c r="G89" s="4" t="inlineStr">
        <is>
          <t>Oct. 10-Nov. 08</t>
        </is>
      </c>
      <c r="H89" s="4" t="n"/>
      <c r="I89" s="4" t="n"/>
      <c r="J89" s="4" t="inlineStr">
        <is>
          <t>June 1</t>
        </is>
      </c>
      <c r="K89" s="4" t="inlineStr">
        <is>
          <t>450</t>
        </is>
      </c>
      <c r="L89" s="4" t="n"/>
    </row>
    <row r="90">
      <c r="A90" s="4" t="inlineStr">
        <is>
          <t>471</t>
        </is>
      </c>
      <c r="B90" s="4" t="inlineStr">
        <is>
          <t>antelope</t>
        </is>
      </c>
      <c r="C90" s="4" t="inlineStr">
        <is>
          <t>Antelope License: 900-20</t>
        </is>
      </c>
      <c r="D90" s="15" t="inlineStr">
        <is>
          <t>Drawing</t>
        </is>
      </c>
      <c r="E90" s="4" t="inlineStr">
        <is>
          <t>Either-sex Antelope</t>
        </is>
      </c>
      <c r="F90" s="4" t="n"/>
      <c r="G90" s="4" t="inlineStr">
        <is>
          <t>Aug. 15-Nov. 08</t>
        </is>
      </c>
      <c r="H90" s="4" t="n"/>
      <c r="I90" s="4" t="n"/>
      <c r="J90" s="4" t="inlineStr">
        <is>
          <t>June 1</t>
        </is>
      </c>
      <c r="K90" s="4" t="inlineStr">
        <is>
          <t>5,600</t>
        </is>
      </c>
      <c r="L90" s="4" t="inlineStr">
        <is>
          <t>First and only choice. ArchEquip only.</t>
        </is>
      </c>
    </row>
    <row r="91">
      <c r="A91" s="4" t="inlineStr">
        <is>
          <t>480</t>
        </is>
      </c>
      <c r="B91" s="4" t="inlineStr">
        <is>
          <t>antelope</t>
        </is>
      </c>
      <c r="C91" s="4" t="inlineStr">
        <is>
          <t>Antelope License: 480-20</t>
        </is>
      </c>
      <c r="D91" s="15" t="inlineStr">
        <is>
          <t>Drawing</t>
        </is>
      </c>
      <c r="E91" s="4" t="inlineStr">
        <is>
          <t>Either-sex Antelope</t>
        </is>
      </c>
      <c r="F91" s="4" t="inlineStr">
        <is>
          <t>Sept. 05-Oct. 09</t>
        </is>
      </c>
      <c r="G91" s="4" t="inlineStr">
        <is>
          <t>Oct. 10-Nov. 08</t>
        </is>
      </c>
      <c r="H91" s="4" t="n"/>
      <c r="I91" s="4" t="n"/>
      <c r="J91" s="4" t="inlineStr">
        <is>
          <t>June 1</t>
        </is>
      </c>
      <c r="K91" s="4" t="inlineStr">
        <is>
          <t>100</t>
        </is>
      </c>
      <c r="L91" s="4" t="n"/>
    </row>
    <row r="92">
      <c r="A92" s="4" t="inlineStr">
        <is>
          <t>480</t>
        </is>
      </c>
      <c r="B92" s="4" t="inlineStr">
        <is>
          <t>antelope</t>
        </is>
      </c>
      <c r="C92" s="4" t="inlineStr">
        <is>
          <t>Antelope B License: 480-30</t>
        </is>
      </c>
      <c r="D92" s="15" t="inlineStr">
        <is>
          <t>Drawing</t>
        </is>
      </c>
      <c r="E92" s="4" t="inlineStr">
        <is>
          <t>Doe/Fawn Antelope</t>
        </is>
      </c>
      <c r="F92" s="4" t="inlineStr">
        <is>
          <t>Sept. 05-Oct. 09</t>
        </is>
      </c>
      <c r="G92" s="4" t="inlineStr">
        <is>
          <t>Oct. 10-Nov. 08</t>
        </is>
      </c>
      <c r="H92" s="4" t="n"/>
      <c r="I92" s="4" t="n"/>
      <c r="J92" s="4" t="inlineStr">
        <is>
          <t>June 1</t>
        </is>
      </c>
      <c r="K92" s="4" t="inlineStr">
        <is>
          <t>100</t>
        </is>
      </c>
      <c r="L92" s="4" t="n"/>
    </row>
    <row r="93">
      <c r="A93" s="4" t="inlineStr">
        <is>
          <t>480</t>
        </is>
      </c>
      <c r="B93" s="4" t="inlineStr">
        <is>
          <t>antelope</t>
        </is>
      </c>
      <c r="C93" s="4" t="inlineStr">
        <is>
          <t>Antelope License: 900-20</t>
        </is>
      </c>
      <c r="D93" s="15" t="inlineStr">
        <is>
          <t>Drawing</t>
        </is>
      </c>
      <c r="E93" s="4" t="inlineStr">
        <is>
          <t>Either-sex Antelope</t>
        </is>
      </c>
      <c r="F93" s="4" t="n"/>
      <c r="G93" s="4" t="inlineStr">
        <is>
          <t>Aug. 15-Nov. 08</t>
        </is>
      </c>
      <c r="H93" s="4" t="n"/>
      <c r="I93" s="4" t="n"/>
      <c r="J93" s="4" t="inlineStr">
        <is>
          <t>June 1</t>
        </is>
      </c>
      <c r="K93" s="4" t="inlineStr">
        <is>
          <t>5,600</t>
        </is>
      </c>
      <c r="L93" s="4" t="inlineStr">
        <is>
          <t>First and only choice. ArchEquip only.</t>
        </is>
      </c>
    </row>
    <row r="94">
      <c r="A94" s="4" t="inlineStr">
        <is>
          <t>481</t>
        </is>
      </c>
      <c r="B94" s="4" t="inlineStr">
        <is>
          <t>antelope</t>
        </is>
      </c>
      <c r="C94" s="4" t="inlineStr">
        <is>
          <t>Antelope License: 481-20</t>
        </is>
      </c>
      <c r="D94" s="15" t="inlineStr">
        <is>
          <t>Drawing</t>
        </is>
      </c>
      <c r="E94" s="4" t="inlineStr">
        <is>
          <t>Either-sex Antelope</t>
        </is>
      </c>
      <c r="F94" s="4" t="inlineStr">
        <is>
          <t>Sept. 05-Oct. 09</t>
        </is>
      </c>
      <c r="G94" s="4" t="inlineStr">
        <is>
          <t>Oct. 10-Nov. 08</t>
        </is>
      </c>
      <c r="H94" s="4" t="n"/>
      <c r="I94" s="4" t="n"/>
      <c r="J94" s="4" t="inlineStr">
        <is>
          <t>June 1</t>
        </is>
      </c>
      <c r="K94" s="4" t="inlineStr">
        <is>
          <t>150</t>
        </is>
      </c>
      <c r="L94" s="4" t="n"/>
    </row>
    <row r="95">
      <c r="A95" s="4" t="inlineStr">
        <is>
          <t>481</t>
        </is>
      </c>
      <c r="B95" s="4" t="inlineStr">
        <is>
          <t>antelope</t>
        </is>
      </c>
      <c r="C95" s="4" t="inlineStr">
        <is>
          <t>Antelope B License: 481-30</t>
        </is>
      </c>
      <c r="D95" s="15" t="inlineStr">
        <is>
          <t>Drawing</t>
        </is>
      </c>
      <c r="E95" s="4" t="inlineStr">
        <is>
          <t>Doe/Fawn Antelope</t>
        </is>
      </c>
      <c r="F95" s="4" t="inlineStr">
        <is>
          <t>Sept. 05-Oct. 09</t>
        </is>
      </c>
      <c r="G95" s="4" t="inlineStr">
        <is>
          <t>Oct. 10-Nov. 08</t>
        </is>
      </c>
      <c r="H95" s="4" t="n"/>
      <c r="I95" s="4" t="n"/>
      <c r="J95" s="4" t="inlineStr">
        <is>
          <t>June 1</t>
        </is>
      </c>
      <c r="K95" s="4" t="inlineStr">
        <is>
          <t>100</t>
        </is>
      </c>
      <c r="L95" s="4" t="n"/>
    </row>
    <row r="96">
      <c r="A96" s="4" t="inlineStr">
        <is>
          <t>481</t>
        </is>
      </c>
      <c r="B96" s="4" t="inlineStr">
        <is>
          <t>antelope</t>
        </is>
      </c>
      <c r="C96" s="4" t="inlineStr">
        <is>
          <t>Antelope License: 900-20</t>
        </is>
      </c>
      <c r="D96" s="15" t="inlineStr">
        <is>
          <t>Drawing</t>
        </is>
      </c>
      <c r="E96" s="4" t="inlineStr">
        <is>
          <t>Either-sex Antelope</t>
        </is>
      </c>
      <c r="F96" s="4" t="n"/>
      <c r="G96" s="4" t="inlineStr">
        <is>
          <t>Aug. 15-Nov. 08</t>
        </is>
      </c>
      <c r="H96" s="4" t="n"/>
      <c r="I96" s="4" t="n"/>
      <c r="J96" s="4" t="inlineStr">
        <is>
          <t>June 1</t>
        </is>
      </c>
      <c r="K96" s="4" t="inlineStr">
        <is>
          <t>5,600</t>
        </is>
      </c>
      <c r="L96" s="4" t="inlineStr">
        <is>
          <t>First and only choice. ArchEquip only.</t>
        </is>
      </c>
    </row>
    <row r="97">
      <c r="A97" s="4" t="inlineStr">
        <is>
          <t>485</t>
        </is>
      </c>
      <c r="B97" s="4" t="inlineStr">
        <is>
          <t>antelope</t>
        </is>
      </c>
      <c r="C97" s="4" t="inlineStr">
        <is>
          <t>Antelope License: 485-20</t>
        </is>
      </c>
      <c r="D97" s="15" t="inlineStr">
        <is>
          <t>Drawing</t>
        </is>
      </c>
      <c r="E97" s="4" t="inlineStr">
        <is>
          <t>Either-sex Antelope</t>
        </is>
      </c>
      <c r="F97" s="4" t="inlineStr">
        <is>
          <t>Sept. 05-Oct. 09</t>
        </is>
      </c>
      <c r="G97" s="4" t="inlineStr">
        <is>
          <t>Oct. 10-Nov. 08</t>
        </is>
      </c>
      <c r="H97" s="4" t="n"/>
      <c r="I97" s="4" t="n"/>
      <c r="J97" s="4" t="inlineStr">
        <is>
          <t>June 1</t>
        </is>
      </c>
      <c r="K97" s="4" t="inlineStr">
        <is>
          <t>50</t>
        </is>
      </c>
      <c r="L97" s="4" t="n"/>
    </row>
    <row r="98">
      <c r="A98" s="4" t="inlineStr">
        <is>
          <t>485</t>
        </is>
      </c>
      <c r="B98" s="4" t="inlineStr">
        <is>
          <t>antelope</t>
        </is>
      </c>
      <c r="C98" s="4" t="inlineStr">
        <is>
          <t>Antelope B License: 485-30</t>
        </is>
      </c>
      <c r="D98" s="15" t="inlineStr">
        <is>
          <t>Drawing</t>
        </is>
      </c>
      <c r="E98" s="4" t="inlineStr">
        <is>
          <t>Doe/Fawn Antelope</t>
        </is>
      </c>
      <c r="F98" s="4" t="inlineStr">
        <is>
          <t>Sept. 05-Oct. 09</t>
        </is>
      </c>
      <c r="G98" s="4" t="inlineStr">
        <is>
          <t>Oct. 10-Nov. 08</t>
        </is>
      </c>
      <c r="H98" s="4" t="n"/>
      <c r="I98" s="4" t="n"/>
      <c r="J98" s="4" t="inlineStr">
        <is>
          <t>June 1</t>
        </is>
      </c>
      <c r="K98" s="4" t="inlineStr">
        <is>
          <t>50</t>
        </is>
      </c>
      <c r="L98" s="4" t="n"/>
    </row>
    <row r="99">
      <c r="A99" s="4" t="inlineStr">
        <is>
          <t>485</t>
        </is>
      </c>
      <c r="B99" s="4" t="inlineStr">
        <is>
          <t>antelope</t>
        </is>
      </c>
      <c r="C99" s="4" t="inlineStr">
        <is>
          <t>Antelope License: 900-20</t>
        </is>
      </c>
      <c r="D99" s="15" t="inlineStr">
        <is>
          <t>Drawing</t>
        </is>
      </c>
      <c r="E99" s="4" t="inlineStr">
        <is>
          <t>Either-sex Antelope</t>
        </is>
      </c>
      <c r="F99" s="4" t="n"/>
      <c r="G99" s="4" t="inlineStr">
        <is>
          <t>Aug. 15-Nov. 08</t>
        </is>
      </c>
      <c r="H99" s="4" t="n"/>
      <c r="I99" s="4" t="n"/>
      <c r="J99" s="4" t="inlineStr">
        <is>
          <t>June 1</t>
        </is>
      </c>
      <c r="K99" s="4" t="inlineStr">
        <is>
          <t>5,600</t>
        </is>
      </c>
      <c r="L99" s="4" t="inlineStr">
        <is>
          <t>First and only choice. ArchEquip only.</t>
        </is>
      </c>
    </row>
    <row r="100">
      <c r="A100" s="4" t="inlineStr">
        <is>
          <t>490</t>
        </is>
      </c>
      <c r="B100" s="4" t="inlineStr">
        <is>
          <t>antelope</t>
        </is>
      </c>
      <c r="C100" s="4" t="inlineStr">
        <is>
          <t>Antelope License: 490-20</t>
        </is>
      </c>
      <c r="D100" s="15" t="inlineStr">
        <is>
          <t>Drawing</t>
        </is>
      </c>
      <c r="E100" s="4" t="inlineStr">
        <is>
          <t>Either-sex Antelope</t>
        </is>
      </c>
      <c r="F100" s="4" t="inlineStr">
        <is>
          <t>Sept. 05-Oct. 09</t>
        </is>
      </c>
      <c r="G100" s="4" t="inlineStr">
        <is>
          <t>Oct. 10-Nov. 08</t>
        </is>
      </c>
      <c r="H100" s="4" t="n"/>
      <c r="I100" s="4" t="n"/>
      <c r="J100" s="4" t="inlineStr">
        <is>
          <t>June 1</t>
        </is>
      </c>
      <c r="K100" s="4" t="inlineStr">
        <is>
          <t>150</t>
        </is>
      </c>
      <c r="L100" s="4" t="n"/>
    </row>
    <row r="101">
      <c r="A101" s="4" t="inlineStr">
        <is>
          <t>490</t>
        </is>
      </c>
      <c r="B101" s="4" t="inlineStr">
        <is>
          <t>antelope</t>
        </is>
      </c>
      <c r="C101" s="4" t="inlineStr">
        <is>
          <t>Antelope B License: 490-30</t>
        </is>
      </c>
      <c r="D101" s="15" t="inlineStr">
        <is>
          <t>Drawing</t>
        </is>
      </c>
      <c r="E101" s="4" t="inlineStr">
        <is>
          <t>Doe/Fawn Antelope</t>
        </is>
      </c>
      <c r="F101" s="4" t="inlineStr">
        <is>
          <t>Sept. 05-Oct. 09</t>
        </is>
      </c>
      <c r="G101" s="4" t="inlineStr">
        <is>
          <t>Oct. 10-Nov. 08</t>
        </is>
      </c>
      <c r="H101" s="4" t="n"/>
      <c r="I101" s="4" t="n"/>
      <c r="J101" s="4" t="inlineStr">
        <is>
          <t>June 1</t>
        </is>
      </c>
      <c r="K101" s="4" t="inlineStr">
        <is>
          <t>125</t>
        </is>
      </c>
      <c r="L101" s="4" t="n"/>
    </row>
    <row r="102">
      <c r="A102" s="4" t="inlineStr">
        <is>
          <t>490</t>
        </is>
      </c>
      <c r="B102" s="4" t="inlineStr">
        <is>
          <t>antelope</t>
        </is>
      </c>
      <c r="C102" s="4" t="inlineStr">
        <is>
          <t>Antelope License: 900-20</t>
        </is>
      </c>
      <c r="D102" s="15" t="inlineStr">
        <is>
          <t>Drawing</t>
        </is>
      </c>
      <c r="E102" s="4" t="inlineStr">
        <is>
          <t>Either-sex Antelope</t>
        </is>
      </c>
      <c r="F102" s="4" t="n"/>
      <c r="G102" s="4" t="inlineStr">
        <is>
          <t>Aug. 15-Nov. 08</t>
        </is>
      </c>
      <c r="H102" s="4" t="n"/>
      <c r="I102" s="4" t="n"/>
      <c r="J102" s="4" t="inlineStr">
        <is>
          <t>June 1</t>
        </is>
      </c>
      <c r="K102" s="4" t="inlineStr">
        <is>
          <t>5,600</t>
        </is>
      </c>
      <c r="L102" s="4" t="inlineStr">
        <is>
          <t>First and only choice. ArchEquip only. Region</t>
        </is>
      </c>
    </row>
    <row r="103">
      <c r="A103" s="4" t="inlineStr">
        <is>
          <t>506</t>
        </is>
      </c>
      <c r="B103" s="4" t="inlineStr">
        <is>
          <t>antelope</t>
        </is>
      </c>
      <c r="C103" s="4" t="inlineStr">
        <is>
          <t>Antelope License: 506-20</t>
        </is>
      </c>
      <c r="D103" s="15" t="inlineStr">
        <is>
          <t>Drawing</t>
        </is>
      </c>
      <c r="E103" s="4" t="inlineStr">
        <is>
          <t>Either-sex Antelope</t>
        </is>
      </c>
      <c r="F103" s="4" t="inlineStr">
        <is>
          <t>Sept. 05-Oct. 09</t>
        </is>
      </c>
      <c r="G103" s="4" t="inlineStr">
        <is>
          <t>Oct. 10-Nov. 08</t>
        </is>
      </c>
      <c r="H103" s="4" t="n"/>
      <c r="I103" s="4" t="n"/>
      <c r="J103" s="4" t="inlineStr">
        <is>
          <t>June 1</t>
        </is>
      </c>
      <c r="K103" s="4" t="inlineStr">
        <is>
          <t>200</t>
        </is>
      </c>
      <c r="L103" s="4" t="n"/>
    </row>
    <row r="104">
      <c r="A104" s="4" t="inlineStr">
        <is>
          <t>506</t>
        </is>
      </c>
      <c r="B104" s="4" t="inlineStr">
        <is>
          <t>antelope</t>
        </is>
      </c>
      <c r="C104" s="4" t="inlineStr">
        <is>
          <t>Antelope License: 900-20</t>
        </is>
      </c>
      <c r="D104" s="15" t="inlineStr">
        <is>
          <t>Drawing</t>
        </is>
      </c>
      <c r="E104" s="4" t="inlineStr">
        <is>
          <t>Either-sex Antelope</t>
        </is>
      </c>
      <c r="F104" s="4" t="n"/>
      <c r="G104" s="4" t="inlineStr">
        <is>
          <t>Aug. 15-Nov. 08</t>
        </is>
      </c>
      <c r="H104" s="4" t="n"/>
      <c r="I104" s="4" t="n"/>
      <c r="J104" s="4" t="inlineStr">
        <is>
          <t>June 1</t>
        </is>
      </c>
      <c r="K104" s="4" t="inlineStr">
        <is>
          <t>5,600</t>
        </is>
      </c>
      <c r="L104" s="4" t="inlineStr">
        <is>
          <t>First and only choice. ArchEquip only.</t>
        </is>
      </c>
    </row>
    <row r="105">
      <c r="A105" s="4" t="inlineStr">
        <is>
          <t>516</t>
        </is>
      </c>
      <c r="B105" s="4" t="inlineStr">
        <is>
          <t>antelope</t>
        </is>
      </c>
      <c r="C105" s="4" t="inlineStr">
        <is>
          <t>Antelope License: 516-20</t>
        </is>
      </c>
      <c r="D105" s="15" t="inlineStr">
        <is>
          <t>Drawing</t>
        </is>
      </c>
      <c r="E105" s="4" t="inlineStr">
        <is>
          <t>Either-sex Antelope</t>
        </is>
      </c>
      <c r="F105" s="4" t="inlineStr">
        <is>
          <t>Sept. 05-Oct. 09</t>
        </is>
      </c>
      <c r="G105" s="4" t="inlineStr">
        <is>
          <t>Oct. 10-Nov. 08</t>
        </is>
      </c>
      <c r="H105" s="4" t="n"/>
      <c r="I105" s="4" t="n"/>
      <c r="J105" s="4" t="inlineStr">
        <is>
          <t>June 1</t>
        </is>
      </c>
      <c r="K105" s="4" t="inlineStr">
        <is>
          <t>700</t>
        </is>
      </c>
      <c r="L105" s="4" t="n"/>
    </row>
    <row r="106">
      <c r="A106" s="4" t="inlineStr">
        <is>
          <t>516</t>
        </is>
      </c>
      <c r="B106" s="4" t="inlineStr">
        <is>
          <t>antelope</t>
        </is>
      </c>
      <c r="C106" s="4" t="inlineStr">
        <is>
          <t>Antelope B License: 516-30</t>
        </is>
      </c>
      <c r="D106" s="15" t="inlineStr">
        <is>
          <t>Drawing</t>
        </is>
      </c>
      <c r="E106" s="4" t="inlineStr">
        <is>
          <t>Doe/Fawn Antelope</t>
        </is>
      </c>
      <c r="F106" s="4" t="inlineStr">
        <is>
          <t>Sept. 05-Oct. 09</t>
        </is>
      </c>
      <c r="G106" s="4" t="inlineStr">
        <is>
          <t>Oct. 10-Nov. 08</t>
        </is>
      </c>
      <c r="H106" s="4" t="n"/>
      <c r="I106" s="4" t="n"/>
      <c r="J106" s="4" t="inlineStr">
        <is>
          <t>June 1</t>
        </is>
      </c>
      <c r="K106" s="4" t="inlineStr">
        <is>
          <t>50</t>
        </is>
      </c>
      <c r="L106" s="4" t="n"/>
    </row>
    <row r="107">
      <c r="A107" s="4" t="inlineStr">
        <is>
          <t>516</t>
        </is>
      </c>
      <c r="B107" s="4" t="inlineStr">
        <is>
          <t>antelope</t>
        </is>
      </c>
      <c r="C107" s="4" t="inlineStr">
        <is>
          <t>Antelope License: 900-20</t>
        </is>
      </c>
      <c r="D107" s="15" t="inlineStr">
        <is>
          <t>Drawing</t>
        </is>
      </c>
      <c r="E107" s="4" t="inlineStr">
        <is>
          <t>Either-sex Antelope</t>
        </is>
      </c>
      <c r="F107" s="4" t="n"/>
      <c r="G107" s="4" t="inlineStr">
        <is>
          <t>Aug. 15-Nov. 08</t>
        </is>
      </c>
      <c r="H107" s="4" t="n"/>
      <c r="I107" s="4" t="n"/>
      <c r="J107" s="4" t="inlineStr">
        <is>
          <t>June 1</t>
        </is>
      </c>
      <c r="K107" s="4" t="inlineStr">
        <is>
          <t>5,600</t>
        </is>
      </c>
      <c r="L107" s="4" t="inlineStr">
        <is>
          <t>First and only choice. ArchEquip only.</t>
        </is>
      </c>
    </row>
    <row r="108">
      <c r="A108" s="4" t="inlineStr">
        <is>
          <t>526</t>
        </is>
      </c>
      <c r="B108" s="4" t="inlineStr">
        <is>
          <t>antelope</t>
        </is>
      </c>
      <c r="C108" s="4" t="inlineStr">
        <is>
          <t>Antelope License: 526-20</t>
        </is>
      </c>
      <c r="D108" s="15" t="inlineStr">
        <is>
          <t>Drawing</t>
        </is>
      </c>
      <c r="E108" s="4" t="inlineStr">
        <is>
          <t>Either-sex Antelope</t>
        </is>
      </c>
      <c r="F108" s="4" t="inlineStr">
        <is>
          <t>Sept. 05-Oct. 09</t>
        </is>
      </c>
      <c r="G108" s="4" t="inlineStr">
        <is>
          <t>Oct. 10-Nov. 08</t>
        </is>
      </c>
      <c r="H108" s="4" t="n"/>
      <c r="I108" s="4" t="n"/>
      <c r="J108" s="4" t="inlineStr">
        <is>
          <t>June 1</t>
        </is>
      </c>
      <c r="K108" s="4" t="inlineStr">
        <is>
          <t>250</t>
        </is>
      </c>
      <c r="L108" s="4" t="n"/>
    </row>
    <row r="109">
      <c r="A109" s="4" t="inlineStr">
        <is>
          <t>526</t>
        </is>
      </c>
      <c r="B109" s="4" t="inlineStr">
        <is>
          <t>antelope</t>
        </is>
      </c>
      <c r="C109" s="4" t="inlineStr">
        <is>
          <t>Antelope License: 900-20</t>
        </is>
      </c>
      <c r="D109" s="15" t="inlineStr">
        <is>
          <t>Drawing</t>
        </is>
      </c>
      <c r="E109" s="4" t="inlineStr">
        <is>
          <t>Either-sex Antelope</t>
        </is>
      </c>
      <c r="F109" s="4" t="n"/>
      <c r="G109" s="4" t="inlineStr">
        <is>
          <t>Aug. 15-Nov. 08</t>
        </is>
      </c>
      <c r="H109" s="4" t="n"/>
      <c r="I109" s="4" t="n"/>
      <c r="J109" s="4" t="inlineStr">
        <is>
          <t>June 1</t>
        </is>
      </c>
      <c r="K109" s="4" t="inlineStr">
        <is>
          <t>5,600</t>
        </is>
      </c>
      <c r="L109" s="4" t="inlineStr">
        <is>
          <t>First and only choice. ArchEquip only.</t>
        </is>
      </c>
    </row>
    <row r="110">
      <c r="A110" s="4" t="inlineStr">
        <is>
          <t>536</t>
        </is>
      </c>
      <c r="B110" s="4" t="inlineStr">
        <is>
          <t>antelope</t>
        </is>
      </c>
      <c r="C110" s="4" t="inlineStr">
        <is>
          <t>Antelope License: 536-20</t>
        </is>
      </c>
      <c r="D110" s="15" t="inlineStr">
        <is>
          <t>Drawing</t>
        </is>
      </c>
      <c r="E110" s="4" t="inlineStr">
        <is>
          <t>Either-sex Antelope</t>
        </is>
      </c>
      <c r="F110" s="4" t="inlineStr">
        <is>
          <t>Sept. 05-Oct. 09</t>
        </is>
      </c>
      <c r="G110" s="4" t="inlineStr">
        <is>
          <t>Oct. 10-Nov. 08</t>
        </is>
      </c>
      <c r="H110" s="4" t="n"/>
      <c r="I110" s="4" t="n"/>
      <c r="J110" s="4" t="inlineStr">
        <is>
          <t>June 1</t>
        </is>
      </c>
      <c r="K110" s="4" t="inlineStr">
        <is>
          <t>300</t>
        </is>
      </c>
      <c r="L110" s="4" t="n"/>
    </row>
    <row r="111">
      <c r="A111" s="4" t="inlineStr">
        <is>
          <t>536</t>
        </is>
      </c>
      <c r="B111" s="4" t="inlineStr">
        <is>
          <t>antelope</t>
        </is>
      </c>
      <c r="C111" s="4" t="inlineStr">
        <is>
          <t>Antelope License: 900-20</t>
        </is>
      </c>
      <c r="D111" s="15" t="inlineStr">
        <is>
          <t>Drawing</t>
        </is>
      </c>
      <c r="E111" s="4" t="inlineStr">
        <is>
          <t>Either-sex Antelope</t>
        </is>
      </c>
      <c r="F111" s="4" t="n"/>
      <c r="G111" s="4" t="inlineStr">
        <is>
          <t>Aug. 15-Nov. 08</t>
        </is>
      </c>
      <c r="H111" s="4" t="n"/>
      <c r="I111" s="4" t="n"/>
      <c r="J111" s="4" t="inlineStr">
        <is>
          <t>June 1</t>
        </is>
      </c>
      <c r="K111" s="4" t="inlineStr">
        <is>
          <t>5,600</t>
        </is>
      </c>
      <c r="L111" s="4" t="inlineStr">
        <is>
          <t>First and only choice. ArchEquip only. 141 2026 Deer • Elk • Antelope Visit fwp.mt.gov License Opportunity Apply by Date Quota Quota Range Archery Season Dates Season Dates Opportunity Specifc Information/Restrictions</t>
        </is>
      </c>
    </row>
    <row r="112">
      <c r="A112" s="4" t="inlineStr">
        <is>
          <t>546</t>
        </is>
      </c>
      <c r="B112" s="4" t="inlineStr">
        <is>
          <t>antelope</t>
        </is>
      </c>
      <c r="C112" s="4" t="inlineStr">
        <is>
          <t>Antelope License: 546-20</t>
        </is>
      </c>
      <c r="D112" s="15" t="inlineStr">
        <is>
          <t>Drawing</t>
        </is>
      </c>
      <c r="E112" s="4" t="inlineStr">
        <is>
          <t>Either-sex Antelope</t>
        </is>
      </c>
      <c r="F112" s="4" t="inlineStr">
        <is>
          <t>Sept. 05-Oct. 09</t>
        </is>
      </c>
      <c r="G112" s="4" t="inlineStr">
        <is>
          <t>Oct. 10-Nov. 08</t>
        </is>
      </c>
      <c r="H112" s="4" t="n"/>
      <c r="I112" s="4" t="n"/>
      <c r="J112" s="4" t="inlineStr">
        <is>
          <t>June 1</t>
        </is>
      </c>
      <c r="K112" s="4" t="inlineStr">
        <is>
          <t>400</t>
        </is>
      </c>
      <c r="L112" s="4" t="n"/>
    </row>
    <row r="113">
      <c r="A113" s="4" t="inlineStr">
        <is>
          <t>546</t>
        </is>
      </c>
      <c r="B113" s="4" t="inlineStr">
        <is>
          <t>antelope</t>
        </is>
      </c>
      <c r="C113" s="4" t="inlineStr">
        <is>
          <t>Antelope B License: 546-30</t>
        </is>
      </c>
      <c r="D113" s="15" t="inlineStr">
        <is>
          <t>Drawing</t>
        </is>
      </c>
      <c r="E113" s="4" t="inlineStr">
        <is>
          <t>Doe/Fawn Antelope</t>
        </is>
      </c>
      <c r="F113" s="4" t="inlineStr">
        <is>
          <t>Sept. 05-Oct. 09</t>
        </is>
      </c>
      <c r="G113" s="4" t="inlineStr">
        <is>
          <t>Oct. 10-Nov. 08</t>
        </is>
      </c>
      <c r="H113" s="4" t="n"/>
      <c r="I113" s="4" t="n"/>
      <c r="J113" s="4" t="inlineStr">
        <is>
          <t>June 1</t>
        </is>
      </c>
      <c r="K113" s="4" t="inlineStr">
        <is>
          <t>200</t>
        </is>
      </c>
      <c r="L113" s="4" t="n"/>
    </row>
    <row r="114">
      <c r="A114" s="4" t="inlineStr">
        <is>
          <t>546</t>
        </is>
      </c>
      <c r="B114" s="4" t="inlineStr">
        <is>
          <t>antelope</t>
        </is>
      </c>
      <c r="C114" s="4" t="inlineStr">
        <is>
          <t>Antelope License: 900-20</t>
        </is>
      </c>
      <c r="D114" s="15" t="inlineStr">
        <is>
          <t>Drawing</t>
        </is>
      </c>
      <c r="E114" s="4" t="inlineStr">
        <is>
          <t>Either-sex Antelope</t>
        </is>
      </c>
      <c r="F114" s="4" t="n"/>
      <c r="G114" s="4" t="inlineStr">
        <is>
          <t>Aug. 15-Nov. 08</t>
        </is>
      </c>
      <c r="H114" s="4" t="n"/>
      <c r="I114" s="4" t="n"/>
      <c r="J114" s="4" t="inlineStr">
        <is>
          <t>June 1</t>
        </is>
      </c>
      <c r="K114" s="4" t="inlineStr">
        <is>
          <t>5,600</t>
        </is>
      </c>
      <c r="L114" s="4" t="inlineStr">
        <is>
          <t>First and only choice. ArchEquip only.</t>
        </is>
      </c>
    </row>
    <row r="115">
      <c r="A115" s="4" t="inlineStr">
        <is>
          <t>556</t>
        </is>
      </c>
      <c r="B115" s="4" t="inlineStr">
        <is>
          <t>antelope</t>
        </is>
      </c>
      <c r="C115" s="4" t="inlineStr">
        <is>
          <t>Antelope License: 556-20</t>
        </is>
      </c>
      <c r="D115" s="15" t="inlineStr">
        <is>
          <t>Drawing</t>
        </is>
      </c>
      <c r="E115" s="4" t="inlineStr">
        <is>
          <t>Either-sex Antelope</t>
        </is>
      </c>
      <c r="F115" s="4" t="inlineStr">
        <is>
          <t>Sept. 05-Oct. 09</t>
        </is>
      </c>
      <c r="G115" s="4" t="inlineStr">
        <is>
          <t>Oct. 10-Nov. 08</t>
        </is>
      </c>
      <c r="H115" s="4" t="n"/>
      <c r="I115" s="4" t="n"/>
      <c r="J115" s="4" t="inlineStr">
        <is>
          <t>June 1</t>
        </is>
      </c>
      <c r="K115" s="4" t="inlineStr">
        <is>
          <t>125</t>
        </is>
      </c>
      <c r="L115" s="4" t="n"/>
    </row>
    <row r="116">
      <c r="A116" s="4" t="inlineStr">
        <is>
          <t>556</t>
        </is>
      </c>
      <c r="B116" s="4" t="inlineStr">
        <is>
          <t>antelope</t>
        </is>
      </c>
      <c r="C116" s="4" t="inlineStr">
        <is>
          <t>Antelope License: 900-20</t>
        </is>
      </c>
      <c r="D116" s="15" t="inlineStr">
        <is>
          <t>Drawing</t>
        </is>
      </c>
      <c r="E116" s="4" t="inlineStr">
        <is>
          <t>Either-sex Antelope</t>
        </is>
      </c>
      <c r="F116" s="4" t="n"/>
      <c r="G116" s="4" t="inlineStr">
        <is>
          <t>Aug. 15-Nov. 08</t>
        </is>
      </c>
      <c r="H116" s="4" t="n"/>
      <c r="I116" s="4" t="n"/>
      <c r="J116" s="4" t="inlineStr">
        <is>
          <t>June 1</t>
        </is>
      </c>
      <c r="K116" s="4" t="inlineStr">
        <is>
          <t>5,600</t>
        </is>
      </c>
      <c r="L116" s="4" t="inlineStr">
        <is>
          <t>First and only choice. ArchEquip only.</t>
        </is>
      </c>
    </row>
    <row r="117">
      <c r="A117" s="4" t="inlineStr">
        <is>
          <t>576</t>
        </is>
      </c>
      <c r="B117" s="4" t="inlineStr">
        <is>
          <t>antelope</t>
        </is>
      </c>
      <c r="C117" s="4" t="inlineStr">
        <is>
          <t>Antelope License: 576-20</t>
        </is>
      </c>
      <c r="D117" s="15" t="inlineStr">
        <is>
          <t>Drawing</t>
        </is>
      </c>
      <c r="E117" s="4" t="inlineStr">
        <is>
          <t>Either-sex Antelope</t>
        </is>
      </c>
      <c r="F117" s="4" t="inlineStr">
        <is>
          <t>Sept. 05-Oct. 09</t>
        </is>
      </c>
      <c r="G117" s="4" t="inlineStr">
        <is>
          <t>Oct. 10-Nov. 08</t>
        </is>
      </c>
      <c r="H117" s="4" t="n"/>
      <c r="I117" s="4" t="n"/>
      <c r="J117" s="4" t="inlineStr">
        <is>
          <t>June 1</t>
        </is>
      </c>
      <c r="K117" s="4" t="inlineStr">
        <is>
          <t>1,100</t>
        </is>
      </c>
      <c r="L117" s="4" t="n"/>
    </row>
    <row r="118">
      <c r="A118" s="4" t="inlineStr">
        <is>
          <t>576</t>
        </is>
      </c>
      <c r="B118" s="4" t="inlineStr">
        <is>
          <t>antelope</t>
        </is>
      </c>
      <c r="C118" s="4" t="inlineStr">
        <is>
          <t>Antelope B License: 576-30</t>
        </is>
      </c>
      <c r="D118" s="15" t="inlineStr">
        <is>
          <t>Drawing</t>
        </is>
      </c>
      <c r="E118" s="4" t="inlineStr">
        <is>
          <t>Doe/Fawn Antelope</t>
        </is>
      </c>
      <c r="F118" s="4" t="inlineStr">
        <is>
          <t>Sept. 05-Oct. 09</t>
        </is>
      </c>
      <c r="G118" s="4" t="inlineStr">
        <is>
          <t>Oct. 10-Nov. 08</t>
        </is>
      </c>
      <c r="H118" s="4" t="n"/>
      <c r="I118" s="4" t="n"/>
      <c r="J118" s="4" t="inlineStr">
        <is>
          <t>June 1</t>
        </is>
      </c>
      <c r="K118" s="4" t="inlineStr">
        <is>
          <t>50</t>
        </is>
      </c>
      <c r="L118" s="4" t="n"/>
    </row>
    <row r="119">
      <c r="A119" s="4" t="inlineStr">
        <is>
          <t>576</t>
        </is>
      </c>
      <c r="B119" s="4" t="inlineStr">
        <is>
          <t>antelope</t>
        </is>
      </c>
      <c r="C119" s="4" t="inlineStr">
        <is>
          <t>Antelope License: 900-20</t>
        </is>
      </c>
      <c r="D119" s="15" t="inlineStr">
        <is>
          <t>Drawing</t>
        </is>
      </c>
      <c r="E119" s="4" t="inlineStr">
        <is>
          <t>Either-sex Antelope</t>
        </is>
      </c>
      <c r="F119" s="4" t="n"/>
      <c r="G119" s="4" t="inlineStr">
        <is>
          <t>Aug. 15-Nov. 08</t>
        </is>
      </c>
      <c r="H119" s="4" t="n"/>
      <c r="I119" s="4" t="n"/>
      <c r="J119" s="4" t="inlineStr">
        <is>
          <t>June 1</t>
        </is>
      </c>
      <c r="K119" s="4" t="inlineStr">
        <is>
          <t>5,600</t>
        </is>
      </c>
      <c r="L119" s="4" t="inlineStr">
        <is>
          <t>First and only choice. ArchEquip only.</t>
        </is>
      </c>
    </row>
    <row r="120">
      <c r="A120" s="4" t="inlineStr">
        <is>
          <t>586</t>
        </is>
      </c>
      <c r="B120" s="4" t="inlineStr">
        <is>
          <t>antelope</t>
        </is>
      </c>
      <c r="C120" s="4" t="inlineStr">
        <is>
          <t>Antelope License: 586-20</t>
        </is>
      </c>
      <c r="D120" s="15" t="inlineStr">
        <is>
          <t>Drawing</t>
        </is>
      </c>
      <c r="E120" s="4" t="inlineStr">
        <is>
          <t>Either-sex Antelope</t>
        </is>
      </c>
      <c r="F120" s="4" t="inlineStr">
        <is>
          <t>Sept. 05-Oct. 09</t>
        </is>
      </c>
      <c r="G120" s="4" t="inlineStr">
        <is>
          <t>Oct. 10-Nov. 08</t>
        </is>
      </c>
      <c r="H120" s="4" t="n"/>
      <c r="I120" s="4" t="n"/>
      <c r="J120" s="4" t="inlineStr">
        <is>
          <t>June 1</t>
        </is>
      </c>
      <c r="K120" s="4" t="inlineStr">
        <is>
          <t>450</t>
        </is>
      </c>
      <c r="L120" s="4" t="n"/>
    </row>
    <row r="121">
      <c r="A121" s="4" t="inlineStr">
        <is>
          <t>586</t>
        </is>
      </c>
      <c r="B121" s="4" t="inlineStr">
        <is>
          <t>antelope</t>
        </is>
      </c>
      <c r="C121" s="4" t="inlineStr">
        <is>
          <t>Antelope B License: 586-30</t>
        </is>
      </c>
      <c r="D121" s="15" t="inlineStr">
        <is>
          <t>Drawing</t>
        </is>
      </c>
      <c r="E121" s="4" t="inlineStr">
        <is>
          <t>Doe/Fawn Antelope</t>
        </is>
      </c>
      <c r="F121" s="4" t="inlineStr">
        <is>
          <t>Sept. 05-Oct. 09</t>
        </is>
      </c>
      <c r="G121" s="4" t="inlineStr">
        <is>
          <t>Oct. 10-Nov. 08</t>
        </is>
      </c>
      <c r="H121" s="4" t="n"/>
      <c r="I121" s="4" t="n"/>
      <c r="J121" s="4" t="inlineStr">
        <is>
          <t>June 1</t>
        </is>
      </c>
      <c r="K121" s="4" t="inlineStr">
        <is>
          <t>200</t>
        </is>
      </c>
      <c r="L121" s="4" t="n"/>
    </row>
    <row r="122">
      <c r="A122" s="4" t="inlineStr">
        <is>
          <t>586</t>
        </is>
      </c>
      <c r="B122" s="4" t="inlineStr">
        <is>
          <t>antelope</t>
        </is>
      </c>
      <c r="C122" s="4" t="inlineStr">
        <is>
          <t>Antelope License: 900-20</t>
        </is>
      </c>
      <c r="D122" s="15" t="inlineStr">
        <is>
          <t>Drawing</t>
        </is>
      </c>
      <c r="E122" s="4" t="inlineStr">
        <is>
          <t>Either-sex Antelope</t>
        </is>
      </c>
      <c r="F122" s="4" t="n"/>
      <c r="G122" s="4" t="inlineStr">
        <is>
          <t>Aug. 15-Nov. 08</t>
        </is>
      </c>
      <c r="H122" s="4" t="n"/>
      <c r="I122" s="4" t="n"/>
      <c r="J122" s="4" t="inlineStr">
        <is>
          <t>June 1</t>
        </is>
      </c>
      <c r="K122" s="4" t="inlineStr">
        <is>
          <t>5,600</t>
        </is>
      </c>
      <c r="L122" s="4" t="inlineStr">
        <is>
          <t>First and only choice. ArchEquip only.</t>
        </is>
      </c>
    </row>
    <row r="123">
      <c r="A123" s="4" t="inlineStr">
        <is>
          <t>596</t>
        </is>
      </c>
      <c r="B123" s="4" t="inlineStr">
        <is>
          <t>antelope</t>
        </is>
      </c>
      <c r="C123" s="4" t="inlineStr">
        <is>
          <t>Antelope License: 596-20</t>
        </is>
      </c>
      <c r="D123" s="15" t="inlineStr">
        <is>
          <t>Drawing</t>
        </is>
      </c>
      <c r="E123" s="4" t="inlineStr">
        <is>
          <t>Either-sex Antelope</t>
        </is>
      </c>
      <c r="F123" s="4" t="inlineStr">
        <is>
          <t>Sept. 05-Oct. 09</t>
        </is>
      </c>
      <c r="G123" s="4" t="inlineStr">
        <is>
          <t>Oct. 10-Nov. 08</t>
        </is>
      </c>
      <c r="H123" s="4" t="n"/>
      <c r="I123" s="4" t="n"/>
      <c r="J123" s="4" t="inlineStr">
        <is>
          <t>June 1</t>
        </is>
      </c>
      <c r="K123" s="4" t="inlineStr">
        <is>
          <t>300</t>
        </is>
      </c>
      <c r="L123" s="4" t="n"/>
    </row>
    <row r="124">
      <c r="A124" s="4" t="inlineStr">
        <is>
          <t>596</t>
        </is>
      </c>
      <c r="B124" s="4" t="inlineStr">
        <is>
          <t>antelope</t>
        </is>
      </c>
      <c r="C124" s="4" t="inlineStr">
        <is>
          <t>Antelope B License: 596-30</t>
        </is>
      </c>
      <c r="D124" s="15" t="inlineStr">
        <is>
          <t>Drawing</t>
        </is>
      </c>
      <c r="E124" s="4" t="inlineStr">
        <is>
          <t>Doe/Fawn Antelope</t>
        </is>
      </c>
      <c r="F124" s="4" t="inlineStr">
        <is>
          <t>Sept. 05-Oct. 09</t>
        </is>
      </c>
      <c r="G124" s="4" t="inlineStr">
        <is>
          <t>Oct. 10-Nov. 08</t>
        </is>
      </c>
      <c r="H124" s="4" t="n"/>
      <c r="I124" s="4" t="n"/>
      <c r="J124" s="4" t="inlineStr">
        <is>
          <t>June 1</t>
        </is>
      </c>
      <c r="K124" s="4" t="inlineStr">
        <is>
          <t>150</t>
        </is>
      </c>
      <c r="L124" s="4" t="n"/>
    </row>
    <row r="125">
      <c r="A125" s="4" t="inlineStr">
        <is>
          <t>596</t>
        </is>
      </c>
      <c r="B125" s="4" t="inlineStr">
        <is>
          <t>antelope</t>
        </is>
      </c>
      <c r="C125" s="4" t="inlineStr">
        <is>
          <t>Antelope License: 900-20</t>
        </is>
      </c>
      <c r="D125" s="15" t="inlineStr">
        <is>
          <t>Drawing</t>
        </is>
      </c>
      <c r="E125" s="4" t="inlineStr">
        <is>
          <t>Either-sex Antelope</t>
        </is>
      </c>
      <c r="F125" s="4" t="n"/>
      <c r="G125" s="4" t="inlineStr">
        <is>
          <t>Aug. 15-Nov. 08</t>
        </is>
      </c>
      <c r="H125" s="4" t="n"/>
      <c r="I125" s="4" t="n"/>
      <c r="J125" s="4" t="inlineStr">
        <is>
          <t>June 1</t>
        </is>
      </c>
      <c r="K125" s="4" t="inlineStr">
        <is>
          <t>5,600</t>
        </is>
      </c>
      <c r="L125" s="4" t="inlineStr">
        <is>
          <t>First and only choice. ArchEquip only. Region</t>
        </is>
      </c>
    </row>
    <row r="126">
      <c r="A126" s="4" t="inlineStr">
        <is>
          <t>600</t>
        </is>
      </c>
      <c r="B126" s="4" t="inlineStr">
        <is>
          <t>antelope</t>
        </is>
      </c>
      <c r="C126" s="4" t="inlineStr">
        <is>
          <t>Antelope License: 600-20</t>
        </is>
      </c>
      <c r="D126" s="15" t="inlineStr">
        <is>
          <t>Drawing</t>
        </is>
      </c>
      <c r="E126" s="4" t="inlineStr">
        <is>
          <t>Either-sex Antelope</t>
        </is>
      </c>
      <c r="F126" s="4" t="inlineStr">
        <is>
          <t>Sept. 05-Oct. 09</t>
        </is>
      </c>
      <c r="G126" s="4" t="inlineStr">
        <is>
          <t>Oct. 10-Nov. 08</t>
        </is>
      </c>
      <c r="H126" s="4" t="n"/>
      <c r="I126" s="4" t="n"/>
      <c r="J126" s="4" t="inlineStr">
        <is>
          <t>June 1</t>
        </is>
      </c>
      <c r="K126" s="4" t="inlineStr">
        <is>
          <t>400</t>
        </is>
      </c>
      <c r="L126" s="4" t="n"/>
    </row>
    <row r="127">
      <c r="A127" s="4" t="inlineStr">
        <is>
          <t>600</t>
        </is>
      </c>
      <c r="B127" s="4" t="inlineStr">
        <is>
          <t>antelope</t>
        </is>
      </c>
      <c r="C127" s="4" t="inlineStr">
        <is>
          <t>Antelope B License: 600-30</t>
        </is>
      </c>
      <c r="D127" s="15" t="inlineStr">
        <is>
          <t>Drawing</t>
        </is>
      </c>
      <c r="E127" s="4" t="inlineStr">
        <is>
          <t>Doe/Fawn Antelope</t>
        </is>
      </c>
      <c r="F127" s="4" t="inlineStr">
        <is>
          <t>Sept. 05-Oct. 09</t>
        </is>
      </c>
      <c r="G127" s="4" t="inlineStr">
        <is>
          <t>Oct. 10-Nov. 08</t>
        </is>
      </c>
      <c r="H127" s="4" t="n"/>
      <c r="I127" s="4" t="n"/>
      <c r="J127" s="4" t="inlineStr">
        <is>
          <t>June 1</t>
        </is>
      </c>
      <c r="K127" s="4" t="inlineStr">
        <is>
          <t>100</t>
        </is>
      </c>
      <c r="L127" s="4" t="n"/>
    </row>
    <row r="128">
      <c r="A128" s="4" t="inlineStr">
        <is>
          <t>600</t>
        </is>
      </c>
      <c r="B128" s="4" t="inlineStr">
        <is>
          <t>antelope</t>
        </is>
      </c>
      <c r="C128" s="4" t="inlineStr">
        <is>
          <t>Antelope License: 900-20</t>
        </is>
      </c>
      <c r="D128" s="15" t="inlineStr">
        <is>
          <t>Drawing</t>
        </is>
      </c>
      <c r="E128" s="4" t="inlineStr">
        <is>
          <t>Either-sex Antelope</t>
        </is>
      </c>
      <c r="F128" s="4" t="n"/>
      <c r="G128" s="4" t="inlineStr">
        <is>
          <t>Aug. 15-Nov. 08</t>
        </is>
      </c>
      <c r="H128" s="4" t="n"/>
      <c r="I128" s="4" t="n"/>
      <c r="J128" s="4" t="inlineStr">
        <is>
          <t>June 1</t>
        </is>
      </c>
      <c r="K128" s="4" t="inlineStr">
        <is>
          <t>5,600</t>
        </is>
      </c>
      <c r="L128" s="4" t="inlineStr">
        <is>
          <t>First and only choice. ArchEquip only.</t>
        </is>
      </c>
    </row>
    <row r="129">
      <c r="A129" s="4" t="inlineStr">
        <is>
          <t>620</t>
        </is>
      </c>
      <c r="B129" s="4" t="inlineStr">
        <is>
          <t>antelope</t>
        </is>
      </c>
      <c r="C129" s="4" t="inlineStr">
        <is>
          <t>Antelope License: 620-20</t>
        </is>
      </c>
      <c r="D129" s="15" t="inlineStr">
        <is>
          <t>Drawing</t>
        </is>
      </c>
      <c r="E129" s="4" t="inlineStr">
        <is>
          <t>Either-sex Antelope</t>
        </is>
      </c>
      <c r="F129" s="4" t="inlineStr">
        <is>
          <t>Sept. 05-Oct. 09</t>
        </is>
      </c>
      <c r="G129" s="4" t="inlineStr">
        <is>
          <t>Oct. 10-Nov. 08</t>
        </is>
      </c>
      <c r="H129" s="4" t="n"/>
      <c r="I129" s="4" t="n"/>
      <c r="J129" s="4" t="inlineStr">
        <is>
          <t>June 1</t>
        </is>
      </c>
      <c r="K129" s="4" t="inlineStr">
        <is>
          <t>600</t>
        </is>
      </c>
      <c r="L129" s="4" t="n"/>
    </row>
    <row r="130">
      <c r="A130" s="4" t="inlineStr">
        <is>
          <t>620</t>
        </is>
      </c>
      <c r="B130" s="4" t="inlineStr">
        <is>
          <t>antelope</t>
        </is>
      </c>
      <c r="C130" s="4" t="inlineStr">
        <is>
          <t>Antelope B License: 620-30</t>
        </is>
      </c>
      <c r="D130" s="15" t="inlineStr">
        <is>
          <t>Drawing</t>
        </is>
      </c>
      <c r="E130" s="4" t="inlineStr">
        <is>
          <t>Doe/Fawn Antelope</t>
        </is>
      </c>
      <c r="F130" s="4" t="inlineStr">
        <is>
          <t>Sept. 05-Oct. 09</t>
        </is>
      </c>
      <c r="G130" s="4" t="inlineStr">
        <is>
          <t>Oct. 10-Nov. 08</t>
        </is>
      </c>
      <c r="H130" s="4" t="n"/>
      <c r="I130" s="4" t="n"/>
      <c r="J130" s="4" t="inlineStr">
        <is>
          <t>June 1</t>
        </is>
      </c>
      <c r="K130" s="4" t="inlineStr">
        <is>
          <t>100</t>
        </is>
      </c>
      <c r="L130" s="4" t="n"/>
    </row>
    <row r="131">
      <c r="A131" s="4" t="inlineStr">
        <is>
          <t>620</t>
        </is>
      </c>
      <c r="B131" s="4" t="inlineStr">
        <is>
          <t>antelope</t>
        </is>
      </c>
      <c r="C131" s="4" t="inlineStr">
        <is>
          <t>Antelope License: 900-20</t>
        </is>
      </c>
      <c r="D131" s="15" t="inlineStr">
        <is>
          <t>Drawing</t>
        </is>
      </c>
      <c r="E131" s="4" t="inlineStr">
        <is>
          <t>Either-sex Antelope</t>
        </is>
      </c>
      <c r="F131" s="4" t="n"/>
      <c r="G131" s="4" t="inlineStr">
        <is>
          <t>Aug. 15-Nov. 08</t>
        </is>
      </c>
      <c r="H131" s="4" t="n"/>
      <c r="I131" s="4" t="n"/>
      <c r="J131" s="4" t="inlineStr">
        <is>
          <t>June 1</t>
        </is>
      </c>
      <c r="K131" s="4" t="inlineStr">
        <is>
          <t>5,600</t>
        </is>
      </c>
      <c r="L131" s="4" t="inlineStr">
        <is>
          <t>First and only choice. ArchEquip only.</t>
        </is>
      </c>
    </row>
    <row r="132">
      <c r="A132" s="4" t="inlineStr">
        <is>
          <t>630</t>
        </is>
      </c>
      <c r="B132" s="4" t="inlineStr">
        <is>
          <t>antelope</t>
        </is>
      </c>
      <c r="C132" s="4" t="inlineStr">
        <is>
          <t>Antelope License: 630-20</t>
        </is>
      </c>
      <c r="D132" s="15" t="inlineStr">
        <is>
          <t>Drawing</t>
        </is>
      </c>
      <c r="E132" s="4" t="inlineStr">
        <is>
          <t>Either-sex Antelope</t>
        </is>
      </c>
      <c r="F132" s="4" t="inlineStr">
        <is>
          <t>Sept. 05-Oct. 09</t>
        </is>
      </c>
      <c r="G132" s="4" t="inlineStr">
        <is>
          <t>Oct. 10-Nov. 08</t>
        </is>
      </c>
      <c r="H132" s="4" t="n"/>
      <c r="I132" s="4" t="n"/>
      <c r="J132" s="4" t="inlineStr">
        <is>
          <t>June 1</t>
        </is>
      </c>
      <c r="K132" s="4" t="inlineStr">
        <is>
          <t>300</t>
        </is>
      </c>
      <c r="L132" s="4" t="n"/>
    </row>
    <row r="133">
      <c r="A133" s="4" t="inlineStr">
        <is>
          <t>630</t>
        </is>
      </c>
      <c r="B133" s="4" t="inlineStr">
        <is>
          <t>antelope</t>
        </is>
      </c>
      <c r="C133" s="4" t="inlineStr">
        <is>
          <t>Antelope B License: 630-30</t>
        </is>
      </c>
      <c r="D133" s="15" t="inlineStr">
        <is>
          <t>Drawing</t>
        </is>
      </c>
      <c r="E133" s="4" t="inlineStr">
        <is>
          <t>Doe/Fawn Antelope</t>
        </is>
      </c>
      <c r="F133" s="4" t="inlineStr">
        <is>
          <t>Sept. 05-Oct. 09</t>
        </is>
      </c>
      <c r="G133" s="4" t="inlineStr">
        <is>
          <t>Oct. 10-Nov. 08</t>
        </is>
      </c>
      <c r="H133" s="4" t="n"/>
      <c r="I133" s="4" t="n"/>
      <c r="J133" s="4" t="inlineStr">
        <is>
          <t>June 1</t>
        </is>
      </c>
      <c r="K133" s="4" t="inlineStr">
        <is>
          <t>50</t>
        </is>
      </c>
      <c r="L133" s="4" t="n"/>
    </row>
    <row r="134">
      <c r="A134" s="4" t="inlineStr">
        <is>
          <t>630</t>
        </is>
      </c>
      <c r="B134" s="4" t="inlineStr">
        <is>
          <t>antelope</t>
        </is>
      </c>
      <c r="C134" s="4" t="inlineStr">
        <is>
          <t>Antelope License: 900-20</t>
        </is>
      </c>
      <c r="D134" s="15" t="inlineStr">
        <is>
          <t>Drawing</t>
        </is>
      </c>
      <c r="E134" s="4" t="inlineStr">
        <is>
          <t>Either-sex Antelope</t>
        </is>
      </c>
      <c r="F134" s="4" t="n"/>
      <c r="G134" s="4" t="inlineStr">
        <is>
          <t>Aug. 15-Nov. 08</t>
        </is>
      </c>
      <c r="H134" s="4" t="n"/>
      <c r="I134" s="4" t="n"/>
      <c r="J134" s="4" t="inlineStr">
        <is>
          <t>June 1</t>
        </is>
      </c>
      <c r="K134" s="4" t="inlineStr">
        <is>
          <t>5,600</t>
        </is>
      </c>
      <c r="L134" s="4" t="inlineStr">
        <is>
          <t>First and only choice. ArchEquip only.</t>
        </is>
      </c>
    </row>
    <row r="135">
      <c r="A135" s="4" t="inlineStr">
        <is>
          <t>640</t>
        </is>
      </c>
      <c r="B135" s="4" t="inlineStr">
        <is>
          <t>antelope</t>
        </is>
      </c>
      <c r="C135" s="4" t="inlineStr">
        <is>
          <t>Antelope License: 640-20</t>
        </is>
      </c>
      <c r="D135" s="15" t="inlineStr">
        <is>
          <t>Drawing</t>
        </is>
      </c>
      <c r="E135" s="4" t="inlineStr">
        <is>
          <t>Either-sex Antelope</t>
        </is>
      </c>
      <c r="F135" s="4" t="inlineStr">
        <is>
          <t>Sept. 05-Oct. 09</t>
        </is>
      </c>
      <c r="G135" s="4" t="inlineStr">
        <is>
          <t>Oct. 10-Nov. 08</t>
        </is>
      </c>
      <c r="H135" s="4" t="n"/>
      <c r="I135" s="4" t="n"/>
      <c r="J135" s="4" t="inlineStr">
        <is>
          <t>June 1</t>
        </is>
      </c>
      <c r="K135" s="4" t="inlineStr">
        <is>
          <t>125</t>
        </is>
      </c>
      <c r="L135" s="4" t="n"/>
    </row>
    <row r="136">
      <c r="A136" s="4" t="inlineStr">
        <is>
          <t>640</t>
        </is>
      </c>
      <c r="B136" s="4" t="inlineStr">
        <is>
          <t>antelope</t>
        </is>
      </c>
      <c r="C136" s="4" t="inlineStr">
        <is>
          <t>Antelope B License: 640-30</t>
        </is>
      </c>
      <c r="D136" s="15" t="inlineStr">
        <is>
          <t>Drawing</t>
        </is>
      </c>
      <c r="E136" s="4" t="inlineStr">
        <is>
          <t>Doe/Fawn Antelope</t>
        </is>
      </c>
      <c r="F136" s="4" t="inlineStr">
        <is>
          <t>Sept. 05-Oct. 09</t>
        </is>
      </c>
      <c r="G136" s="4" t="inlineStr">
        <is>
          <t>Oct. 10-Nov. 08</t>
        </is>
      </c>
      <c r="H136" s="4" t="n"/>
      <c r="I136" s="4" t="n"/>
      <c r="J136" s="4" t="inlineStr">
        <is>
          <t>June 1</t>
        </is>
      </c>
      <c r="K136" s="4" t="inlineStr">
        <is>
          <t>25</t>
        </is>
      </c>
      <c r="L136" s="4" t="n"/>
    </row>
    <row r="137">
      <c r="A137" s="4" t="inlineStr">
        <is>
          <t>640</t>
        </is>
      </c>
      <c r="B137" s="4" t="inlineStr">
        <is>
          <t>antelope</t>
        </is>
      </c>
      <c r="C137" s="4" t="inlineStr">
        <is>
          <t>Antelope License: 900-20</t>
        </is>
      </c>
      <c r="D137" s="15" t="inlineStr">
        <is>
          <t>Drawing</t>
        </is>
      </c>
      <c r="E137" s="4" t="inlineStr">
        <is>
          <t>Either-sex Antelope</t>
        </is>
      </c>
      <c r="F137" s="4" t="n"/>
      <c r="G137" s="4" t="inlineStr">
        <is>
          <t>Aug. 15-Nov. 08</t>
        </is>
      </c>
      <c r="H137" s="4" t="n"/>
      <c r="I137" s="4" t="n"/>
      <c r="J137" s="4" t="inlineStr">
        <is>
          <t>June 1</t>
        </is>
      </c>
      <c r="K137" s="4" t="inlineStr">
        <is>
          <t>5,600</t>
        </is>
      </c>
      <c r="L137" s="4" t="inlineStr">
        <is>
          <t>First and only choice. ArchEquip only.</t>
        </is>
      </c>
    </row>
    <row r="138">
      <c r="A138" s="4" t="inlineStr">
        <is>
          <t>650</t>
        </is>
      </c>
      <c r="B138" s="4" t="inlineStr">
        <is>
          <t>antelope</t>
        </is>
      </c>
      <c r="C138" s="4" t="inlineStr">
        <is>
          <t>Antelope License: 650-20</t>
        </is>
      </c>
      <c r="D138" s="15" t="inlineStr">
        <is>
          <t>Drawing</t>
        </is>
      </c>
      <c r="E138" s="4" t="inlineStr">
        <is>
          <t>Either-sex Antelope</t>
        </is>
      </c>
      <c r="F138" s="4" t="inlineStr">
        <is>
          <t>Sept. 05-Oct. 09</t>
        </is>
      </c>
      <c r="G138" s="4" t="inlineStr">
        <is>
          <t>Oct. 10-Nov. 08</t>
        </is>
      </c>
      <c r="H138" s="4" t="n"/>
      <c r="I138" s="4" t="n"/>
      <c r="J138" s="4" t="inlineStr">
        <is>
          <t>June 1</t>
        </is>
      </c>
      <c r="K138" s="4" t="inlineStr">
        <is>
          <t>700</t>
        </is>
      </c>
      <c r="L138" s="4" t="n"/>
    </row>
    <row r="139">
      <c r="A139" s="4" t="inlineStr">
        <is>
          <t>650</t>
        </is>
      </c>
      <c r="B139" s="4" t="inlineStr">
        <is>
          <t>antelope</t>
        </is>
      </c>
      <c r="C139" s="4" t="inlineStr">
        <is>
          <t>Antelope B License: 650-30</t>
        </is>
      </c>
      <c r="D139" s="15" t="inlineStr">
        <is>
          <t>Drawing</t>
        </is>
      </c>
      <c r="E139" s="4" t="inlineStr">
        <is>
          <t>Doe/Fawn Antelope</t>
        </is>
      </c>
      <c r="F139" s="4" t="inlineStr">
        <is>
          <t>Sept. 05-Oct. 09</t>
        </is>
      </c>
      <c r="G139" s="4" t="inlineStr">
        <is>
          <t>Oct. 10-Nov. 08</t>
        </is>
      </c>
      <c r="H139" s="4" t="n"/>
      <c r="I139" s="4" t="n"/>
      <c r="J139" s="4" t="inlineStr">
        <is>
          <t>June 1</t>
        </is>
      </c>
      <c r="K139" s="4" t="inlineStr">
        <is>
          <t>250</t>
        </is>
      </c>
      <c r="L139" s="4" t="n"/>
    </row>
    <row r="140">
      <c r="A140" s="4" t="inlineStr">
        <is>
          <t>650</t>
        </is>
      </c>
      <c r="B140" s="4" t="inlineStr">
        <is>
          <t>antelope</t>
        </is>
      </c>
      <c r="C140" s="4" t="inlineStr">
        <is>
          <t>Antelope License: 900-20</t>
        </is>
      </c>
      <c r="D140" s="15" t="inlineStr">
        <is>
          <t>Drawing</t>
        </is>
      </c>
      <c r="E140" s="4" t="inlineStr">
        <is>
          <t>Either-sex Antelope</t>
        </is>
      </c>
      <c r="F140" s="4" t="n"/>
      <c r="G140" s="4" t="inlineStr">
        <is>
          <t>Aug. 15-Nov. 08</t>
        </is>
      </c>
      <c r="H140" s="4" t="n"/>
      <c r="I140" s="4" t="n"/>
      <c r="J140" s="4" t="inlineStr">
        <is>
          <t>June 1</t>
        </is>
      </c>
      <c r="K140" s="4" t="inlineStr">
        <is>
          <t>5,600</t>
        </is>
      </c>
      <c r="L140" s="4" t="inlineStr">
        <is>
          <t>First and only choice. ArchEquip only.</t>
        </is>
      </c>
    </row>
    <row r="141">
      <c r="A141" s="4" t="inlineStr">
        <is>
          <t>670</t>
        </is>
      </c>
      <c r="B141" s="4" t="inlineStr">
        <is>
          <t>antelope</t>
        </is>
      </c>
      <c r="C141" s="4" t="inlineStr">
        <is>
          <t>Antelope License: 670-20</t>
        </is>
      </c>
      <c r="D141" s="15" t="inlineStr">
        <is>
          <t>Drawing</t>
        </is>
      </c>
      <c r="E141" s="4" t="inlineStr">
        <is>
          <t>Either-sex Antelope</t>
        </is>
      </c>
      <c r="F141" s="4" t="inlineStr">
        <is>
          <t>Sept. 05-Oct. 09</t>
        </is>
      </c>
      <c r="G141" s="4" t="inlineStr">
        <is>
          <t>Oct. 10-Nov. 08</t>
        </is>
      </c>
      <c r="H141" s="4" t="n"/>
      <c r="I141" s="4" t="n"/>
      <c r="J141" s="4" t="inlineStr">
        <is>
          <t>June 1</t>
        </is>
      </c>
      <c r="K141" s="4" t="inlineStr">
        <is>
          <t>400</t>
        </is>
      </c>
      <c r="L141" s="4" t="n"/>
    </row>
    <row r="142">
      <c r="A142" s="4" t="inlineStr">
        <is>
          <t>670</t>
        </is>
      </c>
      <c r="B142" s="4" t="inlineStr">
        <is>
          <t>antelope</t>
        </is>
      </c>
      <c r="C142" s="4" t="inlineStr">
        <is>
          <t>Antelope B License: 670-30</t>
        </is>
      </c>
      <c r="D142" s="15" t="inlineStr">
        <is>
          <t>Drawing</t>
        </is>
      </c>
      <c r="E142" s="4" t="inlineStr">
        <is>
          <t>Doe/Fawn Antelope</t>
        </is>
      </c>
      <c r="F142" s="4" t="inlineStr">
        <is>
          <t>Sept. 05-Oct. 09</t>
        </is>
      </c>
      <c r="G142" s="4" t="inlineStr">
        <is>
          <t>Oct. 10-Nov. 08</t>
        </is>
      </c>
      <c r="H142" s="4" t="n"/>
      <c r="I142" s="4" t="n"/>
      <c r="J142" s="4" t="inlineStr">
        <is>
          <t>June 1</t>
        </is>
      </c>
      <c r="K142" s="4" t="inlineStr">
        <is>
          <t>50</t>
        </is>
      </c>
      <c r="L142" s="4" t="n"/>
    </row>
    <row r="143">
      <c r="A143" s="4" t="inlineStr">
        <is>
          <t>670</t>
        </is>
      </c>
      <c r="B143" s="4" t="inlineStr">
        <is>
          <t>antelope</t>
        </is>
      </c>
      <c r="C143" s="4" t="inlineStr">
        <is>
          <t>Antelope License: 900-20</t>
        </is>
      </c>
      <c r="D143" s="15" t="inlineStr">
        <is>
          <t>Drawing</t>
        </is>
      </c>
      <c r="E143" s="4" t="inlineStr">
        <is>
          <t>Either-sex Antelope</t>
        </is>
      </c>
      <c r="F143" s="4" t="n"/>
      <c r="G143" s="4" t="inlineStr">
        <is>
          <t>Aug. 15-Nov. 08</t>
        </is>
      </c>
      <c r="H143" s="4" t="n"/>
      <c r="I143" s="4" t="n"/>
      <c r="J143" s="4" t="inlineStr">
        <is>
          <t>June 1</t>
        </is>
      </c>
      <c r="K143" s="4" t="inlineStr">
        <is>
          <t>5,600</t>
        </is>
      </c>
      <c r="L143" s="4" t="inlineStr">
        <is>
          <t>First and only choice. ArchEquip only.</t>
        </is>
      </c>
    </row>
    <row r="144">
      <c r="A144" s="4" t="inlineStr">
        <is>
          <t>690</t>
        </is>
      </c>
      <c r="B144" s="4" t="inlineStr">
        <is>
          <t>antelope</t>
        </is>
      </c>
      <c r="C144" s="4" t="inlineStr">
        <is>
          <t>Antelope License: 690-20</t>
        </is>
      </c>
      <c r="D144" s="15" t="inlineStr">
        <is>
          <t>Drawing</t>
        </is>
      </c>
      <c r="E144" s="4" t="inlineStr">
        <is>
          <t>Either-sex Antelope</t>
        </is>
      </c>
      <c r="F144" s="4" t="inlineStr">
        <is>
          <t>Sept. 05-Oct. 09</t>
        </is>
      </c>
      <c r="G144" s="4" t="inlineStr">
        <is>
          <t>Oct. 10-Nov. 08</t>
        </is>
      </c>
      <c r="H144" s="4" t="n"/>
      <c r="I144" s="4" t="n"/>
      <c r="J144" s="4" t="inlineStr">
        <is>
          <t>June 1</t>
        </is>
      </c>
      <c r="K144" s="4" t="inlineStr">
        <is>
          <t>500</t>
        </is>
      </c>
      <c r="L144" s="4" t="n"/>
    </row>
    <row r="145">
      <c r="A145" s="4" t="inlineStr">
        <is>
          <t>690</t>
        </is>
      </c>
      <c r="B145" s="4" t="inlineStr">
        <is>
          <t>antelope</t>
        </is>
      </c>
      <c r="C145" s="4" t="inlineStr">
        <is>
          <t>Antelope B License: 690-30</t>
        </is>
      </c>
      <c r="D145" s="15" t="inlineStr">
        <is>
          <t>Drawing</t>
        </is>
      </c>
      <c r="E145" s="4" t="inlineStr">
        <is>
          <t>Doe/Fawn Antelope</t>
        </is>
      </c>
      <c r="F145" s="4" t="inlineStr">
        <is>
          <t>Sept. 05-Oct. 09</t>
        </is>
      </c>
      <c r="G145" s="4" t="inlineStr">
        <is>
          <t>Oct. 10-Nov. 08</t>
        </is>
      </c>
      <c r="H145" s="4" t="n"/>
      <c r="I145" s="4" t="n"/>
      <c r="J145" s="4" t="inlineStr">
        <is>
          <t>June 1</t>
        </is>
      </c>
      <c r="K145" s="4" t="inlineStr">
        <is>
          <t>200</t>
        </is>
      </c>
      <c r="L145" s="4" t="n"/>
    </row>
    <row r="146">
      <c r="A146" s="4" t="inlineStr">
        <is>
          <t>690</t>
        </is>
      </c>
      <c r="B146" s="4" t="inlineStr">
        <is>
          <t>antelope</t>
        </is>
      </c>
      <c r="C146" s="4" t="inlineStr">
        <is>
          <t>Antelope License: 900-20</t>
        </is>
      </c>
      <c r="D146" s="15" t="inlineStr">
        <is>
          <t>Drawing</t>
        </is>
      </c>
      <c r="E146" s="4" t="inlineStr">
        <is>
          <t>Either-sex Antelope</t>
        </is>
      </c>
      <c r="F146" s="4" t="n"/>
      <c r="G146" s="4" t="inlineStr">
        <is>
          <t>Aug. 15-Nov. 08</t>
        </is>
      </c>
      <c r="H146" s="4" t="n"/>
      <c r="I146" s="4" t="n"/>
      <c r="J146" s="4" t="inlineStr">
        <is>
          <t>June 1</t>
        </is>
      </c>
      <c r="K146" s="4" t="inlineStr">
        <is>
          <t>5,600</t>
        </is>
      </c>
      <c r="L146" s="4" t="inlineStr">
        <is>
          <t>First and only choice. ArchEquip only. Region</t>
        </is>
      </c>
    </row>
    <row r="147">
      <c r="A147" s="4" t="inlineStr">
        <is>
          <t>700</t>
        </is>
      </c>
      <c r="B147" s="4" t="inlineStr">
        <is>
          <t>antelope</t>
        </is>
      </c>
      <c r="C147" s="4" t="inlineStr">
        <is>
          <t>Antelope License: 900-20</t>
        </is>
      </c>
      <c r="D147" s="15" t="inlineStr">
        <is>
          <t>Drawing</t>
        </is>
      </c>
      <c r="E147" s="4" t="inlineStr">
        <is>
          <t>Either-sex Antelope</t>
        </is>
      </c>
      <c r="F147" s="4" t="n"/>
      <c r="G147" s="4" t="inlineStr">
        <is>
          <t>Aug. 15-Nov. 08</t>
        </is>
      </c>
      <c r="H147" s="4" t="n"/>
      <c r="I147" s="4" t="n"/>
      <c r="J147" s="4" t="inlineStr">
        <is>
          <t>June 1</t>
        </is>
      </c>
      <c r="K147" s="4" t="inlineStr">
        <is>
          <t>5,600</t>
        </is>
      </c>
      <c r="L147" s="4" t="inlineStr">
        <is>
          <t>First and only choice. ArchEquip only.</t>
        </is>
      </c>
    </row>
    <row r="148">
      <c r="A148" s="4" t="inlineStr">
        <is>
          <t>700</t>
        </is>
      </c>
      <c r="B148" s="4" t="inlineStr">
        <is>
          <t>antelope</t>
        </is>
      </c>
      <c r="C148" s="4" t="inlineStr">
        <is>
          <t>Antelope License: 007-21</t>
        </is>
      </c>
      <c r="D148" s="15" t="inlineStr">
        <is>
          <t>Drawing</t>
        </is>
      </c>
      <c r="E148" s="4" t="inlineStr">
        <is>
          <t>Either-sex Antelope</t>
        </is>
      </c>
      <c r="F148" s="4" t="inlineStr">
        <is>
          <t>Sept. 05-Oct. 09</t>
        </is>
      </c>
      <c r="G148" s="4" t="inlineStr">
        <is>
          <t>Oct. 10-Nov. 08</t>
        </is>
      </c>
      <c r="H148" s="4" t="n"/>
      <c r="I148" s="4" t="n"/>
      <c r="J148" s="4" t="inlineStr">
        <is>
          <t>June 1</t>
        </is>
      </c>
      <c r="K148" s="4" t="inlineStr">
        <is>
          <t>3,500</t>
        </is>
      </c>
      <c r="L148" s="4" t="n"/>
    </row>
    <row r="149">
      <c r="A149" s="4" t="inlineStr">
        <is>
          <t>700</t>
        </is>
      </c>
      <c r="B149" s="4" t="inlineStr">
        <is>
          <t>antelope</t>
        </is>
      </c>
      <c r="C149" s="4" t="inlineStr">
        <is>
          <t>Antelope B License: 007-31</t>
        </is>
      </c>
      <c r="D149" s="15" t="inlineStr">
        <is>
          <t>Drawing</t>
        </is>
      </c>
      <c r="E149" s="4" t="inlineStr">
        <is>
          <t>Doe/Fawn Antelope</t>
        </is>
      </c>
      <c r="F149" s="4" t="inlineStr">
        <is>
          <t>Sept. 05-Oct. 09</t>
        </is>
      </c>
      <c r="G149" s="4" t="inlineStr">
        <is>
          <t>Oct. 10-Nov. 08</t>
        </is>
      </c>
      <c r="H149" s="4" t="n"/>
      <c r="I149" s="4" t="n"/>
      <c r="J149" s="4" t="inlineStr">
        <is>
          <t>June 1</t>
        </is>
      </c>
      <c r="K149" s="4" t="inlineStr">
        <is>
          <t>500</t>
        </is>
      </c>
      <c r="L149" s="4" t="n"/>
    </row>
    <row r="150">
      <c r="A150" s="4" t="inlineStr">
        <is>
          <t>701</t>
        </is>
      </c>
      <c r="B150" s="4" t="inlineStr">
        <is>
          <t>antelope</t>
        </is>
      </c>
      <c r="C150" s="4" t="inlineStr">
        <is>
          <t>Antelope License: 900-20</t>
        </is>
      </c>
      <c r="D150" s="15" t="inlineStr">
        <is>
          <t>Drawing</t>
        </is>
      </c>
      <c r="E150" s="4" t="inlineStr">
        <is>
          <t>Either-sex Antelope</t>
        </is>
      </c>
      <c r="F150" s="4" t="n"/>
      <c r="G150" s="4" t="inlineStr">
        <is>
          <t>Aug. 15-Nov. 08</t>
        </is>
      </c>
      <c r="H150" s="4" t="n"/>
      <c r="I150" s="4" t="n"/>
      <c r="J150" s="4" t="inlineStr">
        <is>
          <t>June 1</t>
        </is>
      </c>
      <c r="K150" s="4" t="inlineStr">
        <is>
          <t>5,600</t>
        </is>
      </c>
      <c r="L150" s="4" t="inlineStr">
        <is>
          <t>First and only choice. ArchEquip only.</t>
        </is>
      </c>
    </row>
    <row r="151">
      <c r="A151" s="4" t="inlineStr">
        <is>
          <t>701</t>
        </is>
      </c>
      <c r="B151" s="4" t="inlineStr">
        <is>
          <t>antelope</t>
        </is>
      </c>
      <c r="C151" s="4" t="inlineStr">
        <is>
          <t>Antelope License: 007-21</t>
        </is>
      </c>
      <c r="D151" s="15" t="inlineStr">
        <is>
          <t>Drawing</t>
        </is>
      </c>
      <c r="E151" s="4" t="inlineStr">
        <is>
          <t>Either-sex Antelope</t>
        </is>
      </c>
      <c r="F151" s="4" t="inlineStr">
        <is>
          <t>Sept. 05-Oct. 09</t>
        </is>
      </c>
      <c r="G151" s="4" t="inlineStr">
        <is>
          <t>Oct. 10-Nov. 08</t>
        </is>
      </c>
      <c r="H151" s="4" t="n"/>
      <c r="I151" s="4" t="n"/>
      <c r="J151" s="4" t="inlineStr">
        <is>
          <t>June 1</t>
        </is>
      </c>
      <c r="K151" s="4" t="inlineStr">
        <is>
          <t>3,500</t>
        </is>
      </c>
      <c r="L151" s="4" t="n"/>
    </row>
    <row r="152">
      <c r="A152" s="4" t="inlineStr">
        <is>
          <t>701</t>
        </is>
      </c>
      <c r="B152" s="4" t="inlineStr">
        <is>
          <t>antelope</t>
        </is>
      </c>
      <c r="C152" s="4" t="inlineStr">
        <is>
          <t>Antelope B License: 007-31</t>
        </is>
      </c>
      <c r="D152" s="15" t="inlineStr">
        <is>
          <t>Drawing</t>
        </is>
      </c>
      <c r="E152" s="4" t="inlineStr">
        <is>
          <t>Doe/Fawn Antelope</t>
        </is>
      </c>
      <c r="F152" s="4" t="inlineStr">
        <is>
          <t>Sept. 05-Oct. 09</t>
        </is>
      </c>
      <c r="G152" s="4" t="inlineStr">
        <is>
          <t>Oct. 10-Nov. 08</t>
        </is>
      </c>
      <c r="H152" s="4" t="n"/>
      <c r="I152" s="4" t="n"/>
      <c r="J152" s="4" t="inlineStr">
        <is>
          <t>June 1</t>
        </is>
      </c>
      <c r="K152" s="4" t="inlineStr">
        <is>
          <t>500</t>
        </is>
      </c>
      <c r="L152" s="4" t="n"/>
    </row>
    <row r="153">
      <c r="A153" s="4" t="inlineStr">
        <is>
          <t>701</t>
        </is>
      </c>
      <c r="B153" s="4" t="inlineStr">
        <is>
          <t>antelope</t>
        </is>
      </c>
      <c r="C153" s="4" t="inlineStr">
        <is>
          <t>Antelope License: 007-20</t>
        </is>
      </c>
      <c r="D153" s="15" t="inlineStr">
        <is>
          <t>Drawing</t>
        </is>
      </c>
      <c r="E153" s="4" t="inlineStr">
        <is>
          <t>Either-sex Antelope</t>
        </is>
      </c>
      <c r="F153" s="4" t="inlineStr">
        <is>
          <t>Sept. 05-Oct. 09</t>
        </is>
      </c>
      <c r="G153" s="4" t="inlineStr">
        <is>
          <t>Oct. 10-Nov. 08</t>
        </is>
      </c>
      <c r="H153" s="4" t="n"/>
      <c r="I153" s="4" t="n"/>
      <c r="J153" s="4" t="inlineStr">
        <is>
          <t>June 1</t>
        </is>
      </c>
      <c r="K153" s="4" t="inlineStr">
        <is>
          <t>6,500</t>
        </is>
      </c>
      <c r="L153" s="4" t="inlineStr">
        <is>
          <t>Successful antelope either- sex 007-20 applicants may be ofered the opportunity to purchase one doe/fawn 705-30 (Quota: 750, Range 1-4,000) license valid in HD 705 during the same time periods.</t>
        </is>
      </c>
    </row>
    <row r="154">
      <c r="A154" s="4" t="inlineStr">
        <is>
          <t>701</t>
        </is>
      </c>
      <c r="B154" s="4" t="inlineStr">
        <is>
          <t>antelope</t>
        </is>
      </c>
      <c r="C154" s="4" t="inlineStr">
        <is>
          <t>Antelope B License: 007-30</t>
        </is>
      </c>
      <c r="D154" s="15" t="inlineStr">
        <is>
          <t>Drawing</t>
        </is>
      </c>
      <c r="E154" s="4" t="inlineStr">
        <is>
          <t>Doe/Fawn Antelope</t>
        </is>
      </c>
      <c r="F154" s="4" t="inlineStr">
        <is>
          <t>Sept. 05-Oct. 09</t>
        </is>
      </c>
      <c r="G154" s="4" t="inlineStr">
        <is>
          <t>Oct. 10-Nov. 08</t>
        </is>
      </c>
      <c r="H154" s="4" t="n"/>
      <c r="I154" s="4" t="n"/>
      <c r="J154" s="4" t="inlineStr">
        <is>
          <t>June 1</t>
        </is>
      </c>
      <c r="K154" s="4" t="inlineStr">
        <is>
          <t>1,000</t>
        </is>
      </c>
      <c r="L154" s="4" t="n"/>
    </row>
    <row r="155">
      <c r="A155" s="4" t="inlineStr">
        <is>
          <t>702</t>
        </is>
      </c>
      <c r="B155" s="4" t="inlineStr">
        <is>
          <t>antelope</t>
        </is>
      </c>
      <c r="C155" s="4" t="inlineStr">
        <is>
          <t>Antelope License: 900-20</t>
        </is>
      </c>
      <c r="D155" s="15" t="inlineStr">
        <is>
          <t>Drawing</t>
        </is>
      </c>
      <c r="E155" s="4" t="inlineStr">
        <is>
          <t>Either-sex Antelope</t>
        </is>
      </c>
      <c r="F155" s="4" t="n"/>
      <c r="G155" s="4" t="inlineStr">
        <is>
          <t>Aug. 15-Nov. 08</t>
        </is>
      </c>
      <c r="H155" s="4" t="n"/>
      <c r="I155" s="4" t="n"/>
      <c r="J155" s="4" t="inlineStr">
        <is>
          <t>June 1</t>
        </is>
      </c>
      <c r="K155" s="4" t="inlineStr">
        <is>
          <t>5,600</t>
        </is>
      </c>
      <c r="L155" s="4" t="inlineStr">
        <is>
          <t>First and only choice. ArchEquip only.</t>
        </is>
      </c>
    </row>
    <row r="156">
      <c r="A156" s="4" t="inlineStr">
        <is>
          <t>702</t>
        </is>
      </c>
      <c r="B156" s="4" t="inlineStr">
        <is>
          <t>antelope</t>
        </is>
      </c>
      <c r="C156" s="4" t="inlineStr">
        <is>
          <t>Antelope License: 007-20</t>
        </is>
      </c>
      <c r="D156" s="15" t="inlineStr">
        <is>
          <t>Drawing</t>
        </is>
      </c>
      <c r="E156" s="4" t="inlineStr">
        <is>
          <t>Either-sex Antelope</t>
        </is>
      </c>
      <c r="F156" s="4" t="inlineStr">
        <is>
          <t>Sept. 05-Oct. 09</t>
        </is>
      </c>
      <c r="G156" s="4" t="inlineStr">
        <is>
          <t>Oct. 10-Nov. 08</t>
        </is>
      </c>
      <c r="H156" s="4" t="n"/>
      <c r="I156" s="4" t="n"/>
      <c r="J156" s="4" t="inlineStr">
        <is>
          <t>June 1</t>
        </is>
      </c>
      <c r="K156" s="4" t="inlineStr">
        <is>
          <t>6,500</t>
        </is>
      </c>
      <c r="L156" s="4" t="inlineStr">
        <is>
          <t>Successful antelope either- sex 007-20 applicants may be ofered the opportunity to purchase one doe/fawn 705-30 (Quota: 750, Range 1-4,000) license valid in HD 705 during the same time periods.</t>
        </is>
      </c>
    </row>
    <row r="157">
      <c r="A157" s="4" t="inlineStr">
        <is>
          <t>702</t>
        </is>
      </c>
      <c r="B157" s="4" t="inlineStr">
        <is>
          <t>antelope</t>
        </is>
      </c>
      <c r="C157" s="4" t="inlineStr">
        <is>
          <t>Antelope B License: 007-30</t>
        </is>
      </c>
      <c r="D157" s="15" t="inlineStr">
        <is>
          <t>Drawing</t>
        </is>
      </c>
      <c r="E157" s="4" t="inlineStr">
        <is>
          <t>Doe/Fawn Antelope</t>
        </is>
      </c>
      <c r="F157" s="4" t="inlineStr">
        <is>
          <t>Sept. 05-Oct. 09</t>
        </is>
      </c>
      <c r="G157" s="4" t="inlineStr">
        <is>
          <t>Oct. 10-Nov. 08</t>
        </is>
      </c>
      <c r="H157" s="4" t="n"/>
      <c r="I157" s="4" t="n"/>
      <c r="J157" s="4" t="inlineStr">
        <is>
          <t>June 1</t>
        </is>
      </c>
      <c r="K157" s="4" t="inlineStr">
        <is>
          <t>1,000</t>
        </is>
      </c>
      <c r="L157" s="4" t="n"/>
    </row>
    <row r="158">
      <c r="A158" s="4" t="inlineStr">
        <is>
          <t>703</t>
        </is>
      </c>
      <c r="B158" s="4" t="inlineStr">
        <is>
          <t>antelope</t>
        </is>
      </c>
      <c r="C158" s="4" t="inlineStr">
        <is>
          <t>Antelope License: 900-20</t>
        </is>
      </c>
      <c r="D158" s="15" t="inlineStr">
        <is>
          <t>Drawing</t>
        </is>
      </c>
      <c r="E158" s="4" t="inlineStr">
        <is>
          <t>Either-sex Antelope</t>
        </is>
      </c>
      <c r="F158" s="4" t="n"/>
      <c r="G158" s="4" t="inlineStr">
        <is>
          <t>Aug. 15-Nov. 08</t>
        </is>
      </c>
      <c r="H158" s="4" t="n"/>
      <c r="I158" s="4" t="n"/>
      <c r="J158" s="4" t="inlineStr">
        <is>
          <t>June 1</t>
        </is>
      </c>
      <c r="K158" s="4" t="inlineStr">
        <is>
          <t>5,600</t>
        </is>
      </c>
      <c r="L158" s="4" t="inlineStr">
        <is>
          <t>First and only choice. ArchEquip only.</t>
        </is>
      </c>
    </row>
    <row r="159">
      <c r="A159" s="4" t="inlineStr">
        <is>
          <t>703</t>
        </is>
      </c>
      <c r="B159" s="4" t="inlineStr">
        <is>
          <t>antelope</t>
        </is>
      </c>
      <c r="C159" s="4" t="inlineStr">
        <is>
          <t>Antelope License: 007-21</t>
        </is>
      </c>
      <c r="D159" s="15" t="inlineStr">
        <is>
          <t>Drawing</t>
        </is>
      </c>
      <c r="E159" s="4" t="inlineStr">
        <is>
          <t>Either-sex Antelope</t>
        </is>
      </c>
      <c r="F159" s="4" t="inlineStr">
        <is>
          <t>Sept. 05-Oct. 09</t>
        </is>
      </c>
      <c r="G159" s="4" t="inlineStr">
        <is>
          <t>Oct. 10-Nov. 08</t>
        </is>
      </c>
      <c r="H159" s="4" t="n"/>
      <c r="I159" s="4" t="n"/>
      <c r="J159" s="4" t="inlineStr">
        <is>
          <t>June 1</t>
        </is>
      </c>
      <c r="K159" s="4" t="inlineStr">
        <is>
          <t>3,500</t>
        </is>
      </c>
      <c r="L159" s="4" t="n"/>
    </row>
    <row r="160">
      <c r="A160" s="4" t="inlineStr">
        <is>
          <t>703</t>
        </is>
      </c>
      <c r="B160" s="4" t="inlineStr">
        <is>
          <t>antelope</t>
        </is>
      </c>
      <c r="C160" s="4" t="inlineStr">
        <is>
          <t>Antelope B License: 007-31</t>
        </is>
      </c>
      <c r="D160" s="15" t="inlineStr">
        <is>
          <t>Drawing</t>
        </is>
      </c>
      <c r="E160" s="4" t="inlineStr">
        <is>
          <t>Doe/Fawn Antelope</t>
        </is>
      </c>
      <c r="F160" s="4" t="inlineStr">
        <is>
          <t>Sept. 05-Oct. 09</t>
        </is>
      </c>
      <c r="G160" s="4" t="inlineStr">
        <is>
          <t>Oct. 10-Nov. 08</t>
        </is>
      </c>
      <c r="H160" s="4" t="n"/>
      <c r="I160" s="4" t="n"/>
      <c r="J160" s="4" t="inlineStr">
        <is>
          <t>June 1</t>
        </is>
      </c>
      <c r="K160" s="4" t="inlineStr">
        <is>
          <t>500</t>
        </is>
      </c>
      <c r="L160" s="4" t="n"/>
    </row>
    <row r="161">
      <c r="A161" s="4" t="inlineStr">
        <is>
          <t>703</t>
        </is>
      </c>
      <c r="B161" s="4" t="inlineStr">
        <is>
          <t>antelope</t>
        </is>
      </c>
      <c r="C161" s="4" t="inlineStr">
        <is>
          <t>Antelope License: 007-20</t>
        </is>
      </c>
      <c r="D161" s="15" t="inlineStr">
        <is>
          <t>Drawing</t>
        </is>
      </c>
      <c r="E161" s="4" t="inlineStr">
        <is>
          <t>Either-sex Antelope</t>
        </is>
      </c>
      <c r="F161" s="4" t="inlineStr">
        <is>
          <t>Sept. 05-Oct. 09</t>
        </is>
      </c>
      <c r="G161" s="4" t="inlineStr">
        <is>
          <t>Oct. 10-Nov. 08</t>
        </is>
      </c>
      <c r="H161" s="4" t="n"/>
      <c r="I161" s="4" t="n"/>
      <c r="J161" s="4" t="inlineStr">
        <is>
          <t>June 1</t>
        </is>
      </c>
      <c r="K161" s="4" t="inlineStr">
        <is>
          <t>6,500</t>
        </is>
      </c>
      <c r="L161" s="4" t="inlineStr">
        <is>
          <t>Successful antelope either- sex 007-20 applicants may be ofered the opportunity to purchase one doe/fawn 705-30 (Quota: 750, Range 1-4,000) license valid in HD 705 during the same time periods.</t>
        </is>
      </c>
    </row>
    <row r="162">
      <c r="A162" s="4" t="inlineStr">
        <is>
          <t>703</t>
        </is>
      </c>
      <c r="B162" s="4" t="inlineStr">
        <is>
          <t>antelope</t>
        </is>
      </c>
      <c r="C162" s="4" t="inlineStr">
        <is>
          <t>Antelope B License: 007-30</t>
        </is>
      </c>
      <c r="D162" s="15" t="inlineStr">
        <is>
          <t>Drawing</t>
        </is>
      </c>
      <c r="E162" s="4" t="inlineStr">
        <is>
          <t>Doe/Fawn Antelope</t>
        </is>
      </c>
      <c r="F162" s="4" t="inlineStr">
        <is>
          <t>Sept. 05-Oct. 09</t>
        </is>
      </c>
      <c r="G162" s="4" t="inlineStr">
        <is>
          <t>Oct. 10-Nov. 08</t>
        </is>
      </c>
      <c r="H162" s="4" t="n"/>
      <c r="I162" s="4" t="n"/>
      <c r="J162" s="4" t="inlineStr">
        <is>
          <t>June 1</t>
        </is>
      </c>
      <c r="K162" s="4" t="inlineStr">
        <is>
          <t>1,000</t>
        </is>
      </c>
      <c r="L162" s="4" t="n"/>
    </row>
    <row r="163">
      <c r="A163" s="4" t="inlineStr">
        <is>
          <t>704</t>
        </is>
      </c>
      <c r="B163" s="4" t="inlineStr">
        <is>
          <t>antelope</t>
        </is>
      </c>
      <c r="C163" s="4" t="inlineStr">
        <is>
          <t>Antelope License: 900-20</t>
        </is>
      </c>
      <c r="D163" s="15" t="inlineStr">
        <is>
          <t>Drawing</t>
        </is>
      </c>
      <c r="E163" s="4" t="inlineStr">
        <is>
          <t>Either-sex Antelope</t>
        </is>
      </c>
      <c r="F163" s="4" t="n"/>
      <c r="G163" s="4" t="inlineStr">
        <is>
          <t>Aug. 15-Nov. 08</t>
        </is>
      </c>
      <c r="H163" s="4" t="n"/>
      <c r="I163" s="4" t="n"/>
      <c r="J163" s="4" t="inlineStr">
        <is>
          <t>June 1</t>
        </is>
      </c>
      <c r="K163" s="4" t="inlineStr">
        <is>
          <t>5,600</t>
        </is>
      </c>
      <c r="L163" s="4" t="inlineStr">
        <is>
          <t>First and only choice. ArchEquip only.</t>
        </is>
      </c>
    </row>
    <row r="164">
      <c r="A164" s="4" t="inlineStr">
        <is>
          <t>704</t>
        </is>
      </c>
      <c r="B164" s="4" t="inlineStr">
        <is>
          <t>antelope</t>
        </is>
      </c>
      <c r="C164" s="4" t="inlineStr">
        <is>
          <t>Antelope License: 007-20</t>
        </is>
      </c>
      <c r="D164" s="15" t="inlineStr">
        <is>
          <t>Drawing</t>
        </is>
      </c>
      <c r="E164" s="4" t="inlineStr">
        <is>
          <t>Either-sex Antelope</t>
        </is>
      </c>
      <c r="F164" s="4" t="inlineStr">
        <is>
          <t>Sept. 05-Oct. 09</t>
        </is>
      </c>
      <c r="G164" s="4" t="inlineStr">
        <is>
          <t>Oct. 10-Nov. 08</t>
        </is>
      </c>
      <c r="H164" s="4" t="n"/>
      <c r="I164" s="4" t="n"/>
      <c r="J164" s="4" t="inlineStr">
        <is>
          <t>June 1</t>
        </is>
      </c>
      <c r="K164" s="4" t="inlineStr">
        <is>
          <t>6,500</t>
        </is>
      </c>
      <c r="L164" s="4" t="inlineStr">
        <is>
          <t>Successful antelope either- sex 007-20 applicants may be ofered the opportunity to purchase one doe/fawn 705-30 (Quota: 750, Range 1-4,000) license valid in HD 705 during the same time periods.</t>
        </is>
      </c>
    </row>
    <row r="165">
      <c r="A165" s="4" t="inlineStr">
        <is>
          <t>704</t>
        </is>
      </c>
      <c r="B165" s="4" t="inlineStr">
        <is>
          <t>antelope</t>
        </is>
      </c>
      <c r="C165" s="4" t="inlineStr">
        <is>
          <t>Antelope B License: 007-30</t>
        </is>
      </c>
      <c r="D165" s="15" t="inlineStr">
        <is>
          <t>Drawing</t>
        </is>
      </c>
      <c r="E165" s="4" t="inlineStr">
        <is>
          <t>Doe/Fawn Antelope</t>
        </is>
      </c>
      <c r="F165" s="4" t="inlineStr">
        <is>
          <t>Sept. 05-Oct. 09</t>
        </is>
      </c>
      <c r="G165" s="4" t="inlineStr">
        <is>
          <t>Oct. 10-Nov. 08</t>
        </is>
      </c>
      <c r="H165" s="4" t="n"/>
      <c r="I165" s="4" t="n"/>
      <c r="J165" s="4" t="inlineStr">
        <is>
          <t>June 1</t>
        </is>
      </c>
      <c r="K165" s="4" t="inlineStr">
        <is>
          <t>1,000</t>
        </is>
      </c>
      <c r="L165" s="4" t="n"/>
    </row>
    <row r="166">
      <c r="A166" s="4" t="inlineStr">
        <is>
          <t>705</t>
        </is>
      </c>
      <c r="B166" s="4" t="inlineStr">
        <is>
          <t>antelope</t>
        </is>
      </c>
      <c r="C166" s="4" t="inlineStr">
        <is>
          <t>Antelope License: 900-20</t>
        </is>
      </c>
      <c r="D166" s="15" t="inlineStr">
        <is>
          <t>Drawing</t>
        </is>
      </c>
      <c r="E166" s="4" t="inlineStr">
        <is>
          <t>Either-sex Antelope</t>
        </is>
      </c>
      <c r="F166" s="4" t="n"/>
      <c r="G166" s="4" t="inlineStr">
        <is>
          <t>Aug. 15-Nov. 08</t>
        </is>
      </c>
      <c r="H166" s="4" t="n"/>
      <c r="I166" s="4" t="n"/>
      <c r="J166" s="4" t="inlineStr">
        <is>
          <t>June 1</t>
        </is>
      </c>
      <c r="K166" s="4" t="inlineStr">
        <is>
          <t>5,600</t>
        </is>
      </c>
      <c r="L166" s="4" t="inlineStr">
        <is>
          <t>First and only choice. ArchEquip only.</t>
        </is>
      </c>
    </row>
    <row r="167">
      <c r="A167" s="4" t="inlineStr">
        <is>
          <t>705</t>
        </is>
      </c>
      <c r="B167" s="4" t="inlineStr">
        <is>
          <t>antelope</t>
        </is>
      </c>
      <c r="C167" s="4" t="inlineStr">
        <is>
          <t>Antelope License: 007-20</t>
        </is>
      </c>
      <c r="D167" s="15" t="inlineStr">
        <is>
          <t>Drawing</t>
        </is>
      </c>
      <c r="E167" s="4" t="inlineStr">
        <is>
          <t>Either-sex Antelope</t>
        </is>
      </c>
      <c r="F167" s="4" t="inlineStr">
        <is>
          <t>Sept. 05-Oct. 09</t>
        </is>
      </c>
      <c r="G167" s="4" t="inlineStr">
        <is>
          <t>Oct. 10-Nov. 08</t>
        </is>
      </c>
      <c r="H167" s="4" t="n"/>
      <c r="I167" s="4" t="n"/>
      <c r="J167" s="4" t="inlineStr">
        <is>
          <t>June 1</t>
        </is>
      </c>
      <c r="K167" s="4" t="inlineStr">
        <is>
          <t>6,500</t>
        </is>
      </c>
      <c r="L167" s="4" t="inlineStr">
        <is>
          <t>Successful antelope either- sex 007-20 applicants may be ofered the opportunity to purchase one doe/fawn 705-30 (Quota: 750, Range 1-4,000) license valid in HD 705 during the same time periods.</t>
        </is>
      </c>
    </row>
    <row r="168">
      <c r="A168" s="4" t="inlineStr">
        <is>
          <t>705</t>
        </is>
      </c>
      <c r="B168" s="4" t="inlineStr">
        <is>
          <t>antelope</t>
        </is>
      </c>
      <c r="C168" s="4" t="inlineStr">
        <is>
          <t>Antelope B License: 007-30</t>
        </is>
      </c>
      <c r="D168" s="15" t="inlineStr">
        <is>
          <t>Drawing</t>
        </is>
      </c>
      <c r="E168" s="4" t="inlineStr">
        <is>
          <t>Doe/Fawn Antelope</t>
        </is>
      </c>
      <c r="F168" s="4" t="inlineStr">
        <is>
          <t>Sept. 05-Oct. 09</t>
        </is>
      </c>
      <c r="G168" s="4" t="inlineStr">
        <is>
          <t>Oct. 10-Nov. 08</t>
        </is>
      </c>
      <c r="H168" s="4" t="n"/>
      <c r="I168" s="4" t="n"/>
      <c r="J168" s="4" t="inlineStr">
        <is>
          <t>June 1</t>
        </is>
      </c>
      <c r="K168" s="4" t="inlineStr">
        <is>
          <t>1,000</t>
        </is>
      </c>
      <c r="L168" s="4" t="n"/>
    </row>
    <row r="169">
      <c r="A169" s="4" t="inlineStr">
        <is>
          <t>100</t>
        </is>
      </c>
      <c r="B169" s="4" t="inlineStr">
        <is>
          <t>elk</t>
        </is>
      </c>
      <c r="C169" s="4" t="inlineStr">
        <is>
          <t>General Elk License</t>
        </is>
      </c>
      <c r="D169" s="13" t="inlineStr">
        <is>
          <t>General license</t>
        </is>
      </c>
      <c r="E169" s="4" t="inlineStr">
        <is>
          <t>Brow-tined Bull Elk</t>
        </is>
      </c>
      <c r="F169" s="4" t="inlineStr">
        <is>
          <t>Sep 05-Oct 18</t>
        </is>
      </c>
      <c r="G169" s="4" t="inlineStr">
        <is>
          <t>Oct 24-Nov 29</t>
        </is>
      </c>
      <c r="H169" s="4" t="inlineStr">
        <is>
          <t>Dec 12-Dec 20</t>
        </is>
      </c>
      <c r="I169" s="4" t="n"/>
      <c r="J169" s="4" t="n"/>
      <c r="K169" s="4" t="n"/>
      <c r="L169" s="4" t="n"/>
    </row>
    <row r="170">
      <c r="A170" s="4" t="inlineStr">
        <is>
          <t>100</t>
        </is>
      </c>
      <c r="B170" s="4" t="inlineStr">
        <is>
          <t>elk</t>
        </is>
      </c>
      <c r="C170" s="4" t="inlineStr">
        <is>
          <t>Elk B License: 100-00</t>
        </is>
      </c>
      <c r="D170" s="15" t="inlineStr">
        <is>
          <t>Drawing</t>
        </is>
      </c>
      <c r="E170" s="4" t="inlineStr">
        <is>
          <t>Antlerless Elk</t>
        </is>
      </c>
      <c r="F170" s="4" t="inlineStr">
        <is>
          <t>Sep 05-Oct 18</t>
        </is>
      </c>
      <c r="G170" s="4" t="inlineStr">
        <is>
          <t>Oct 24-Nov 29</t>
        </is>
      </c>
      <c r="H170" s="4" t="inlineStr">
        <is>
          <t>Dec 12-Dec 20</t>
        </is>
      </c>
      <c r="I170" s="4" t="n"/>
      <c r="J170" s="4" t="inlineStr">
        <is>
          <t>Jun 1</t>
        </is>
      </c>
      <c r="K170" s="4" t="inlineStr">
        <is>
          <t>25</t>
        </is>
      </c>
      <c r="L170" s="4" t="inlineStr">
        <is>
          <t>Only valid on private land.</t>
        </is>
      </c>
    </row>
    <row r="171">
      <c r="A171" s="4" t="inlineStr">
        <is>
          <t>101</t>
        </is>
      </c>
      <c r="B171" s="4" t="inlineStr">
        <is>
          <t>elk</t>
        </is>
      </c>
      <c r="C171" s="4" t="inlineStr">
        <is>
          <t>General Elk License</t>
        </is>
      </c>
      <c r="D171" s="13" t="inlineStr">
        <is>
          <t>General license</t>
        </is>
      </c>
      <c r="E171" s="4" t="inlineStr">
        <is>
          <t>Brow-tined Bull Elk</t>
        </is>
      </c>
      <c r="F171" s="4" t="inlineStr">
        <is>
          <t>Sep 05-Oct 18</t>
        </is>
      </c>
      <c r="G171" s="4" t="inlineStr">
        <is>
          <t>Oct 24-Nov 29</t>
        </is>
      </c>
      <c r="H171" s="4" t="inlineStr">
        <is>
          <t>Dec 12-Dec 20</t>
        </is>
      </c>
      <c r="I171" s="4" t="n"/>
      <c r="J171" s="4" t="n"/>
      <c r="K171" s="4" t="n"/>
      <c r="L171" s="4" t="inlineStr">
        <is>
          <t>Not valid in North Tobacco Portion</t>
        </is>
      </c>
    </row>
    <row r="172">
      <c r="A172" s="4" t="inlineStr">
        <is>
          <t>101</t>
        </is>
      </c>
      <c r="B172" s="4" t="inlineStr">
        <is>
          <t>elk</t>
        </is>
      </c>
      <c r="C172" s="4" t="inlineStr">
        <is>
          <t>Elk B License: 101-00</t>
        </is>
      </c>
      <c r="D172" s="15" t="inlineStr">
        <is>
          <t>Drawing</t>
        </is>
      </c>
      <c r="E172" s="4" t="inlineStr">
        <is>
          <t>Antlerless Elk</t>
        </is>
      </c>
      <c r="F172" s="4" t="n"/>
      <c r="G172" s="4" t="n"/>
      <c r="H172" s="4" t="n"/>
      <c r="I172" s="4" t="inlineStr">
        <is>
          <t>Nov 30-Feb 15</t>
        </is>
      </c>
      <c r="J172" s="4" t="inlineStr">
        <is>
          <t>Jun 1</t>
        </is>
      </c>
      <c r="K172" s="4" t="inlineStr">
        <is>
          <t>50</t>
        </is>
      </c>
      <c r="L172" s="4" t="inlineStr">
        <is>
          <t>Only valid on private land. Secure access before applying.</t>
        </is>
      </c>
    </row>
    <row r="173">
      <c r="A173" s="4" t="inlineStr">
        <is>
          <t>101</t>
        </is>
      </c>
      <c r="B173" s="4" t="inlineStr">
        <is>
          <t>elk</t>
        </is>
      </c>
      <c r="C173" s="4" t="inlineStr">
        <is>
          <t>Elk B License: 101-01</t>
        </is>
      </c>
      <c r="D173" s="15" t="inlineStr">
        <is>
          <t>Drawing</t>
        </is>
      </c>
      <c r="E173" s="4" t="inlineStr">
        <is>
          <t>Antlerless Elk</t>
        </is>
      </c>
      <c r="F173" s="4" t="n"/>
      <c r="G173" s="4" t="inlineStr">
        <is>
          <t>Oct 24-Nov 29</t>
        </is>
      </c>
      <c r="H173" s="4" t="n"/>
      <c r="I173" s="4" t="n"/>
      <c r="J173" s="4" t="inlineStr">
        <is>
          <t>Jun 1</t>
        </is>
      </c>
      <c r="K173" s="4" t="inlineStr">
        <is>
          <t>25</t>
        </is>
      </c>
      <c r="L173" s="4" t="inlineStr">
        <is>
          <t>Only valid on private land. Secure access before applying.</t>
        </is>
      </c>
    </row>
    <row r="174">
      <c r="A174" s="4" t="inlineStr">
        <is>
          <t>101</t>
        </is>
      </c>
      <c r="B174" s="4" t="inlineStr">
        <is>
          <t>elk</t>
        </is>
      </c>
      <c r="C174" s="4" t="inlineStr">
        <is>
          <t>Elk Permit: 101-50</t>
        </is>
      </c>
      <c r="D174" s="15" t="inlineStr">
        <is>
          <t>Drawing</t>
        </is>
      </c>
      <c r="E174" s="4" t="inlineStr">
        <is>
          <t>Brow-tined Bull Elk</t>
        </is>
      </c>
      <c r="F174" s="4" t="inlineStr">
        <is>
          <t>Sep 05-Oct 18</t>
        </is>
      </c>
      <c r="G174" s="4" t="inlineStr">
        <is>
          <t>Oct 24-Nov 29</t>
        </is>
      </c>
      <c r="H174" s="4" t="inlineStr">
        <is>
          <t>Dec 12-Dec 20</t>
        </is>
      </c>
      <c r="I174" s="4" t="n"/>
      <c r="J174" s="4" t="inlineStr">
        <is>
          <t>April 1</t>
        </is>
      </c>
      <c r="K174" s="4" t="inlineStr">
        <is>
          <t>UNL</t>
        </is>
      </c>
      <c r="L174" s="4" t="inlineStr">
        <is>
          <t>Valid in HD 101, including the North Tobacco Portion. Permit must be used with valid General Elk License. Holders may not hunt antlered elk in any other HD.</t>
        </is>
      </c>
    </row>
    <row r="175">
      <c r="A175" s="4" t="inlineStr">
        <is>
          <t>103</t>
        </is>
      </c>
      <c r="B175" s="4" t="inlineStr">
        <is>
          <t>elk</t>
        </is>
      </c>
      <c r="C175" s="4" t="inlineStr">
        <is>
          <t>General Elk License</t>
        </is>
      </c>
      <c r="D175" s="13" t="inlineStr">
        <is>
          <t>General license</t>
        </is>
      </c>
      <c r="E175" s="4" t="inlineStr">
        <is>
          <t>Brow-tined Bull Elk</t>
        </is>
      </c>
      <c r="F175" s="4" t="inlineStr">
        <is>
          <t>Sep 05-Oct 18</t>
        </is>
      </c>
      <c r="G175" s="4" t="inlineStr">
        <is>
          <t>Oct 24-Nov 29</t>
        </is>
      </c>
      <c r="H175" s="4" t="inlineStr">
        <is>
          <t>Dec 12-Dec 20</t>
        </is>
      </c>
      <c r="I175" s="4" t="n"/>
      <c r="J175" s="4" t="n"/>
      <c r="K175" s="4" t="n"/>
      <c r="L175" s="4" t="n"/>
    </row>
    <row r="176">
      <c r="A176" s="4" t="inlineStr">
        <is>
          <t>103</t>
        </is>
      </c>
      <c r="B176" s="4" t="inlineStr">
        <is>
          <t>elk</t>
        </is>
      </c>
      <c r="C176" s="4" t="inlineStr">
        <is>
          <t>Elk B License: 103-00</t>
        </is>
      </c>
      <c r="D176" s="15" t="inlineStr">
        <is>
          <t>Drawing</t>
        </is>
      </c>
      <c r="E176" s="4" t="inlineStr">
        <is>
          <t>Antlerless Elk</t>
        </is>
      </c>
      <c r="F176" s="4" t="inlineStr">
        <is>
          <t>Sep 05-Oct 18</t>
        </is>
      </c>
      <c r="G176" s="4" t="inlineStr">
        <is>
          <t>Oct 24-Nov 29</t>
        </is>
      </c>
      <c r="H176" s="4" t="inlineStr">
        <is>
          <t>Dec 12-Dec 20</t>
        </is>
      </c>
      <c r="I176" s="4" t="n"/>
      <c r="J176" s="4" t="inlineStr">
        <is>
          <t>Jun 1</t>
        </is>
      </c>
      <c r="K176" s="4" t="inlineStr">
        <is>
          <t>25</t>
        </is>
      </c>
      <c r="L176" s="4" t="inlineStr">
        <is>
          <t>Only valid on private land. LICENSE/PERMIT OPPORTUNITY APPL Y BY DATE QUOTA QUOTA RANGE EARL Y SEASON DATES ARCHERY ONL Y SEASON DATES GENERAL SEASON DATES HERITAGE MUZZLELOADER SEASON DATES LATE SEASON DATES OPPORTUNITY SPECIFIC DETAILS AND/ORRESTRICTIONS</t>
        </is>
      </c>
    </row>
    <row r="177">
      <c r="A177" s="4" t="inlineStr">
        <is>
          <t>104</t>
        </is>
      </c>
      <c r="B177" s="4" t="inlineStr">
        <is>
          <t>elk</t>
        </is>
      </c>
      <c r="C177" s="4" t="inlineStr">
        <is>
          <t>General Elk License</t>
        </is>
      </c>
      <c r="D177" s="13" t="inlineStr">
        <is>
          <t>General license</t>
        </is>
      </c>
      <c r="E177" s="4" t="inlineStr">
        <is>
          <t>Brow-tined Bull Elk</t>
        </is>
      </c>
      <c r="F177" s="4" t="inlineStr">
        <is>
          <t>Sep 05-Oct 18</t>
        </is>
      </c>
      <c r="G177" s="4" t="inlineStr">
        <is>
          <t>Oct 24-Nov 29</t>
        </is>
      </c>
      <c r="H177" s="4" t="inlineStr">
        <is>
          <t>Dec 12-Dec 20</t>
        </is>
      </c>
      <c r="I177" s="4" t="n"/>
      <c r="J177" s="4" t="n"/>
      <c r="K177" s="4" t="n"/>
      <c r="L177" s="4" t="n"/>
    </row>
    <row r="178">
      <c r="A178" s="4" t="inlineStr">
        <is>
          <t>104</t>
        </is>
      </c>
      <c r="B178" s="4" t="inlineStr">
        <is>
          <t>elk</t>
        </is>
      </c>
      <c r="C178" s="4" t="inlineStr">
        <is>
          <t>Elk B License: 104-00</t>
        </is>
      </c>
      <c r="D178" s="15" t="inlineStr">
        <is>
          <t>Drawing</t>
        </is>
      </c>
      <c r="E178" s="4" t="inlineStr">
        <is>
          <t>Antlerless Elk</t>
        </is>
      </c>
      <c r="F178" s="4" t="inlineStr">
        <is>
          <t>Sep 05-Oct 18</t>
        </is>
      </c>
      <c r="G178" s="4" t="inlineStr">
        <is>
          <t>Oct 24-Nov 29</t>
        </is>
      </c>
      <c r="H178" s="4" t="inlineStr">
        <is>
          <t>Dec 12-Dec 20</t>
        </is>
      </c>
      <c r="I178" s="4" t="n"/>
      <c r="J178" s="4" t="inlineStr">
        <is>
          <t>Jun 1</t>
        </is>
      </c>
      <c r="K178" s="4" t="inlineStr">
        <is>
          <t>25</t>
        </is>
      </c>
      <c r="L178" s="4" t="inlineStr">
        <is>
          <t>Only valid on private land.</t>
        </is>
      </c>
    </row>
    <row r="179">
      <c r="A179" s="4" t="inlineStr">
        <is>
          <t>110</t>
        </is>
      </c>
      <c r="B179" s="4" t="inlineStr">
        <is>
          <t>elk</t>
        </is>
      </c>
      <c r="C179" s="4" t="inlineStr">
        <is>
          <t>General Elk License</t>
        </is>
      </c>
      <c r="D179" s="13" t="inlineStr">
        <is>
          <t>General license</t>
        </is>
      </c>
      <c r="E179" s="4" t="inlineStr">
        <is>
          <t>Brow-tined Bull Elk</t>
        </is>
      </c>
      <c r="F179" s="4" t="inlineStr">
        <is>
          <t>Sep 05-Oct 18</t>
        </is>
      </c>
      <c r="G179" s="4" t="inlineStr">
        <is>
          <t>Oct 24-Nov 29</t>
        </is>
      </c>
      <c r="H179" s="4" t="inlineStr">
        <is>
          <t>Dec 12-Dec 20</t>
        </is>
      </c>
      <c r="I179" s="4" t="n"/>
      <c r="J179" s="4" t="n"/>
      <c r="K179" s="4" t="n"/>
      <c r="L179" s="4" t="n"/>
    </row>
    <row r="180">
      <c r="A180" s="4" t="inlineStr">
        <is>
          <t>120</t>
        </is>
      </c>
      <c r="B180" s="4" t="inlineStr">
        <is>
          <t>elk</t>
        </is>
      </c>
      <c r="C180" s="4" t="inlineStr">
        <is>
          <t>General Elk License</t>
        </is>
      </c>
      <c r="D180" s="13" t="inlineStr">
        <is>
          <t>General license</t>
        </is>
      </c>
      <c r="E180" s="4" t="inlineStr">
        <is>
          <t>Brow-tined Bull Elk</t>
        </is>
      </c>
      <c r="F180" s="4" t="inlineStr">
        <is>
          <t>Sep 05-Oct 18</t>
        </is>
      </c>
      <c r="G180" s="4" t="inlineStr">
        <is>
          <t>Oct 24-Nov 29</t>
        </is>
      </c>
      <c r="H180" s="4" t="inlineStr">
        <is>
          <t>Dec 12-Dec 20</t>
        </is>
      </c>
      <c r="I180" s="4" t="n"/>
      <c r="J180" s="4" t="n"/>
      <c r="K180" s="4" t="n"/>
      <c r="L180" s="4" t="inlineStr">
        <is>
          <t>51 2026 Deer • Elk • Antelope Visit fwp.mt.gov LICENSE/PERMIT OPPORTUNITY APPL Y BY DATE QUOTA QUOTA RANGE EARL Y SEASON DATES ARCHERY ONL Y SEASON DATES GENERAL SEASON DATES HERITAGE MUZZLELOADER SEASON DATES LATE SEASON DATES OPPORTUNITY SPECIFIC DETAILS AND/ORRESTRICTIONS</t>
        </is>
      </c>
    </row>
    <row r="181">
      <c r="A181" s="4" t="inlineStr">
        <is>
          <t>121</t>
        </is>
      </c>
      <c r="B181" s="4" t="inlineStr">
        <is>
          <t>elk</t>
        </is>
      </c>
      <c r="C181" s="4" t="inlineStr">
        <is>
          <t>General Elk License</t>
        </is>
      </c>
      <c r="D181" s="13" t="inlineStr">
        <is>
          <t>General license</t>
        </is>
      </c>
      <c r="E181" s="4" t="inlineStr">
        <is>
          <t>Brow-tined Bull Elk</t>
        </is>
      </c>
      <c r="F181" s="4" t="inlineStr">
        <is>
          <t>Sep 05-Oct 18</t>
        </is>
      </c>
      <c r="G181" s="4" t="inlineStr">
        <is>
          <t>Oct 24-Nov 29</t>
        </is>
      </c>
      <c r="H181" s="4" t="inlineStr">
        <is>
          <t>Dec 12-Dec 20</t>
        </is>
      </c>
      <c r="I181" s="4" t="n"/>
      <c r="J181" s="4" t="n"/>
      <c r="K181" s="4" t="n"/>
      <c r="L181" s="4" t="n"/>
    </row>
    <row r="182">
      <c r="A182" s="4" t="inlineStr">
        <is>
          <t>121</t>
        </is>
      </c>
      <c r="B182" s="4" t="inlineStr">
        <is>
          <t>elk</t>
        </is>
      </c>
      <c r="C182" s="4" t="inlineStr">
        <is>
          <t>Elk B License: 121-00</t>
        </is>
      </c>
      <c r="D182" s="15" t="inlineStr">
        <is>
          <t>Drawing</t>
        </is>
      </c>
      <c r="E182" s="4" t="inlineStr">
        <is>
          <t>Antlerless Elk</t>
        </is>
      </c>
      <c r="F182" s="4" t="inlineStr">
        <is>
          <t>Sep 05-Oct 18</t>
        </is>
      </c>
      <c r="G182" s="4" t="inlineStr">
        <is>
          <t>Oct 24-Nov 29</t>
        </is>
      </c>
      <c r="H182" s="4" t="inlineStr">
        <is>
          <t>Dec 12-Dec 20</t>
        </is>
      </c>
      <c r="I182" s="4" t="n"/>
      <c r="J182" s="4" t="inlineStr">
        <is>
          <t>Jun 1</t>
        </is>
      </c>
      <c r="K182" s="4" t="inlineStr">
        <is>
          <t>150</t>
        </is>
      </c>
      <c r="L182" s="4" t="inlineStr">
        <is>
          <t>Only valid on private land.</t>
        </is>
      </c>
    </row>
    <row r="183">
      <c r="A183" s="4" t="inlineStr">
        <is>
          <t>121</t>
        </is>
      </c>
      <c r="B183" s="4" t="inlineStr">
        <is>
          <t>elk</t>
        </is>
      </c>
      <c r="C183" s="4" t="inlineStr">
        <is>
          <t>Elk B License: 121-01</t>
        </is>
      </c>
      <c r="D183" s="15" t="inlineStr">
        <is>
          <t>Drawing</t>
        </is>
      </c>
      <c r="E183" s="4" t="inlineStr">
        <is>
          <t>Antlerless Elk</t>
        </is>
      </c>
      <c r="F183" s="4" t="n"/>
      <c r="G183" s="4" t="n"/>
      <c r="H183" s="4" t="n"/>
      <c r="I183" s="4" t="inlineStr">
        <is>
          <t>Nov 30-Feb 15</t>
        </is>
      </c>
      <c r="J183" s="4" t="inlineStr">
        <is>
          <t>Jun 1</t>
        </is>
      </c>
      <c r="K183" s="4" t="inlineStr">
        <is>
          <t>20</t>
        </is>
      </c>
      <c r="L183" s="4" t="inlineStr">
        <is>
          <t>Only valid on private land.</t>
        </is>
      </c>
    </row>
    <row r="184">
      <c r="A184" s="4" t="inlineStr">
        <is>
          <t>122</t>
        </is>
      </c>
      <c r="B184" s="4" t="inlineStr">
        <is>
          <t>elk</t>
        </is>
      </c>
      <c r="C184" s="4" t="inlineStr">
        <is>
          <t>General Elk License</t>
        </is>
      </c>
      <c r="D184" s="13" t="inlineStr">
        <is>
          <t>General license</t>
        </is>
      </c>
      <c r="E184" s="4" t="inlineStr">
        <is>
          <t>Brow-tined Bull Elk</t>
        </is>
      </c>
      <c r="F184" s="4" t="inlineStr">
        <is>
          <t>Sep 05-Oct 18</t>
        </is>
      </c>
      <c r="G184" s="4" t="inlineStr">
        <is>
          <t>Oct 24-Nov 29</t>
        </is>
      </c>
      <c r="H184" s="4" t="inlineStr">
        <is>
          <t>Dec 12-Dec 20</t>
        </is>
      </c>
      <c r="I184" s="4" t="n"/>
      <c r="J184" s="4" t="n"/>
      <c r="K184" s="4" t="n"/>
      <c r="L184" s="4" t="n"/>
    </row>
    <row r="185">
      <c r="A185" s="4" t="inlineStr">
        <is>
          <t>122</t>
        </is>
      </c>
      <c r="B185" s="4" t="inlineStr">
        <is>
          <t>elk</t>
        </is>
      </c>
      <c r="C185" s="4" t="inlineStr">
        <is>
          <t>Elk B License: 122-00</t>
        </is>
      </c>
      <c r="D185" s="15" t="inlineStr">
        <is>
          <t>Drawing</t>
        </is>
      </c>
      <c r="E185" s="4" t="inlineStr">
        <is>
          <t>Antlerless Elk</t>
        </is>
      </c>
      <c r="F185" s="4" t="inlineStr">
        <is>
          <t>Sep 05-Oct 18</t>
        </is>
      </c>
      <c r="G185" s="4" t="inlineStr">
        <is>
          <t>Oct 24-Nov 29</t>
        </is>
      </c>
      <c r="H185" s="4" t="inlineStr">
        <is>
          <t>Dec 12-Dec 20</t>
        </is>
      </c>
      <c r="I185" s="4" t="n"/>
      <c r="J185" s="4" t="inlineStr">
        <is>
          <t>Jun 1</t>
        </is>
      </c>
      <c r="K185" s="4" t="inlineStr">
        <is>
          <t>25</t>
        </is>
      </c>
      <c r="L185" s="4" t="inlineStr">
        <is>
          <t>Only valid on private land.</t>
        </is>
      </c>
    </row>
    <row r="186">
      <c r="A186" s="4" t="inlineStr">
        <is>
          <t>123</t>
        </is>
      </c>
      <c r="B186" s="4" t="inlineStr">
        <is>
          <t>elk</t>
        </is>
      </c>
      <c r="C186" s="4" t="inlineStr">
        <is>
          <t>General Elk License</t>
        </is>
      </c>
      <c r="D186" s="13" t="inlineStr">
        <is>
          <t>General license</t>
        </is>
      </c>
      <c r="E186" s="4" t="inlineStr">
        <is>
          <t>Brow-tined Bull Elk</t>
        </is>
      </c>
      <c r="F186" s="4" t="inlineStr">
        <is>
          <t>Sep 05-Oct 18</t>
        </is>
      </c>
      <c r="G186" s="4" t="inlineStr">
        <is>
          <t>Oct 24-Nov 29</t>
        </is>
      </c>
      <c r="H186" s="4" t="inlineStr">
        <is>
          <t>Dec 12-Dec 20</t>
        </is>
      </c>
      <c r="I186" s="4" t="n"/>
      <c r="J186" s="4" t="n"/>
      <c r="K186" s="4" t="n"/>
      <c r="L186" s="4" t="n"/>
    </row>
    <row r="187">
      <c r="A187" s="4" t="inlineStr">
        <is>
          <t>123</t>
        </is>
      </c>
      <c r="B187" s="4" t="inlineStr">
        <is>
          <t>elk</t>
        </is>
      </c>
      <c r="C187" s="4" t="inlineStr">
        <is>
          <t>Elk B License: 123-00</t>
        </is>
      </c>
      <c r="D187" s="15" t="inlineStr">
        <is>
          <t>Drawing</t>
        </is>
      </c>
      <c r="E187" s="4" t="inlineStr">
        <is>
          <t>Antlerless Elk</t>
        </is>
      </c>
      <c r="F187" s="4" t="inlineStr">
        <is>
          <t>Sep 05-Oct 18</t>
        </is>
      </c>
      <c r="G187" s="4" t="inlineStr">
        <is>
          <t>Oct 24-Nov 29</t>
        </is>
      </c>
      <c r="H187" s="4" t="inlineStr">
        <is>
          <t>Dec 12-Dec 20</t>
        </is>
      </c>
      <c r="I187" s="4" t="n"/>
      <c r="J187" s="4" t="inlineStr">
        <is>
          <t>Jun 1</t>
        </is>
      </c>
      <c r="K187" s="4" t="inlineStr">
        <is>
          <t>25</t>
        </is>
      </c>
      <c r="L187" s="4" t="inlineStr">
        <is>
          <t>Only valid on private land. LICENSE/PERMIT OPPORTUNITY APPL Y BY DATE QUOTA QUOTA RANGE EARL Y SEASON DATES ARCHERY ONL Y SEASON DATES GENERAL SEASON DATES HERITAGE MUZZLELOADER SEASON DATES LATE SEASON DATES OPPORTUNITY SPECIFIC DETAILS AND/ORRESTRICTIONS</t>
        </is>
      </c>
    </row>
    <row r="188">
      <c r="A188" s="4" t="inlineStr">
        <is>
          <t>124</t>
        </is>
      </c>
      <c r="B188" s="4" t="inlineStr">
        <is>
          <t>elk</t>
        </is>
      </c>
      <c r="C188" s="4" t="inlineStr">
        <is>
          <t>General Elk License</t>
        </is>
      </c>
      <c r="D188" s="13" t="inlineStr">
        <is>
          <t>General license</t>
        </is>
      </c>
      <c r="E188" s="4" t="inlineStr">
        <is>
          <t>Brow-tined Bull Elk</t>
        </is>
      </c>
      <c r="F188" s="4" t="inlineStr">
        <is>
          <t>Sep 05-Oct 18</t>
        </is>
      </c>
      <c r="G188" s="4" t="inlineStr">
        <is>
          <t>Oct 24-Nov 29</t>
        </is>
      </c>
      <c r="H188" s="4" t="inlineStr">
        <is>
          <t>Dec 12-Dec 20</t>
        </is>
      </c>
      <c r="I188" s="4" t="n"/>
      <c r="J188" s="4" t="n"/>
      <c r="K188" s="4" t="n"/>
      <c r="L188" s="4" t="n"/>
    </row>
    <row r="189">
      <c r="A189" s="4" t="inlineStr">
        <is>
          <t>124</t>
        </is>
      </c>
      <c r="B189" s="4" t="inlineStr">
        <is>
          <t>elk</t>
        </is>
      </c>
      <c r="C189" s="4" t="inlineStr">
        <is>
          <t>Elk B License: 124-00</t>
        </is>
      </c>
      <c r="D189" s="15" t="inlineStr">
        <is>
          <t>Drawing</t>
        </is>
      </c>
      <c r="E189" s="4" t="inlineStr">
        <is>
          <t>Antlerless Elk</t>
        </is>
      </c>
      <c r="F189" s="4" t="inlineStr">
        <is>
          <t>Sep 05-Oct 18</t>
        </is>
      </c>
      <c r="G189" s="4" t="inlineStr">
        <is>
          <t>Oct 24-Nov 29</t>
        </is>
      </c>
      <c r="H189" s="4" t="inlineStr">
        <is>
          <t>Dec 12-Dec 20</t>
        </is>
      </c>
      <c r="I189" s="4" t="n"/>
      <c r="J189" s="4" t="inlineStr">
        <is>
          <t>Jun 1</t>
        </is>
      </c>
      <c r="K189" s="4" t="inlineStr">
        <is>
          <t>25</t>
        </is>
      </c>
      <c r="L189" s="4" t="inlineStr">
        <is>
          <t>Only valid on private land.</t>
        </is>
      </c>
    </row>
    <row r="190">
      <c r="A190" s="4" t="inlineStr">
        <is>
          <t>130</t>
        </is>
      </c>
      <c r="B190" s="4" t="inlineStr">
        <is>
          <t>elk</t>
        </is>
      </c>
      <c r="C190" s="4" t="inlineStr">
        <is>
          <t>General Elk License</t>
        </is>
      </c>
      <c r="D190" s="13" t="inlineStr">
        <is>
          <t>General license</t>
        </is>
      </c>
      <c r="E190" s="4" t="inlineStr">
        <is>
          <t>Brow-tined Bull Elk</t>
        </is>
      </c>
      <c r="F190" s="4" t="inlineStr">
        <is>
          <t>Sep 05-Oct 18</t>
        </is>
      </c>
      <c r="G190" s="4" t="inlineStr">
        <is>
          <t>Oct 24-Nov 29</t>
        </is>
      </c>
      <c r="H190" s="4" t="inlineStr">
        <is>
          <t>Dec 12-Dec 20</t>
        </is>
      </c>
      <c r="I190" s="4" t="n"/>
      <c r="J190" s="4" t="n"/>
      <c r="K190" s="4" t="n"/>
      <c r="L190" s="4" t="n"/>
    </row>
    <row r="191">
      <c r="A191" s="4" t="inlineStr">
        <is>
          <t>140</t>
        </is>
      </c>
      <c r="B191" s="4" t="inlineStr">
        <is>
          <t>elk</t>
        </is>
      </c>
      <c r="C191" s="4" t="inlineStr">
        <is>
          <t>General Elk License</t>
        </is>
      </c>
      <c r="D191" s="13" t="inlineStr">
        <is>
          <t>General license</t>
        </is>
      </c>
      <c r="E191" s="4" t="inlineStr">
        <is>
          <t>Brow-tined Bull Elk</t>
        </is>
      </c>
      <c r="F191" s="4" t="inlineStr">
        <is>
          <t>Sep 05-Oct 18</t>
        </is>
      </c>
      <c r="G191" s="4" t="inlineStr">
        <is>
          <t>Oct 24-Nov 29</t>
        </is>
      </c>
      <c r="H191" s="4" t="inlineStr">
        <is>
          <t>Dec 12-Dec 20</t>
        </is>
      </c>
      <c r="I191" s="4" t="n"/>
      <c r="J191" s="4" t="n"/>
      <c r="K191" s="4" t="n"/>
      <c r="L191" s="4" t="inlineStr">
        <is>
          <t>53 2026 Deer • Elk • Antelope Visit fwp.mt.gov LICENSE/PERMIT OPPORTUNITY APPL Y BY DATE QUOTA QUOTA RANGE EARL Y SEASON DATES ARCHERY ONL Y SEASON DATES GENERAL SEASON DATES HERITAGE MUZZLELOADER SEASON DATES LATE SEASON DATES OPPORTUNITY SPECIFIC DETAILS AND/ORRESTRICTIONS</t>
        </is>
      </c>
    </row>
    <row r="192">
      <c r="A192" s="4" t="inlineStr">
        <is>
          <t>141</t>
        </is>
      </c>
      <c r="B192" s="4" t="inlineStr">
        <is>
          <t>elk</t>
        </is>
      </c>
      <c r="C192" s="4" t="inlineStr">
        <is>
          <t>General Elk License</t>
        </is>
      </c>
      <c r="D192" s="13" t="inlineStr">
        <is>
          <t>General license</t>
        </is>
      </c>
      <c r="E192" s="4" t="inlineStr">
        <is>
          <t>Brow-tined Bull Elk</t>
        </is>
      </c>
      <c r="F192" s="4" t="inlineStr">
        <is>
          <t>Sep 05-Oct 18</t>
        </is>
      </c>
      <c r="G192" s="4" t="inlineStr">
        <is>
          <t>Oct 24-Nov 29</t>
        </is>
      </c>
      <c r="H192" s="4" t="inlineStr">
        <is>
          <t>Dec 12-Dec 20</t>
        </is>
      </c>
      <c r="I192" s="4" t="n"/>
      <c r="J192" s="4" t="n"/>
      <c r="K192" s="4" t="n"/>
      <c r="L192" s="4" t="n"/>
    </row>
    <row r="193">
      <c r="A193" s="4" t="inlineStr">
        <is>
          <t>150</t>
        </is>
      </c>
      <c r="B193" s="4" t="inlineStr">
        <is>
          <t>elk</t>
        </is>
      </c>
      <c r="C193" s="4" t="inlineStr">
        <is>
          <t>General Elk License</t>
        </is>
      </c>
      <c r="D193" s="13" t="inlineStr">
        <is>
          <t>General license</t>
        </is>
      </c>
      <c r="E193" s="4" t="inlineStr">
        <is>
          <t>Brow-tined Bull Elk</t>
        </is>
      </c>
      <c r="F193" s="4" t="inlineStr">
        <is>
          <t>Sep 05-Sep 14</t>
        </is>
      </c>
      <c r="G193" s="4" t="inlineStr">
        <is>
          <t>Sep 15-Nov 29</t>
        </is>
      </c>
      <c r="H193" s="4" t="inlineStr">
        <is>
          <t>Dec 12-Dec 20</t>
        </is>
      </c>
      <c r="I193" s="4" t="n"/>
      <c r="J193" s="4" t="n"/>
      <c r="K193" s="4" t="n"/>
      <c r="L193" s="4" t="n"/>
    </row>
    <row r="194">
      <c r="A194" s="4" t="inlineStr">
        <is>
          <t>170</t>
        </is>
      </c>
      <c r="B194" s="4" t="inlineStr">
        <is>
          <t>elk</t>
        </is>
      </c>
      <c r="C194" s="4" t="inlineStr">
        <is>
          <t>General Elk License</t>
        </is>
      </c>
      <c r="D194" s="13" t="inlineStr">
        <is>
          <t>General license</t>
        </is>
      </c>
      <c r="E194" s="4" t="inlineStr">
        <is>
          <t>Brow-tined Bull Elk</t>
        </is>
      </c>
      <c r="F194" s="4" t="inlineStr">
        <is>
          <t>Sep 05-Oct 18</t>
        </is>
      </c>
      <c r="G194" s="4" t="inlineStr">
        <is>
          <t>Oct 24-Nov 29</t>
        </is>
      </c>
      <c r="H194" s="4" t="inlineStr">
        <is>
          <t>Dec 12-Dec 20</t>
        </is>
      </c>
      <c r="I194" s="4" t="n"/>
      <c r="J194" s="4" t="n"/>
      <c r="K194" s="4" t="n"/>
      <c r="L194" s="4" t="n"/>
    </row>
    <row r="195">
      <c r="A195" s="4" t="inlineStr">
        <is>
          <t>170</t>
        </is>
      </c>
      <c r="B195" s="4" t="inlineStr">
        <is>
          <t>elk</t>
        </is>
      </c>
      <c r="C195" s="4" t="inlineStr">
        <is>
          <t>General Elk License</t>
        </is>
      </c>
      <c r="D195" s="13" t="inlineStr">
        <is>
          <t>General license</t>
        </is>
      </c>
      <c r="E195" s="4" t="inlineStr">
        <is>
          <t>Brow-tined Bull or Antlerless Elk</t>
        </is>
      </c>
      <c r="F195" s="4" t="n"/>
      <c r="G195" s="4" t="inlineStr">
        <is>
          <t>Oct 24-Nov 29</t>
        </is>
      </c>
      <c r="H195" s="4" t="inlineStr">
        <is>
          <t>Dec 12-Dec 20</t>
        </is>
      </c>
      <c r="I195" s="4" t="n"/>
      <c r="J195" s="4" t="n"/>
      <c r="K195" s="4" t="n"/>
      <c r="L195" s="4" t="inlineStr">
        <is>
          <t>Only valid north of Lake Blaine Road and West of Hwy 35.</t>
        </is>
      </c>
    </row>
    <row r="196">
      <c r="A196" s="4" t="inlineStr">
        <is>
          <t>170</t>
        </is>
      </c>
      <c r="B196" s="4" t="inlineStr">
        <is>
          <t>elk</t>
        </is>
      </c>
      <c r="C196" s="4" t="inlineStr">
        <is>
          <t>Elk B License: 170-00</t>
        </is>
      </c>
      <c r="D196" s="15" t="inlineStr">
        <is>
          <t>Drawing</t>
        </is>
      </c>
      <c r="E196" s="4" t="inlineStr">
        <is>
          <t>Antlerless Elk</t>
        </is>
      </c>
      <c r="F196" s="4" t="inlineStr">
        <is>
          <t>Sep 05-Oct 18</t>
        </is>
      </c>
      <c r="G196" s="4" t="inlineStr">
        <is>
          <t>Oct 24-Nov 29</t>
        </is>
      </c>
      <c r="H196" s="4" t="n"/>
      <c r="I196" s="4" t="inlineStr">
        <is>
          <t>Nov 30-Feb 15</t>
        </is>
      </c>
      <c r="J196" s="4" t="inlineStr">
        <is>
          <t>Jun 1</t>
        </is>
      </c>
      <c r="K196" s="4" t="inlineStr">
        <is>
          <t>100</t>
        </is>
      </c>
      <c r="L196" s="4" t="inlineStr">
        <is>
          <t>One per hunter. Only valid on private land north of Lake Blaine Road and west of Hwy 35. Secure access before applying. LICENSE/PERMIT OPPORTUNITY APPL Y BY DATE QUOTA QUOTA RANGE EARL Y SEASON DATES ARCHERY ONL Y SEASON DATES GENERAL SEASON DATES HERITAGE MUZZLELOADER SEASON DATES LATE SEASON DATES</t>
        </is>
      </c>
    </row>
    <row r="197">
      <c r="A197" s="4" t="inlineStr">
        <is>
          <t>200</t>
        </is>
      </c>
      <c r="B197" s="4" t="inlineStr">
        <is>
          <t>elk</t>
        </is>
      </c>
      <c r="C197" s="4" t="inlineStr">
        <is>
          <t>General Elk License</t>
        </is>
      </c>
      <c r="D197" s="13" t="inlineStr">
        <is>
          <t>General license</t>
        </is>
      </c>
      <c r="E197" s="4" t="inlineStr">
        <is>
          <t>Brow-tined Bull Elk</t>
        </is>
      </c>
      <c r="F197" s="4" t="inlineStr">
        <is>
          <t>Sep 05-Oct 18</t>
        </is>
      </c>
      <c r="G197" s="4" t="inlineStr">
        <is>
          <t>Oct 24-Nov 29</t>
        </is>
      </c>
      <c r="H197" s="4" t="inlineStr">
        <is>
          <t>Dec 12-Dec 20</t>
        </is>
      </c>
      <c r="I197" s="4" t="n"/>
      <c r="J197" s="4" t="n"/>
      <c r="K197" s="4" t="n"/>
      <c r="L197" s="4" t="n"/>
    </row>
    <row r="198">
      <c r="A198" s="4" t="inlineStr">
        <is>
          <t>200</t>
        </is>
      </c>
      <c r="B198" s="4" t="inlineStr">
        <is>
          <t>elk</t>
        </is>
      </c>
      <c r="C198" s="4" t="inlineStr">
        <is>
          <t>Elk B License: 200-00</t>
        </is>
      </c>
      <c r="D198" s="15" t="inlineStr">
        <is>
          <t>Drawing</t>
        </is>
      </c>
      <c r="E198" s="4" t="inlineStr">
        <is>
          <t>Antlerless Elk</t>
        </is>
      </c>
      <c r="F198" s="4" t="inlineStr">
        <is>
          <t>Sep 05-Oct 18</t>
        </is>
      </c>
      <c r="G198" s="4" t="inlineStr">
        <is>
          <t>Oct 24-Nov 29</t>
        </is>
      </c>
      <c r="H198" s="4" t="inlineStr">
        <is>
          <t>Dec 12-Dec 20</t>
        </is>
      </c>
      <c r="I198" s="4" t="n"/>
      <c r="J198" s="4" t="inlineStr">
        <is>
          <t>Jun 1</t>
        </is>
      </c>
      <c r="K198" s="4" t="inlineStr">
        <is>
          <t>5</t>
        </is>
      </c>
      <c r="L198" s="4" t="inlineStr">
        <is>
          <t>Only valid in Mullan Gulch area.</t>
        </is>
      </c>
    </row>
    <row r="199">
      <c r="A199" s="4" t="inlineStr">
        <is>
          <t>201</t>
        </is>
      </c>
      <c r="B199" s="4" t="inlineStr">
        <is>
          <t>elk</t>
        </is>
      </c>
      <c r="C199" s="4" t="inlineStr">
        <is>
          <t>General Elk License</t>
        </is>
      </c>
      <c r="D199" s="13" t="inlineStr">
        <is>
          <t>General license</t>
        </is>
      </c>
      <c r="E199" s="4" t="inlineStr">
        <is>
          <t>Brow-tined Bull or Antlerless Elk</t>
        </is>
      </c>
      <c r="F199" s="4" t="inlineStr">
        <is>
          <t>Sep 05-Oct 18</t>
        </is>
      </c>
      <c r="G199" s="4" t="n"/>
      <c r="H199" s="4" t="n"/>
      <c r="I199" s="4" t="n"/>
      <c r="J199" s="4" t="n"/>
      <c r="K199" s="4" t="n"/>
      <c r="L199" s="4" t="n"/>
    </row>
    <row r="200">
      <c r="A200" s="4" t="inlineStr">
        <is>
          <t>201</t>
        </is>
      </c>
      <c r="B200" s="4" t="inlineStr">
        <is>
          <t>elk</t>
        </is>
      </c>
      <c r="C200" s="4" t="inlineStr">
        <is>
          <t>General Elk License</t>
        </is>
      </c>
      <c r="D200" s="13" t="inlineStr">
        <is>
          <t>General license</t>
        </is>
      </c>
      <c r="E200" s="4" t="inlineStr">
        <is>
          <t>Brow-tined Bull Elk</t>
        </is>
      </c>
      <c r="F200" s="4" t="n"/>
      <c r="G200" s="4" t="inlineStr">
        <is>
          <t>Oct 24-Nov 29</t>
        </is>
      </c>
      <c r="H200" s="4" t="inlineStr">
        <is>
          <t>Dec 12-Dec 20</t>
        </is>
      </c>
      <c r="I200" s="4" t="n"/>
      <c r="J200" s="4" t="n"/>
      <c r="K200" s="4" t="n"/>
      <c r="L200" s="4" t="n"/>
    </row>
    <row r="201">
      <c r="A201" s="4" t="inlineStr">
        <is>
          <t>201</t>
        </is>
      </c>
      <c r="B201" s="4" t="inlineStr">
        <is>
          <t>elk</t>
        </is>
      </c>
      <c r="C201" s="4" t="inlineStr">
        <is>
          <t>General Elk License</t>
        </is>
      </c>
      <c r="D201" s="13" t="inlineStr">
        <is>
          <t>General license</t>
        </is>
      </c>
      <c r="E201" s="4" t="inlineStr">
        <is>
          <t>Brow-tined Bull or Antlerless Elk</t>
        </is>
      </c>
      <c r="F201" s="4" t="n"/>
      <c r="G201" s="4" t="inlineStr">
        <is>
          <t>Oct 24-Nov 29</t>
        </is>
      </c>
      <c r="H201" s="4" t="inlineStr">
        <is>
          <t>Dec 12-Dec 20</t>
        </is>
      </c>
      <c r="I201" s="4" t="n"/>
      <c r="J201" s="4" t="n"/>
      <c r="K201" s="4" t="n"/>
      <c r="L201" s="4" t="inlineStr">
        <is>
          <t>Only valid on private land excluding MKH Montana LLC lands. Only youth ages 12-15 and hunters with a PTHFV.Resident hunters 75 years old and older may harvest an antlerless elk on private land.</t>
        </is>
      </c>
    </row>
    <row r="202">
      <c r="A202" s="4" t="inlineStr">
        <is>
          <t>201</t>
        </is>
      </c>
      <c r="B202" s="4" t="inlineStr">
        <is>
          <t>elk</t>
        </is>
      </c>
      <c r="C202" s="4" t="inlineStr">
        <is>
          <t>Elk B License: 201-00</t>
        </is>
      </c>
      <c r="D202" s="15" t="inlineStr">
        <is>
          <t>Drawing</t>
        </is>
      </c>
      <c r="E202" s="4" t="inlineStr">
        <is>
          <t>Antlerless Elk</t>
        </is>
      </c>
      <c r="F202" s="4" t="inlineStr">
        <is>
          <t>Sep 05-Oct 18</t>
        </is>
      </c>
      <c r="G202" s="4" t="inlineStr">
        <is>
          <t>Oct 24-Nov 29</t>
        </is>
      </c>
      <c r="H202" s="4" t="inlineStr">
        <is>
          <t>Dec 12-Dec 20</t>
        </is>
      </c>
      <c r="I202" s="4" t="n"/>
      <c r="J202" s="4" t="inlineStr">
        <is>
          <t>Jun 1</t>
        </is>
      </c>
      <c r="K202" s="4" t="inlineStr">
        <is>
          <t>150</t>
        </is>
      </c>
      <c r="L202" s="4" t="n"/>
    </row>
    <row r="203">
      <c r="A203" s="4" t="inlineStr">
        <is>
          <t>201</t>
        </is>
      </c>
      <c r="B203" s="4" t="inlineStr">
        <is>
          <t>elk</t>
        </is>
      </c>
      <c r="C203" s="4" t="inlineStr">
        <is>
          <t>Elk B License: 201-01</t>
        </is>
      </c>
      <c r="D203" s="4" t="inlineStr">
        <is>
          <t>Over the counter</t>
        </is>
      </c>
      <c r="E203" s="4" t="inlineStr">
        <is>
          <t>Antlerless Elk</t>
        </is>
      </c>
      <c r="F203" s="4" t="inlineStr">
        <is>
          <t>Sep 05-Oct 18</t>
        </is>
      </c>
      <c r="G203" s="4" t="inlineStr">
        <is>
          <t>Oct 24-Nov 29</t>
        </is>
      </c>
      <c r="H203" s="4" t="inlineStr">
        <is>
          <t>Dec 12-Dec 20</t>
        </is>
      </c>
      <c r="I203" s="4" t="n"/>
      <c r="J203" s="4" t="inlineStr">
        <is>
          <t>OTC: Jun 15</t>
        </is>
      </c>
      <c r="K203" s="4" t="inlineStr">
        <is>
          <t>UNL</t>
        </is>
      </c>
      <c r="L203" s="4" t="inlineStr">
        <is>
          <t>Also valid in HD 260 with restrictions. See HD 260 for more info. One per hunter. Only valid on private land excluding MKH Montana LLC lands. Not valid in Mineral County. Must purchase before start of general rife season. 55 LICENSE/PERMIT OPPORTUNITY APPL Y BY DATE QUOTA QUOTA RANGE EARL Y SEASON D</t>
        </is>
      </c>
    </row>
    <row r="204">
      <c r="A204" s="4" t="inlineStr">
        <is>
          <t>202</t>
        </is>
      </c>
      <c r="B204" s="4" t="inlineStr">
        <is>
          <t>elk</t>
        </is>
      </c>
      <c r="C204" s="4" t="inlineStr">
        <is>
          <t>General Elk License</t>
        </is>
      </c>
      <c r="D204" s="13" t="inlineStr">
        <is>
          <t>General license</t>
        </is>
      </c>
      <c r="E204" s="4" t="inlineStr">
        <is>
          <t>Brow-tined Bull Elk</t>
        </is>
      </c>
      <c r="F204" s="4" t="inlineStr">
        <is>
          <t>Sep 05-Oct 18</t>
        </is>
      </c>
      <c r="G204" s="4" t="inlineStr">
        <is>
          <t>Oct 24-Nov 29</t>
        </is>
      </c>
      <c r="H204" s="4" t="inlineStr">
        <is>
          <t>Dec 12-Dec 20</t>
        </is>
      </c>
      <c r="I204" s="4" t="n"/>
      <c r="J204" s="4" t="n"/>
      <c r="K204" s="4" t="n"/>
      <c r="L204" s="4" t="n"/>
    </row>
    <row r="205">
      <c r="A205" s="4" t="inlineStr">
        <is>
          <t>202</t>
        </is>
      </c>
      <c r="B205" s="4" t="inlineStr">
        <is>
          <t>elk</t>
        </is>
      </c>
      <c r="C205" s="4" t="inlineStr">
        <is>
          <t>Elk B License: 202-00</t>
        </is>
      </c>
      <c r="D205" s="15" t="inlineStr">
        <is>
          <t>Drawing</t>
        </is>
      </c>
      <c r="E205" s="4" t="inlineStr">
        <is>
          <t>Antlerless Elk</t>
        </is>
      </c>
      <c r="F205" s="4" t="inlineStr">
        <is>
          <t>Sep 05-Oct 18</t>
        </is>
      </c>
      <c r="G205" s="4" t="inlineStr">
        <is>
          <t>Oct 24-Nov 29</t>
        </is>
      </c>
      <c r="H205" s="4" t="inlineStr">
        <is>
          <t>Dec 12-Dec 20</t>
        </is>
      </c>
      <c r="I205" s="4" t="n"/>
      <c r="J205" s="4" t="inlineStr">
        <is>
          <t>Jun 1</t>
        </is>
      </c>
      <c r="K205" s="4" t="inlineStr">
        <is>
          <t>75</t>
        </is>
      </c>
      <c r="L205" s="4" t="inlineStr">
        <is>
          <t>Only valid between Trout and Quartz Crks.</t>
        </is>
      </c>
    </row>
    <row r="206">
      <c r="A206" s="4" t="inlineStr">
        <is>
          <t>204</t>
        </is>
      </c>
      <c r="B206" s="4" t="inlineStr">
        <is>
          <t>elk</t>
        </is>
      </c>
      <c r="C206" s="4" t="inlineStr">
        <is>
          <t>General Elk License</t>
        </is>
      </c>
      <c r="D206" s="13" t="inlineStr">
        <is>
          <t>General license</t>
        </is>
      </c>
      <c r="E206" s="4" t="inlineStr">
        <is>
          <t>Brow-tined Bull or Antlerless Elk</t>
        </is>
      </c>
      <c r="F206" s="4" t="inlineStr">
        <is>
          <t>Sep 05-Oct 18</t>
        </is>
      </c>
      <c r="G206" s="4" t="n"/>
      <c r="H206" s="4" t="n"/>
      <c r="I206" s="4" t="n"/>
      <c r="J206" s="4" t="n"/>
      <c r="K206" s="4" t="n"/>
      <c r="L206" s="4" t="n"/>
    </row>
    <row r="207">
      <c r="A207" s="4" t="inlineStr">
        <is>
          <t>204</t>
        </is>
      </c>
      <c r="B207" s="4" t="inlineStr">
        <is>
          <t>elk</t>
        </is>
      </c>
      <c r="C207" s="4" t="inlineStr">
        <is>
          <t>General Elk License</t>
        </is>
      </c>
      <c r="D207" s="13" t="inlineStr">
        <is>
          <t>General license</t>
        </is>
      </c>
      <c r="E207" s="4" t="inlineStr">
        <is>
          <t>Antlerless Elk</t>
        </is>
      </c>
      <c r="F207" s="4" t="n"/>
      <c r="G207" s="4" t="inlineStr">
        <is>
          <t>Oct 24-Nov 29</t>
        </is>
      </c>
      <c r="H207" s="4" t="n"/>
      <c r="I207" s="4" t="inlineStr">
        <is>
          <t>Nov 30-Jan 08</t>
        </is>
      </c>
      <c r="J207" s="4" t="n"/>
      <c r="K207" s="4" t="n"/>
      <c r="L207" s="4" t="inlineStr">
        <is>
          <t>Only valid on private lands in north portion of 204 (Eight Mile-Turah).</t>
        </is>
      </c>
    </row>
    <row r="208">
      <c r="A208" s="4" t="inlineStr">
        <is>
          <t>204</t>
        </is>
      </c>
      <c r="B208" s="4" t="inlineStr">
        <is>
          <t>elk</t>
        </is>
      </c>
      <c r="C208" s="4" t="inlineStr">
        <is>
          <t>General Elk License</t>
        </is>
      </c>
      <c r="D208" s="13" t="inlineStr">
        <is>
          <t>General license</t>
        </is>
      </c>
      <c r="E208" s="4" t="inlineStr">
        <is>
          <t>Brow-tined Bull Elk</t>
        </is>
      </c>
      <c r="F208" s="4" t="n"/>
      <c r="G208" s="4" t="inlineStr">
        <is>
          <t>Oct 24-Nov 29</t>
        </is>
      </c>
      <c r="H208" s="4" t="inlineStr">
        <is>
          <t>Dec 12-Dec 20</t>
        </is>
      </c>
      <c r="I208" s="4" t="n"/>
      <c r="J208" s="4" t="n"/>
      <c r="K208" s="4" t="n"/>
      <c r="L208" s="4" t="n"/>
    </row>
    <row r="209">
      <c r="A209" s="4" t="inlineStr">
        <is>
          <t>204</t>
        </is>
      </c>
      <c r="B209" s="4" t="inlineStr">
        <is>
          <t>elk</t>
        </is>
      </c>
      <c r="C209" s="4" t="inlineStr">
        <is>
          <t>General Elk License</t>
        </is>
      </c>
      <c r="D209" s="13" t="inlineStr">
        <is>
          <t>General license</t>
        </is>
      </c>
      <c r="E209" s="4" t="inlineStr">
        <is>
          <t>Brow-tined Bull or Antlerless Elk</t>
        </is>
      </c>
      <c r="F209" s="4" t="n"/>
      <c r="G209" s="4" t="inlineStr">
        <is>
          <t>Oct 24-Nov 29</t>
        </is>
      </c>
      <c r="H209" s="4" t="inlineStr">
        <is>
          <t>Dec 12-Dec 20</t>
        </is>
      </c>
      <c r="I209" s="4" t="n"/>
      <c r="J209" s="4" t="n"/>
      <c r="K209" s="4" t="n"/>
      <c r="L209" s="4" t="inlineStr">
        <is>
          <t>Only youth ages 12-15 and hunters with a PTHFV. Resident hunters 75 years old and older may harvest an antlerless elk on private land.</t>
        </is>
      </c>
    </row>
    <row r="210">
      <c r="A210" s="4" t="inlineStr">
        <is>
          <t>204</t>
        </is>
      </c>
      <c r="B210" s="4" t="inlineStr">
        <is>
          <t>elk</t>
        </is>
      </c>
      <c r="C210" s="4" t="inlineStr">
        <is>
          <t>Elk B License: 204-00</t>
        </is>
      </c>
      <c r="D210" s="15" t="inlineStr">
        <is>
          <t>Drawing</t>
        </is>
      </c>
      <c r="E210" s="4" t="inlineStr">
        <is>
          <t>Antlerless Elk</t>
        </is>
      </c>
      <c r="F210" s="4" t="inlineStr">
        <is>
          <t>Sep 05-Oct 18</t>
        </is>
      </c>
      <c r="G210" s="4" t="inlineStr">
        <is>
          <t>Oct 24-Nov 29</t>
        </is>
      </c>
      <c r="H210" s="4" t="inlineStr">
        <is>
          <t>Dec 12-Dec 20</t>
        </is>
      </c>
      <c r="I210" s="4" t="n"/>
      <c r="J210" s="4" t="inlineStr">
        <is>
          <t>Jun 1</t>
        </is>
      </c>
      <c r="K210" s="4" t="inlineStr">
        <is>
          <t>100</t>
        </is>
      </c>
      <c r="L210" s="4" t="n"/>
    </row>
    <row r="211">
      <c r="A211" s="4" t="inlineStr">
        <is>
          <t>204</t>
        </is>
      </c>
      <c r="B211" s="4" t="inlineStr">
        <is>
          <t>elk</t>
        </is>
      </c>
      <c r="C211" s="4" t="inlineStr">
        <is>
          <t>Elk B License: 262-01</t>
        </is>
      </c>
      <c r="D211" s="4" t="inlineStr">
        <is>
          <t>Over the counter</t>
        </is>
      </c>
      <c r="E211" s="4" t="inlineStr">
        <is>
          <t>Antlerless Elk</t>
        </is>
      </c>
      <c r="F211" s="4" t="inlineStr">
        <is>
          <t>Sep 05-Oct 18</t>
        </is>
      </c>
      <c r="G211" s="4" t="inlineStr">
        <is>
          <t>Oct 24-Nov 29</t>
        </is>
      </c>
      <c r="H211" s="4" t="inlineStr">
        <is>
          <t>Dec 12-Dec 20</t>
        </is>
      </c>
      <c r="I211" s="4" t="n"/>
      <c r="J211" s="4" t="inlineStr">
        <is>
          <t>OTC: Jun 15</t>
        </is>
      </c>
      <c r="K211" s="4" t="inlineStr">
        <is>
          <t>UNL</t>
        </is>
      </c>
      <c r="L211" s="4" t="inlineStr">
        <is>
          <t>One per hunter. Only valid on private lands in HDs 204, 261, 262, and 270. Must purchase before start of general rife season. Restrictions apply, season dates may vary, see each HD for more info. One per hunter. Only valid on private lands in north portion of 204 (Eight Mile-Turah).</t>
        </is>
      </c>
    </row>
    <row r="212">
      <c r="A212" s="4" t="inlineStr">
        <is>
          <t>210</t>
        </is>
      </c>
      <c r="B212" s="4" t="inlineStr">
        <is>
          <t>elk</t>
        </is>
      </c>
      <c r="C212" s="4" t="inlineStr">
        <is>
          <t>General Elk License</t>
        </is>
      </c>
      <c r="D212" s="13" t="inlineStr">
        <is>
          <t>General license</t>
        </is>
      </c>
      <c r="E212" s="4" t="inlineStr">
        <is>
          <t>Brow-tined Bull or Antlerless Elk</t>
        </is>
      </c>
      <c r="F212" s="4" t="inlineStr">
        <is>
          <t>Sep 05-Oct 18</t>
        </is>
      </c>
      <c r="G212" s="4" t="n"/>
      <c r="H212" s="4" t="n"/>
      <c r="I212" s="4" t="n"/>
      <c r="J212" s="4" t="n"/>
      <c r="K212" s="4" t="n"/>
      <c r="L212" s="4" t="n"/>
    </row>
    <row r="213">
      <c r="A213" s="4" t="inlineStr">
        <is>
          <t>210</t>
        </is>
      </c>
      <c r="B213" s="4" t="inlineStr">
        <is>
          <t>elk</t>
        </is>
      </c>
      <c r="C213" s="4" t="inlineStr">
        <is>
          <t>General Elk License</t>
        </is>
      </c>
      <c r="D213" s="13" t="inlineStr">
        <is>
          <t>General license</t>
        </is>
      </c>
      <c r="E213" s="4" t="inlineStr">
        <is>
          <t>Brow-tined Bull Elk</t>
        </is>
      </c>
      <c r="F213" s="4" t="n"/>
      <c r="G213" s="4" t="inlineStr">
        <is>
          <t>Oct 24-Nov 29</t>
        </is>
      </c>
      <c r="H213" s="4" t="inlineStr">
        <is>
          <t>Dec 12-Dec 20</t>
        </is>
      </c>
      <c r="I213" s="4" t="n"/>
      <c r="J213" s="4" t="n"/>
      <c r="K213" s="4" t="n"/>
      <c r="L213" s="4" t="n"/>
    </row>
    <row r="214">
      <c r="A214" s="4" t="inlineStr">
        <is>
          <t>210</t>
        </is>
      </c>
      <c r="B214" s="4" t="inlineStr">
        <is>
          <t>elk</t>
        </is>
      </c>
      <c r="C214" s="4" t="inlineStr">
        <is>
          <t>General Elk License</t>
        </is>
      </c>
      <c r="D214" s="13" t="inlineStr">
        <is>
          <t>General license</t>
        </is>
      </c>
      <c r="E214" s="4" t="inlineStr">
        <is>
          <t>Brow-tined Bull or Antlerless Elk</t>
        </is>
      </c>
      <c r="F214" s="4" t="n"/>
      <c r="G214" s="4" t="inlineStr">
        <is>
          <t>Oct 24-Nov 29</t>
        </is>
      </c>
      <c r="H214" s="4" t="inlineStr">
        <is>
          <t>Dec 12-Dec 20</t>
        </is>
      </c>
      <c r="I214" s="4" t="n"/>
      <c r="J214" s="4" t="n"/>
      <c r="K214" s="4" t="n"/>
      <c r="L214" s="4" t="inlineStr">
        <is>
          <t>Only youth ages 12-15 and hunters with a PTHFV. Resident hunters 75 years old and older may harvest an antlerless elk on private land.</t>
        </is>
      </c>
    </row>
    <row r="215">
      <c r="A215" s="4" t="inlineStr">
        <is>
          <t>210</t>
        </is>
      </c>
      <c r="B215" s="4" t="inlineStr">
        <is>
          <t>elk</t>
        </is>
      </c>
      <c r="C215" s="4" t="inlineStr">
        <is>
          <t>Elk B License: 210-02</t>
        </is>
      </c>
      <c r="D215" s="15" t="inlineStr">
        <is>
          <t>Drawing</t>
        </is>
      </c>
      <c r="E215" s="4" t="inlineStr">
        <is>
          <t>Antlerless Elk</t>
        </is>
      </c>
      <c r="F215" s="4" t="inlineStr">
        <is>
          <t>Sep 05-Oct 18</t>
        </is>
      </c>
      <c r="G215" s="4" t="inlineStr">
        <is>
          <t>Oct 24-Nov 29</t>
        </is>
      </c>
      <c r="H215" s="4" t="inlineStr">
        <is>
          <t>Dec 12-Dec 20</t>
        </is>
      </c>
      <c r="I215" s="4" t="n"/>
      <c r="J215" s="4" t="inlineStr">
        <is>
          <t>Jun 1</t>
        </is>
      </c>
      <c r="K215" s="4" t="inlineStr">
        <is>
          <t>50</t>
        </is>
      </c>
      <c r="L215" s="4" t="n"/>
    </row>
    <row r="216">
      <c r="A216" s="4" t="inlineStr">
        <is>
          <t>210</t>
        </is>
      </c>
      <c r="B216" s="4" t="inlineStr">
        <is>
          <t>elk</t>
        </is>
      </c>
      <c r="C216" s="4" t="inlineStr">
        <is>
          <t>Elk B License: 210-03</t>
        </is>
      </c>
      <c r="D216" s="15" t="inlineStr">
        <is>
          <t>Drawing</t>
        </is>
      </c>
      <c r="E216" s="4" t="inlineStr">
        <is>
          <t>Antlerless Elk</t>
        </is>
      </c>
      <c r="F216" s="4" t="n"/>
      <c r="G216" s="4" t="n"/>
      <c r="H216" s="4" t="n"/>
      <c r="I216" s="4" t="inlineStr">
        <is>
          <t>Nov 30-Jan 08</t>
        </is>
      </c>
      <c r="J216" s="4" t="inlineStr">
        <is>
          <t>Jun 1</t>
        </is>
      </c>
      <c r="K216" s="4" t="inlineStr">
        <is>
          <t>300</t>
        </is>
      </c>
      <c r="L216" s="4" t="inlineStr">
        <is>
          <t>Valid on private lands in HDs 211, 212, 216 and south portion of 210 (Rattling Gulch-Henderson Creek). Valid on the above described private lands AND ALSO VALID on DNRC lands outside the National Forest Service boundary.</t>
        </is>
      </c>
    </row>
    <row r="217">
      <c r="A217" s="4" t="inlineStr">
        <is>
          <t>210</t>
        </is>
      </c>
      <c r="B217" s="4" t="inlineStr">
        <is>
          <t>elk</t>
        </is>
      </c>
      <c r="C217" s="4" t="inlineStr">
        <is>
          <t>Elk B License: 210-04</t>
        </is>
      </c>
      <c r="D217" s="15" t="inlineStr">
        <is>
          <t>Drawing</t>
        </is>
      </c>
      <c r="E217" s="4" t="inlineStr">
        <is>
          <t>Antlerless Elk</t>
        </is>
      </c>
      <c r="F217" s="4" t="inlineStr">
        <is>
          <t>Sep 05-Oct 18</t>
        </is>
      </c>
      <c r="G217" s="4" t="inlineStr">
        <is>
          <t>Oct 24-Nov 29</t>
        </is>
      </c>
      <c r="H217" s="4" t="inlineStr">
        <is>
          <t>Dec 12-Dec 20</t>
        </is>
      </c>
      <c r="I217" s="4" t="n"/>
      <c r="J217" s="4" t="inlineStr">
        <is>
          <t>Jun 1</t>
        </is>
      </c>
      <c r="K217" s="4" t="inlineStr">
        <is>
          <t>50</t>
        </is>
      </c>
      <c r="L217" s="4" t="inlineStr">
        <is>
          <t>Only valid on private lands in north portion of HD 210 (Rattling Gulch- Henderson Creek).</t>
        </is>
      </c>
    </row>
    <row r="218">
      <c r="A218" s="4" t="inlineStr">
        <is>
          <t>211</t>
        </is>
      </c>
      <c r="B218" s="4" t="inlineStr">
        <is>
          <t>elk</t>
        </is>
      </c>
      <c r="C218" s="4" t="inlineStr">
        <is>
          <t>General Elk License</t>
        </is>
      </c>
      <c r="D218" s="13" t="inlineStr">
        <is>
          <t>General license</t>
        </is>
      </c>
      <c r="E218" s="4" t="inlineStr">
        <is>
          <t>Brow-tined Bull or Antlerless Elk</t>
        </is>
      </c>
      <c r="F218" s="4" t="inlineStr">
        <is>
          <t>Sep 05-Oct 18</t>
        </is>
      </c>
      <c r="G218" s="4" t="n"/>
      <c r="H218" s="4" t="n"/>
      <c r="I218" s="4" t="n"/>
      <c r="J218" s="4" t="n"/>
      <c r="K218" s="4" t="n"/>
      <c r="L218" s="4" t="n"/>
    </row>
    <row r="219">
      <c r="A219" s="4" t="inlineStr">
        <is>
          <t>211</t>
        </is>
      </c>
      <c r="B219" s="4" t="inlineStr">
        <is>
          <t>elk</t>
        </is>
      </c>
      <c r="C219" s="4" t="inlineStr">
        <is>
          <t>General Elk License</t>
        </is>
      </c>
      <c r="D219" s="13" t="inlineStr">
        <is>
          <t>General license</t>
        </is>
      </c>
      <c r="E219" s="4" t="inlineStr">
        <is>
          <t>Brow-tined Bull Elk</t>
        </is>
      </c>
      <c r="F219" s="4" t="n"/>
      <c r="G219" s="4" t="inlineStr">
        <is>
          <t>Oct 24-Nov 29</t>
        </is>
      </c>
      <c r="H219" s="4" t="inlineStr">
        <is>
          <t>Dec 12-Dec 20</t>
        </is>
      </c>
      <c r="I219" s="4" t="n"/>
      <c r="J219" s="4" t="n"/>
      <c r="K219" s="4" t="n"/>
      <c r="L219" s="4" t="n"/>
    </row>
    <row r="220">
      <c r="A220" s="4" t="inlineStr">
        <is>
          <t>211</t>
        </is>
      </c>
      <c r="B220" s="4" t="inlineStr">
        <is>
          <t>elk</t>
        </is>
      </c>
      <c r="C220" s="4" t="inlineStr">
        <is>
          <t>General Elk License</t>
        </is>
      </c>
      <c r="D220" s="13" t="inlineStr">
        <is>
          <t>General license</t>
        </is>
      </c>
      <c r="E220" s="4" t="inlineStr">
        <is>
          <t>Brow-tined Bull or Antlerless Elk</t>
        </is>
      </c>
      <c r="F220" s="4" t="n"/>
      <c r="G220" s="4" t="inlineStr">
        <is>
          <t>Oct 24-Nov 29</t>
        </is>
      </c>
      <c r="H220" s="4" t="inlineStr">
        <is>
          <t>Dec 12-Dec 20</t>
        </is>
      </c>
      <c r="I220" s="4" t="n"/>
      <c r="J220" s="4" t="n"/>
      <c r="K220" s="4" t="n"/>
      <c r="L220" s="4" t="inlineStr">
        <is>
          <t>Only youth ages 12-15 and hunters with a PTHFV. Resident hunters 75 years old and older may harvest an antlerless elk on private land.</t>
        </is>
      </c>
    </row>
    <row r="221">
      <c r="A221" s="4" t="inlineStr">
        <is>
          <t>211</t>
        </is>
      </c>
      <c r="B221" s="4" t="inlineStr">
        <is>
          <t>elk</t>
        </is>
      </c>
      <c r="C221" s="4" t="inlineStr">
        <is>
          <t>Elk B License: 210-03</t>
        </is>
      </c>
      <c r="D221" s="15" t="inlineStr">
        <is>
          <t>Drawing</t>
        </is>
      </c>
      <c r="E221" s="4" t="inlineStr">
        <is>
          <t>Antlerless Elk</t>
        </is>
      </c>
      <c r="F221" s="4" t="n"/>
      <c r="G221" s="4" t="n"/>
      <c r="H221" s="4" t="n"/>
      <c r="I221" s="4" t="inlineStr">
        <is>
          <t>Nov 30-Jan 08</t>
        </is>
      </c>
      <c r="J221" s="4" t="inlineStr">
        <is>
          <t>Jun 1</t>
        </is>
      </c>
      <c r="K221" s="4" t="inlineStr">
        <is>
          <t>200</t>
        </is>
      </c>
      <c r="L221" s="4" t="inlineStr">
        <is>
          <t>Valid on private lands in HDs 211, 212, 216 and south portion of 210 (Rattling Gulch-Henderson Creek). Valid on the above described private lands AND ALSO VALID on DNRC lands outside the National Forest Service boundary.</t>
        </is>
      </c>
    </row>
    <row r="222">
      <c r="A222" s="4" t="inlineStr">
        <is>
          <t>211</t>
        </is>
      </c>
      <c r="B222" s="4" t="inlineStr">
        <is>
          <t>elk</t>
        </is>
      </c>
      <c r="C222" s="4" t="inlineStr">
        <is>
          <t>Elk B License: 211-00</t>
        </is>
      </c>
      <c r="D222" s="15" t="inlineStr">
        <is>
          <t>Drawing</t>
        </is>
      </c>
      <c r="E222" s="4" t="inlineStr">
        <is>
          <t>Antlerless Elk</t>
        </is>
      </c>
      <c r="F222" s="4" t="inlineStr">
        <is>
          <t>Sep 05-Oct 18</t>
        </is>
      </c>
      <c r="G222" s="4" t="inlineStr">
        <is>
          <t>Oct 24-Nov 29</t>
        </is>
      </c>
      <c r="H222" s="4" t="inlineStr">
        <is>
          <t>Dec 12-Dec 20</t>
        </is>
      </c>
      <c r="I222" s="4" t="n"/>
      <c r="J222" s="4" t="inlineStr">
        <is>
          <t>Jun 1</t>
        </is>
      </c>
      <c r="K222" s="4" t="inlineStr">
        <is>
          <t>150</t>
        </is>
      </c>
      <c r="L222" s="4" t="inlineStr">
        <is>
          <t>LICENSE/PERMIT OPPORTUNITY APPL Y BY DATE QUOTA QUOTA RANGE EARL Y SEASON DATES ARCHERY ONL Y SEASON DATES GENERAL SEASON DATES HERITAGE MUZZLELOADER SEASON DATES LATE SEASON DATES OPPORTUNITY SPECIFIC DETAILS AND/ORRESTRICTIONS</t>
        </is>
      </c>
    </row>
    <row r="223">
      <c r="A223" s="4" t="inlineStr">
        <is>
          <t>212</t>
        </is>
      </c>
      <c r="B223" s="4" t="inlineStr">
        <is>
          <t>elk</t>
        </is>
      </c>
      <c r="C223" s="4" t="inlineStr">
        <is>
          <t>General Elk License</t>
        </is>
      </c>
      <c r="D223" s="13" t="inlineStr">
        <is>
          <t>General license</t>
        </is>
      </c>
      <c r="E223" s="4" t="inlineStr">
        <is>
          <t>Brow-tined Bull or Antlerless Elk</t>
        </is>
      </c>
      <c r="F223" s="4" t="inlineStr">
        <is>
          <t>Sep 05-Oct 18</t>
        </is>
      </c>
      <c r="G223" s="4" t="n"/>
      <c r="H223" s="4" t="n"/>
      <c r="I223" s="4" t="n"/>
      <c r="J223" s="4" t="n"/>
      <c r="K223" s="4" t="n"/>
      <c r="L223" s="4" t="n"/>
    </row>
    <row r="224">
      <c r="A224" s="4" t="inlineStr">
        <is>
          <t>212</t>
        </is>
      </c>
      <c r="B224" s="4" t="inlineStr">
        <is>
          <t>elk</t>
        </is>
      </c>
      <c r="C224" s="4" t="inlineStr">
        <is>
          <t>General Elk License</t>
        </is>
      </c>
      <c r="D224" s="13" t="inlineStr">
        <is>
          <t>General license</t>
        </is>
      </c>
      <c r="E224" s="4" t="inlineStr">
        <is>
          <t>Brow-tined Bull Elk</t>
        </is>
      </c>
      <c r="F224" s="4" t="n"/>
      <c r="G224" s="4" t="inlineStr">
        <is>
          <t>Oct 24-Nov 29</t>
        </is>
      </c>
      <c r="H224" s="4" t="inlineStr">
        <is>
          <t>Dec 12-Dec 20</t>
        </is>
      </c>
      <c r="I224" s="4" t="n"/>
      <c r="J224" s="4" t="n"/>
      <c r="K224" s="4" t="n"/>
      <c r="L224" s="4" t="n"/>
    </row>
    <row r="225">
      <c r="A225" s="4" t="inlineStr">
        <is>
          <t>212</t>
        </is>
      </c>
      <c r="B225" s="4" t="inlineStr">
        <is>
          <t>elk</t>
        </is>
      </c>
      <c r="C225" s="4" t="inlineStr">
        <is>
          <t>General Elk License</t>
        </is>
      </c>
      <c r="D225" s="13" t="inlineStr">
        <is>
          <t>General license</t>
        </is>
      </c>
      <c r="E225" s="4" t="inlineStr">
        <is>
          <t>Brow-tined Bull or Antlerless Elk</t>
        </is>
      </c>
      <c r="F225" s="4" t="n"/>
      <c r="G225" s="4" t="inlineStr">
        <is>
          <t>Oct 24-Nov 29</t>
        </is>
      </c>
      <c r="H225" s="4" t="inlineStr">
        <is>
          <t>Dec 12-Dec 20</t>
        </is>
      </c>
      <c r="I225" s="4" t="n"/>
      <c r="J225" s="4" t="n"/>
      <c r="K225" s="4" t="n"/>
      <c r="L225" s="4" t="inlineStr">
        <is>
          <t>Only youth ages 12-15 and hunters with a PTHFV. Resident hunters 75 years old and older may harvest an antlerless elk on private land.</t>
        </is>
      </c>
    </row>
    <row r="226">
      <c r="A226" s="4" t="inlineStr">
        <is>
          <t>212</t>
        </is>
      </c>
      <c r="B226" s="4" t="inlineStr">
        <is>
          <t>elk</t>
        </is>
      </c>
      <c r="C226" s="4" t="inlineStr">
        <is>
          <t>Elk B License: 210-03</t>
        </is>
      </c>
      <c r="D226" s="15" t="inlineStr">
        <is>
          <t>Drawing</t>
        </is>
      </c>
      <c r="E226" s="4" t="inlineStr">
        <is>
          <t>Antlerless Elk</t>
        </is>
      </c>
      <c r="F226" s="4" t="n"/>
      <c r="G226" s="4" t="n"/>
      <c r="H226" s="4" t="n"/>
      <c r="I226" s="4" t="inlineStr">
        <is>
          <t>Nov 30-Jan 08</t>
        </is>
      </c>
      <c r="J226" s="4" t="inlineStr">
        <is>
          <t>Jun 1</t>
        </is>
      </c>
      <c r="K226" s="4" t="inlineStr">
        <is>
          <t>200</t>
        </is>
      </c>
      <c r="L226" s="4" t="inlineStr">
        <is>
          <t>Valid on private lands in HDs 211, 212, 216 and south portion of 210 (Rattling Gulch-Henderson Creek). Valid on the above described private lands AND ALSO VALID on DNRC lands outside the National Forest Service boundary.</t>
        </is>
      </c>
    </row>
    <row r="227">
      <c r="A227" s="4" t="inlineStr">
        <is>
          <t>212</t>
        </is>
      </c>
      <c r="B227" s="4" t="inlineStr">
        <is>
          <t>elk</t>
        </is>
      </c>
      <c r="C227" s="4" t="inlineStr">
        <is>
          <t>Elk B License: 212-00</t>
        </is>
      </c>
      <c r="D227" s="15" t="inlineStr">
        <is>
          <t>Drawing</t>
        </is>
      </c>
      <c r="E227" s="4" t="inlineStr">
        <is>
          <t>Antlerless Elk</t>
        </is>
      </c>
      <c r="F227" s="4" t="inlineStr">
        <is>
          <t>Sep 05-Oct 18</t>
        </is>
      </c>
      <c r="G227" s="4" t="inlineStr">
        <is>
          <t>Oct 24-Nov 29</t>
        </is>
      </c>
      <c r="H227" s="4" t="inlineStr">
        <is>
          <t>Dec 12-Dec 20</t>
        </is>
      </c>
      <c r="I227" s="4" t="n"/>
      <c r="J227" s="4" t="inlineStr">
        <is>
          <t>Jun 1</t>
        </is>
      </c>
      <c r="K227" s="4" t="inlineStr">
        <is>
          <t>30</t>
        </is>
      </c>
      <c r="L227" s="4" t="inlineStr">
        <is>
          <t>59 2026 Deer • Elk • Antelope Visit fwp.mt.gov LICENSE/PERMIT OPPORTUNITY APPL Y BY DATE QUOTA QUOTA RANGE EARL Y SEASON DATES ARCHERY ONL Y SEASON DATES GENERAL SEASON DATES HERITAGE MUZZLELOADER SEASON DATES LATE SEASON DATES OPPORTUNITY SPECIFIC DETAILS AND/ORRESTRICTIONS</t>
        </is>
      </c>
    </row>
    <row r="228">
      <c r="A228" s="4" t="inlineStr">
        <is>
          <t>213</t>
        </is>
      </c>
      <c r="B228" s="4" t="inlineStr">
        <is>
          <t>elk</t>
        </is>
      </c>
      <c r="C228" s="4" t="inlineStr">
        <is>
          <t>General Elk License</t>
        </is>
      </c>
      <c r="D228" s="13" t="inlineStr">
        <is>
          <t>General license</t>
        </is>
      </c>
      <c r="E228" s="4" t="inlineStr">
        <is>
          <t>Brow-tined Bull or Antlerless Elk</t>
        </is>
      </c>
      <c r="F228" s="4" t="inlineStr">
        <is>
          <t>Sep 05-Oct 18</t>
        </is>
      </c>
      <c r="G228" s="4" t="n"/>
      <c r="H228" s="4" t="n"/>
      <c r="I228" s="4" t="n"/>
      <c r="J228" s="4" t="n"/>
      <c r="K228" s="4" t="n"/>
      <c r="L228" s="4" t="n"/>
    </row>
    <row r="229">
      <c r="A229" s="4" t="inlineStr">
        <is>
          <t>213</t>
        </is>
      </c>
      <c r="B229" s="4" t="inlineStr">
        <is>
          <t>elk</t>
        </is>
      </c>
      <c r="C229" s="4" t="inlineStr">
        <is>
          <t>General Elk License</t>
        </is>
      </c>
      <c r="D229" s="13" t="inlineStr">
        <is>
          <t>General license</t>
        </is>
      </c>
      <c r="E229" s="4" t="inlineStr">
        <is>
          <t>Brow-tined Bull Elk</t>
        </is>
      </c>
      <c r="F229" s="4" t="n"/>
      <c r="G229" s="4" t="inlineStr">
        <is>
          <t>Oct 24-Nov 29</t>
        </is>
      </c>
      <c r="H229" s="4" t="inlineStr">
        <is>
          <t>Dec 12-Dec 20</t>
        </is>
      </c>
      <c r="I229" s="4" t="n"/>
      <c r="J229" s="4" t="n"/>
      <c r="K229" s="4" t="n"/>
      <c r="L229" s="4" t="n"/>
    </row>
    <row r="230">
      <c r="A230" s="4" t="inlineStr">
        <is>
          <t>213</t>
        </is>
      </c>
      <c r="B230" s="4" t="inlineStr">
        <is>
          <t>elk</t>
        </is>
      </c>
      <c r="C230" s="4" t="inlineStr">
        <is>
          <t>General Elk License</t>
        </is>
      </c>
      <c r="D230" s="13" t="inlineStr">
        <is>
          <t>General license</t>
        </is>
      </c>
      <c r="E230" s="4" t="inlineStr">
        <is>
          <t>Brow-tined Bull or Antlerless Elk</t>
        </is>
      </c>
      <c r="F230" s="4" t="n"/>
      <c r="G230" s="4" t="inlineStr">
        <is>
          <t>Oct 24-Nov 29</t>
        </is>
      </c>
      <c r="H230" s="4" t="n"/>
      <c r="I230" s="4" t="inlineStr">
        <is>
          <t>Nov 30-Jan 01</t>
        </is>
      </c>
      <c r="J230" s="4" t="n"/>
      <c r="K230" s="4" t="n"/>
      <c r="L230" s="4" t="inlineStr">
        <is>
          <t>Only valid Prison Ranch ArchEquip only area. Only youth ages 12-15 and hunters with a PTHFV. Resident hunters 75 years old and older may harvest an antlerless elk on private land.</t>
        </is>
      </c>
    </row>
    <row r="231">
      <c r="A231" s="4" t="inlineStr">
        <is>
          <t>213</t>
        </is>
      </c>
      <c r="B231" s="4" t="inlineStr">
        <is>
          <t>elk</t>
        </is>
      </c>
      <c r="C231" s="4" t="inlineStr">
        <is>
          <t>Elk B License: 213-00</t>
        </is>
      </c>
      <c r="D231" s="15" t="inlineStr">
        <is>
          <t>Drawing</t>
        </is>
      </c>
      <c r="E231" s="4" t="inlineStr">
        <is>
          <t>Antlerless Elk</t>
        </is>
      </c>
      <c r="F231" s="4" t="inlineStr">
        <is>
          <t>Sep 05-Oct 18</t>
        </is>
      </c>
      <c r="G231" s="4" t="inlineStr">
        <is>
          <t>Oct 24-Nov 29</t>
        </is>
      </c>
      <c r="H231" s="4" t="inlineStr">
        <is>
          <t>Dec 12-Dec 20</t>
        </is>
      </c>
      <c r="I231" s="4" t="n"/>
      <c r="J231" s="4" t="inlineStr">
        <is>
          <t>Jun 1</t>
        </is>
      </c>
      <c r="K231" s="4" t="inlineStr">
        <is>
          <t>375</t>
        </is>
      </c>
      <c r="L231" s="4" t="n"/>
    </row>
    <row r="232">
      <c r="A232" s="4" t="inlineStr">
        <is>
          <t>213</t>
        </is>
      </c>
      <c r="B232" s="4" t="inlineStr">
        <is>
          <t>elk</t>
        </is>
      </c>
      <c r="C232" s="4" t="inlineStr">
        <is>
          <t>Elk B License: 213-01</t>
        </is>
      </c>
      <c r="D232" s="15" t="inlineStr">
        <is>
          <t>Drawing</t>
        </is>
      </c>
      <c r="E232" s="4" t="inlineStr">
        <is>
          <t>Antlerless Elk</t>
        </is>
      </c>
      <c r="F232" s="4" t="n"/>
      <c r="G232" s="4" t="n"/>
      <c r="H232" s="4" t="n"/>
      <c r="I232" s="4" t="n"/>
      <c r="J232" s="4" t="inlineStr">
        <is>
          <t>Jun 1</t>
        </is>
      </c>
      <c r="K232" s="4" t="inlineStr">
        <is>
          <t>350</t>
        </is>
      </c>
      <c r="L232" s="4" t="inlineStr">
        <is>
          <t>Only valid on private land. Valid on the above described private lands AND ALSO VALID on DNRC lands outside the National Forest boundary. Not valid on FWP WMAs. Also valid on Montana State Prison Ranch in compliance with Prison Ranch access regulations. LICENSE/PERMIT OPPORTUNITY APPL Y BY DATE QUOT</t>
        </is>
      </c>
    </row>
    <row r="233">
      <c r="A233" s="4" t="inlineStr">
        <is>
          <t>214</t>
        </is>
      </c>
      <c r="B233" s="4" t="inlineStr">
        <is>
          <t>elk</t>
        </is>
      </c>
      <c r="C233" s="4" t="inlineStr">
        <is>
          <t>General Elk License</t>
        </is>
      </c>
      <c r="D233" s="13" t="inlineStr">
        <is>
          <t>General license</t>
        </is>
      </c>
      <c r="E233" s="4" t="inlineStr">
        <is>
          <t>Brow-tined Bull Elk</t>
        </is>
      </c>
      <c r="F233" s="4" t="inlineStr">
        <is>
          <t>Sep 05-Oct 18</t>
        </is>
      </c>
      <c r="G233" s="4" t="inlineStr">
        <is>
          <t>Oct 24-Nov 29</t>
        </is>
      </c>
      <c r="H233" s="4" t="inlineStr">
        <is>
          <t>Dec 12-Dec 20</t>
        </is>
      </c>
      <c r="I233" s="4" t="n"/>
      <c r="J233" s="4" t="n"/>
      <c r="K233" s="4" t="n"/>
      <c r="L233" s="4" t="n"/>
    </row>
    <row r="234">
      <c r="A234" s="4" t="inlineStr">
        <is>
          <t>215</t>
        </is>
      </c>
      <c r="B234" s="4" t="inlineStr">
        <is>
          <t>elk</t>
        </is>
      </c>
      <c r="C234" s="4" t="inlineStr">
        <is>
          <t>General Elk License</t>
        </is>
      </c>
      <c r="D234" s="13" t="inlineStr">
        <is>
          <t>General license</t>
        </is>
      </c>
      <c r="E234" s="4" t="inlineStr">
        <is>
          <t>Brow-tined Bull or Antlerless Elk</t>
        </is>
      </c>
      <c r="F234" s="4" t="inlineStr">
        <is>
          <t>Sep 05-Oct 18</t>
        </is>
      </c>
      <c r="G234" s="4" t="n"/>
      <c r="H234" s="4" t="n"/>
      <c r="I234" s="4" t="n"/>
      <c r="J234" s="4" t="n"/>
      <c r="K234" s="4" t="n"/>
      <c r="L234" s="4" t="n"/>
    </row>
    <row r="235">
      <c r="A235" s="4" t="inlineStr">
        <is>
          <t>215</t>
        </is>
      </c>
      <c r="B235" s="4" t="inlineStr">
        <is>
          <t>elk</t>
        </is>
      </c>
      <c r="C235" s="4" t="inlineStr">
        <is>
          <t>General Elk License</t>
        </is>
      </c>
      <c r="D235" s="13" t="inlineStr">
        <is>
          <t>General license</t>
        </is>
      </c>
      <c r="E235" s="4" t="inlineStr">
        <is>
          <t>Brow-tined Bull Elk</t>
        </is>
      </c>
      <c r="F235" s="4" t="n"/>
      <c r="G235" s="4" t="inlineStr">
        <is>
          <t>Oct 24-Nov 29</t>
        </is>
      </c>
      <c r="H235" s="4" t="inlineStr">
        <is>
          <t>Dec 12-Dec 20</t>
        </is>
      </c>
      <c r="I235" s="4" t="n"/>
      <c r="J235" s="4" t="n"/>
      <c r="K235" s="4" t="n"/>
      <c r="L235" s="4" t="n"/>
    </row>
    <row r="236">
      <c r="A236" s="4" t="inlineStr">
        <is>
          <t>215</t>
        </is>
      </c>
      <c r="B236" s="4" t="inlineStr">
        <is>
          <t>elk</t>
        </is>
      </c>
      <c r="C236" s="4" t="inlineStr">
        <is>
          <t>General Elk License</t>
        </is>
      </c>
      <c r="D236" s="13" t="inlineStr">
        <is>
          <t>General license</t>
        </is>
      </c>
      <c r="E236" s="4" t="inlineStr">
        <is>
          <t>Brow-tined Bull or Antlerless Elk</t>
        </is>
      </c>
      <c r="F236" s="4" t="n"/>
      <c r="G236" s="4" t="inlineStr">
        <is>
          <t>Oct 24-Nov 29</t>
        </is>
      </c>
      <c r="H236" s="4" t="inlineStr">
        <is>
          <t>Dec 12-Dec 20</t>
        </is>
      </c>
      <c r="I236" s="4" t="n"/>
      <c r="J236" s="4" t="n"/>
      <c r="K236" s="4" t="n"/>
      <c r="L236" s="4" t="inlineStr">
        <is>
          <t>Only youth ages 12-15 and hunters with a PTHFV. Resident hunters 75 years old and older may harvest an antlerless elk on private land.</t>
        </is>
      </c>
    </row>
    <row r="237">
      <c r="A237" s="4" t="inlineStr">
        <is>
          <t>215</t>
        </is>
      </c>
      <c r="B237" s="4" t="inlineStr">
        <is>
          <t>elk</t>
        </is>
      </c>
      <c r="C237" s="4" t="inlineStr">
        <is>
          <t>Elk B License: 215-01</t>
        </is>
      </c>
      <c r="D237" s="15" t="inlineStr">
        <is>
          <t>Drawing</t>
        </is>
      </c>
      <c r="E237" s="4" t="inlineStr">
        <is>
          <t>Antlerless Elk</t>
        </is>
      </c>
      <c r="F237" s="4" t="inlineStr">
        <is>
          <t>Sep 05-Oct 18</t>
        </is>
      </c>
      <c r="G237" s="4" t="inlineStr">
        <is>
          <t>Oct 24-Nov 29</t>
        </is>
      </c>
      <c r="H237" s="4" t="inlineStr">
        <is>
          <t>Dec 12-Dec 20</t>
        </is>
      </c>
      <c r="I237" s="4" t="n"/>
      <c r="J237" s="4" t="inlineStr">
        <is>
          <t>Jun 1</t>
        </is>
      </c>
      <c r="K237" s="4" t="inlineStr">
        <is>
          <t>250</t>
        </is>
      </c>
      <c r="L237" s="4" t="n"/>
    </row>
    <row r="238">
      <c r="A238" s="4" t="inlineStr">
        <is>
          <t>215</t>
        </is>
      </c>
      <c r="B238" s="4" t="inlineStr">
        <is>
          <t>elk</t>
        </is>
      </c>
      <c r="C238" s="4" t="inlineStr">
        <is>
          <t>Elk B License: 215-02</t>
        </is>
      </c>
      <c r="D238" s="15" t="inlineStr">
        <is>
          <t>Drawing</t>
        </is>
      </c>
      <c r="E238" s="4" t="inlineStr">
        <is>
          <t>Antlerless Elk</t>
        </is>
      </c>
      <c r="F238" s="4" t="n"/>
      <c r="G238" s="4" t="n"/>
      <c r="H238" s="4" t="n"/>
      <c r="I238" s="4" t="n"/>
      <c r="J238" s="4" t="inlineStr">
        <is>
          <t>Jun 1</t>
        </is>
      </c>
      <c r="K238" s="4" t="inlineStr">
        <is>
          <t>400</t>
        </is>
      </c>
      <c r="L238" s="4" t="inlineStr">
        <is>
          <t>Only valid on private lands and NOT VALID east of Brown’s Gulch Creek. Only valid on private lands and DNRC lands outside the National Forest Boundary. NOT VALID on FWP WMAs or east of Brown’s Gulch Creek. 61 2026 Deer • Elk • Antelope Visit fwp.mt.gov LICENSE/PERMIT OPPORTUNITY APPL Y BY DATE QUOTA</t>
        </is>
      </c>
    </row>
    <row r="239">
      <c r="A239" s="4" t="inlineStr">
        <is>
          <t>216</t>
        </is>
      </c>
      <c r="B239" s="4" t="inlineStr">
        <is>
          <t>elk</t>
        </is>
      </c>
      <c r="C239" s="4" t="inlineStr">
        <is>
          <t>General Elk License</t>
        </is>
      </c>
      <c r="D239" s="13" t="inlineStr">
        <is>
          <t>General license</t>
        </is>
      </c>
      <c r="E239" s="4" t="inlineStr">
        <is>
          <t>Brow-tined Bull or Antlerless Elk</t>
        </is>
      </c>
      <c r="F239" s="4" t="inlineStr">
        <is>
          <t>Sep 05-Oct 18</t>
        </is>
      </c>
      <c r="G239" s="4" t="n"/>
      <c r="H239" s="4" t="n"/>
      <c r="I239" s="4" t="n"/>
      <c r="J239" s="4" t="n"/>
      <c r="K239" s="4" t="n"/>
      <c r="L239" s="4" t="n"/>
    </row>
    <row r="240">
      <c r="A240" s="4" t="inlineStr">
        <is>
          <t>216</t>
        </is>
      </c>
      <c r="B240" s="4" t="inlineStr">
        <is>
          <t>elk</t>
        </is>
      </c>
      <c r="C240" s="4" t="inlineStr">
        <is>
          <t>General Elk License</t>
        </is>
      </c>
      <c r="D240" s="13" t="inlineStr">
        <is>
          <t>General license</t>
        </is>
      </c>
      <c r="E240" s="4" t="inlineStr">
        <is>
          <t>Brow-tined Bull Elk</t>
        </is>
      </c>
      <c r="F240" s="4" t="n"/>
      <c r="G240" s="4" t="inlineStr">
        <is>
          <t>Oct 24-Nov 29</t>
        </is>
      </c>
      <c r="H240" s="4" t="inlineStr">
        <is>
          <t>Dec 12-Dec 20</t>
        </is>
      </c>
      <c r="I240" s="4" t="n"/>
      <c r="J240" s="4" t="n"/>
      <c r="K240" s="4" t="n"/>
      <c r="L240" s="4" t="n"/>
    </row>
    <row r="241">
      <c r="A241" s="4" t="inlineStr">
        <is>
          <t>216</t>
        </is>
      </c>
      <c r="B241" s="4" t="inlineStr">
        <is>
          <t>elk</t>
        </is>
      </c>
      <c r="C241" s="4" t="inlineStr">
        <is>
          <t>General Elk License</t>
        </is>
      </c>
      <c r="D241" s="13" t="inlineStr">
        <is>
          <t>General license</t>
        </is>
      </c>
      <c r="E241" s="4" t="inlineStr">
        <is>
          <t>Brow-tined Bull or Antlerless Elk</t>
        </is>
      </c>
      <c r="F241" s="4" t="n"/>
      <c r="G241" s="4" t="inlineStr">
        <is>
          <t>Oct 24-Nov 29</t>
        </is>
      </c>
      <c r="H241" s="4" t="inlineStr">
        <is>
          <t>Dec 12-Dec 20</t>
        </is>
      </c>
      <c r="I241" s="4" t="n"/>
      <c r="J241" s="4" t="n"/>
      <c r="K241" s="4" t="n"/>
      <c r="L241" s="4" t="inlineStr">
        <is>
          <t>Only youth ages 12-15 and hunters with a PTHFV. Resident hunters 75 years old and older may harvest an antlerless elk on private land.</t>
        </is>
      </c>
    </row>
    <row r="242">
      <c r="A242" s="4" t="inlineStr">
        <is>
          <t>216</t>
        </is>
      </c>
      <c r="B242" s="4" t="inlineStr">
        <is>
          <t>elk</t>
        </is>
      </c>
      <c r="C242" s="4" t="inlineStr">
        <is>
          <t>Elk B License: 210-03</t>
        </is>
      </c>
      <c r="D242" s="15" t="inlineStr">
        <is>
          <t>Drawing</t>
        </is>
      </c>
      <c r="E242" s="4" t="inlineStr">
        <is>
          <t>Antlerless Elk</t>
        </is>
      </c>
      <c r="F242" s="4" t="n"/>
      <c r="G242" s="4" t="n"/>
      <c r="H242" s="4" t="n"/>
      <c r="I242" s="4" t="inlineStr">
        <is>
          <t>Nov 30-Jan 08</t>
        </is>
      </c>
      <c r="J242" s="4" t="inlineStr">
        <is>
          <t>Jun 1</t>
        </is>
      </c>
      <c r="K242" s="4" t="inlineStr">
        <is>
          <t>200</t>
        </is>
      </c>
      <c r="L242" s="4" t="inlineStr">
        <is>
          <t>Valid on private lands in HDs 211, 212, 216 and south portion of 210 (Rattling Gulch-Henderson Creek). Valid on the above described private lands AND ALSO VALID on DNRC lands outside the National Forest Service boundary.</t>
        </is>
      </c>
    </row>
    <row r="243">
      <c r="A243" s="4" t="inlineStr">
        <is>
          <t>216</t>
        </is>
      </c>
      <c r="B243" s="4" t="inlineStr">
        <is>
          <t>elk</t>
        </is>
      </c>
      <c r="C243" s="4" t="inlineStr">
        <is>
          <t>Elk B License: 216-00</t>
        </is>
      </c>
      <c r="D243" s="15" t="inlineStr">
        <is>
          <t>Drawing</t>
        </is>
      </c>
      <c r="E243" s="4" t="inlineStr">
        <is>
          <t>Antlerless Elk</t>
        </is>
      </c>
      <c r="F243" s="4" t="inlineStr">
        <is>
          <t>Sep 05-Oct 18</t>
        </is>
      </c>
      <c r="G243" s="4" t="inlineStr">
        <is>
          <t>Oct 24-Nov 29</t>
        </is>
      </c>
      <c r="H243" s="4" t="inlineStr">
        <is>
          <t>Dec 12-Dec 20</t>
        </is>
      </c>
      <c r="I243" s="4" t="n"/>
      <c r="J243" s="4" t="inlineStr">
        <is>
          <t>Jun 1</t>
        </is>
      </c>
      <c r="K243" s="4" t="inlineStr">
        <is>
          <t>75</t>
        </is>
      </c>
      <c r="L243" s="4" t="n"/>
    </row>
    <row r="244">
      <c r="A244" s="4" t="inlineStr">
        <is>
          <t>217</t>
        </is>
      </c>
      <c r="B244" s="4" t="inlineStr">
        <is>
          <t>elk</t>
        </is>
      </c>
      <c r="C244" s="4" t="inlineStr">
        <is>
          <t>General Elk License</t>
        </is>
      </c>
      <c r="D244" s="13" t="inlineStr">
        <is>
          <t>General license</t>
        </is>
      </c>
      <c r="E244" s="4" t="inlineStr">
        <is>
          <t>Antlerless Elk</t>
        </is>
      </c>
      <c r="F244" s="4" t="inlineStr">
        <is>
          <t>Sep 05-Oct 18</t>
        </is>
      </c>
      <c r="G244" s="4" t="inlineStr">
        <is>
          <t>Oct 19-Nov 29</t>
        </is>
      </c>
      <c r="H244" s="4" t="n"/>
      <c r="I244" s="4" t="n"/>
      <c r="J244" s="4" t="n"/>
      <c r="K244" s="4" t="n"/>
      <c r="L244" s="4" t="inlineStr">
        <is>
          <t>ArchEquip only. Only youth ages 12-15 and hunters with a PTHFV. Resident hunters 75 years old and older may harvest an antlerless elk on private land.</t>
        </is>
      </c>
    </row>
    <row r="245">
      <c r="A245" s="4" t="inlineStr">
        <is>
          <t>217</t>
        </is>
      </c>
      <c r="B245" s="4" t="inlineStr">
        <is>
          <t>elk</t>
        </is>
      </c>
      <c r="C245" s="4" t="inlineStr">
        <is>
          <t>Elk B License: 217-01</t>
        </is>
      </c>
      <c r="D245" s="15" t="inlineStr">
        <is>
          <t>Drawing</t>
        </is>
      </c>
      <c r="E245" s="4" t="inlineStr">
        <is>
          <t>Antlerless Elk</t>
        </is>
      </c>
      <c r="F245" s="4" t="inlineStr">
        <is>
          <t>Sep 05-Oct 18</t>
        </is>
      </c>
      <c r="G245" s="4" t="inlineStr">
        <is>
          <t>Oct 24-Nov 29</t>
        </is>
      </c>
      <c r="H245" s="4" t="inlineStr">
        <is>
          <t>Dec 12-Dec 20</t>
        </is>
      </c>
      <c r="I245" s="4" t="n"/>
      <c r="J245" s="4" t="inlineStr">
        <is>
          <t>Jun 1</t>
        </is>
      </c>
      <c r="K245" s="4" t="inlineStr">
        <is>
          <t>160</t>
        </is>
      </c>
      <c r="L245" s="4" t="n"/>
    </row>
    <row r="246">
      <c r="A246" s="4" t="inlineStr">
        <is>
          <t>217</t>
        </is>
      </c>
      <c r="B246" s="4" t="inlineStr">
        <is>
          <t>elk</t>
        </is>
      </c>
      <c r="C246" s="4" t="inlineStr">
        <is>
          <t>Elk B License: 217-02</t>
        </is>
      </c>
      <c r="D246" s="15" t="inlineStr">
        <is>
          <t>Drawing</t>
        </is>
      </c>
      <c r="E246" s="4" t="inlineStr">
        <is>
          <t>Antlerless Elk</t>
        </is>
      </c>
      <c r="F246" s="4" t="inlineStr">
        <is>
          <t>Sep 05-Oct 18</t>
        </is>
      </c>
      <c r="G246" s="4" t="inlineStr">
        <is>
          <t>Oct 24-Nov 29</t>
        </is>
      </c>
      <c r="H246" s="4" t="inlineStr">
        <is>
          <t>Dec 12-Dec 20</t>
        </is>
      </c>
      <c r="I246" s="4" t="n"/>
      <c r="J246" s="4" t="inlineStr">
        <is>
          <t>Jun 1</t>
        </is>
      </c>
      <c r="K246" s="4" t="inlineStr">
        <is>
          <t>150</t>
        </is>
      </c>
      <c r="L246" s="4" t="inlineStr">
        <is>
          <t>Valid on private land only.</t>
        </is>
      </c>
    </row>
    <row r="247">
      <c r="A247" s="4" t="inlineStr">
        <is>
          <t>217</t>
        </is>
      </c>
      <c r="B247" s="4" t="inlineStr">
        <is>
          <t>elk</t>
        </is>
      </c>
      <c r="C247" s="4" t="inlineStr">
        <is>
          <t>Elk Permit: 217-10</t>
        </is>
      </c>
      <c r="D247" s="15" t="inlineStr">
        <is>
          <t>Drawing</t>
        </is>
      </c>
      <c r="E247" s="4" t="inlineStr">
        <is>
          <t>Brow-tined Bull or Antlerless Elk</t>
        </is>
      </c>
      <c r="F247" s="4" t="inlineStr">
        <is>
          <t>Sep 05-Oct 18</t>
        </is>
      </c>
      <c r="G247" s="4" t="inlineStr">
        <is>
          <t>Oct 24-Nov 29</t>
        </is>
      </c>
      <c r="H247" s="4" t="inlineStr">
        <is>
          <t>Dec 12-Dec 20</t>
        </is>
      </c>
      <c r="I247" s="4" t="n"/>
      <c r="J247" s="4" t="inlineStr">
        <is>
          <t>April 1</t>
        </is>
      </c>
      <c r="K247" s="4" t="inlineStr">
        <is>
          <t>175</t>
        </is>
      </c>
      <c r="L247" s="4" t="inlineStr">
        <is>
          <t>Permit must be used with a valid General Elk License. Holders may not hunt Antlered Bull Elk in any other HDs during this described season.</t>
        </is>
      </c>
    </row>
    <row r="248">
      <c r="A248" s="4" t="inlineStr">
        <is>
          <t>217</t>
        </is>
      </c>
      <c r="B248" s="4" t="inlineStr">
        <is>
          <t>elk</t>
        </is>
      </c>
      <c r="C248" s="4" t="inlineStr">
        <is>
          <t>Elk Permit: 217-11</t>
        </is>
      </c>
      <c r="D248" s="15" t="inlineStr">
        <is>
          <t>Drawing</t>
        </is>
      </c>
      <c r="E248" s="4" t="inlineStr">
        <is>
          <t>Brow-tined Bull or Antlerless Elk</t>
        </is>
      </c>
      <c r="F248" s="4" t="inlineStr">
        <is>
          <t>Sep 05-Oct 18</t>
        </is>
      </c>
      <c r="G248" s="4" t="inlineStr">
        <is>
          <t>Oct 24-Nov 29</t>
        </is>
      </c>
      <c r="H248" s="4" t="inlineStr">
        <is>
          <t>Dec 12-Dec 20</t>
        </is>
      </c>
      <c r="I248" s="4" t="n"/>
      <c r="J248" s="4" t="inlineStr">
        <is>
          <t>April 1</t>
        </is>
      </c>
      <c r="K248" s="4" t="inlineStr">
        <is>
          <t>25</t>
        </is>
      </c>
      <c r="L248" s="4" t="inlineStr">
        <is>
          <t>Only youth ages 12-15. Permit must be used with a valid General Elk License. Holders may not hunt Antlered Bull Elk in any other HDs during this described season.</t>
        </is>
      </c>
    </row>
    <row r="249">
      <c r="A249" s="4" t="inlineStr">
        <is>
          <t>240</t>
        </is>
      </c>
      <c r="B249" s="4" t="inlineStr">
        <is>
          <t>elk</t>
        </is>
      </c>
      <c r="C249" s="4" t="inlineStr">
        <is>
          <t>General Elk License</t>
        </is>
      </c>
      <c r="D249" s="13" t="inlineStr">
        <is>
          <t>General license</t>
        </is>
      </c>
      <c r="E249" s="4" t="inlineStr">
        <is>
          <t>Brow-tined Bull or Antlerless Elk</t>
        </is>
      </c>
      <c r="F249" s="4" t="inlineStr">
        <is>
          <t>Sep 05-Oct 18</t>
        </is>
      </c>
      <c r="G249" s="4" t="n"/>
      <c r="H249" s="4" t="n"/>
      <c r="I249" s="4" t="n"/>
      <c r="J249" s="4" t="n"/>
      <c r="K249" s="4" t="n"/>
      <c r="L249" s="4" t="n"/>
    </row>
    <row r="250">
      <c r="A250" s="4" t="inlineStr">
        <is>
          <t>240</t>
        </is>
      </c>
      <c r="B250" s="4" t="inlineStr">
        <is>
          <t>elk</t>
        </is>
      </c>
      <c r="C250" s="4" t="inlineStr">
        <is>
          <t>General Elk License</t>
        </is>
      </c>
      <c r="D250" s="13" t="inlineStr">
        <is>
          <t>General license</t>
        </is>
      </c>
      <c r="E250" s="4" t="inlineStr">
        <is>
          <t>Antlerless Elk</t>
        </is>
      </c>
      <c r="F250" s="4" t="n"/>
      <c r="G250" s="4" t="inlineStr">
        <is>
          <t>Oct 24-Nov 01</t>
        </is>
      </c>
      <c r="H250" s="4" t="n"/>
      <c r="I250" s="4" t="n"/>
      <c r="J250" s="4" t="n"/>
      <c r="K250" s="4" t="n"/>
      <c r="L250" s="4" t="inlineStr">
        <is>
          <t>Only valid outside the National Forest boundary.</t>
        </is>
      </c>
    </row>
    <row r="251">
      <c r="A251" s="4" t="inlineStr">
        <is>
          <t>240</t>
        </is>
      </c>
      <c r="B251" s="4" t="inlineStr">
        <is>
          <t>elk</t>
        </is>
      </c>
      <c r="C251" s="4" t="inlineStr">
        <is>
          <t>General Elk License</t>
        </is>
      </c>
      <c r="D251" s="13" t="inlineStr">
        <is>
          <t>General license</t>
        </is>
      </c>
      <c r="E251" s="4" t="inlineStr">
        <is>
          <t>Brow-tined Bull Elk</t>
        </is>
      </c>
      <c r="F251" s="4" t="n"/>
      <c r="G251" s="4" t="inlineStr">
        <is>
          <t>Oct 24-Nov 29</t>
        </is>
      </c>
      <c r="H251" s="4" t="inlineStr">
        <is>
          <t>Dec 12-Dec 20</t>
        </is>
      </c>
      <c r="I251" s="4" t="n"/>
      <c r="J251" s="4" t="n"/>
      <c r="K251" s="4" t="n"/>
      <c r="L251" s="4" t="n"/>
    </row>
    <row r="252">
      <c r="A252" s="4" t="inlineStr">
        <is>
          <t>240</t>
        </is>
      </c>
      <c r="B252" s="4" t="inlineStr">
        <is>
          <t>elk</t>
        </is>
      </c>
      <c r="C252" s="4" t="inlineStr">
        <is>
          <t>General Elk License</t>
        </is>
      </c>
      <c r="D252" s="13" t="inlineStr">
        <is>
          <t>General license</t>
        </is>
      </c>
      <c r="E252" s="4" t="inlineStr">
        <is>
          <t>Brow-tined Bull or Antlerless Elk</t>
        </is>
      </c>
      <c r="F252" s="4" t="n"/>
      <c r="G252" s="4" t="inlineStr">
        <is>
          <t>Oct 24-Nov 29</t>
        </is>
      </c>
      <c r="H252" s="4" t="inlineStr">
        <is>
          <t>Dec 12-Dec 20</t>
        </is>
      </c>
      <c r="I252" s="4" t="n"/>
      <c r="J252" s="4" t="n"/>
      <c r="K252" s="4" t="n"/>
      <c r="L252" s="4" t="inlineStr">
        <is>
          <t>Only youth ages 12-15 and hunters with a PTHFV. Resident hunters 75 years old and older may harvest an antlerless elk on private land.</t>
        </is>
      </c>
    </row>
    <row r="253">
      <c r="A253" s="4" t="inlineStr">
        <is>
          <t>240</t>
        </is>
      </c>
      <c r="B253" s="4" t="inlineStr">
        <is>
          <t>elk</t>
        </is>
      </c>
      <c r="C253" s="4" t="inlineStr">
        <is>
          <t>Elk B License: 240-01</t>
        </is>
      </c>
      <c r="D253" s="15" t="inlineStr">
        <is>
          <t>Drawing</t>
        </is>
      </c>
      <c r="E253" s="4" t="inlineStr">
        <is>
          <t>Antlerless Elk</t>
        </is>
      </c>
      <c r="F253" s="4" t="inlineStr">
        <is>
          <t>Sep 05-Oct 18</t>
        </is>
      </c>
      <c r="G253" s="4" t="inlineStr">
        <is>
          <t>Oct 24-Nov 29</t>
        </is>
      </c>
      <c r="H253" s="4" t="inlineStr">
        <is>
          <t>Dec 12-Dec 20</t>
        </is>
      </c>
      <c r="I253" s="4" t="n"/>
      <c r="J253" s="4" t="inlineStr">
        <is>
          <t>Jun 1</t>
        </is>
      </c>
      <c r="K253" s="4" t="inlineStr">
        <is>
          <t>50</t>
        </is>
      </c>
      <c r="L253" s="4" t="inlineStr">
        <is>
          <t>Only valid on private land.</t>
        </is>
      </c>
    </row>
    <row r="254">
      <c r="A254" s="4" t="inlineStr">
        <is>
          <t>250</t>
        </is>
      </c>
      <c r="B254" s="4" t="inlineStr">
        <is>
          <t>elk</t>
        </is>
      </c>
      <c r="C254" s="4" t="inlineStr">
        <is>
          <t>Elk B License: 250-00</t>
        </is>
      </c>
      <c r="D254" s="15" t="inlineStr">
        <is>
          <t>Drawing</t>
        </is>
      </c>
      <c r="E254" s="4" t="inlineStr">
        <is>
          <t>Antlerless Elk</t>
        </is>
      </c>
      <c r="F254" s="4" t="inlineStr">
        <is>
          <t>Sep 05-Oct 18</t>
        </is>
      </c>
      <c r="G254" s="4" t="inlineStr">
        <is>
          <t>Oct 24-Nov 29</t>
        </is>
      </c>
      <c r="H254" s="4" t="inlineStr">
        <is>
          <t>Dec 12-Dec 20</t>
        </is>
      </c>
      <c r="I254" s="4" t="n"/>
      <c r="J254" s="4" t="inlineStr">
        <is>
          <t>Jun 1</t>
        </is>
      </c>
      <c r="K254" s="4" t="inlineStr">
        <is>
          <t>25</t>
        </is>
      </c>
      <c r="L254" s="4" t="n"/>
    </row>
    <row r="255">
      <c r="A255" s="4" t="inlineStr">
        <is>
          <t>250</t>
        </is>
      </c>
      <c r="B255" s="4" t="inlineStr">
        <is>
          <t>elk</t>
        </is>
      </c>
      <c r="C255" s="4" t="inlineStr">
        <is>
          <t>Elk Permit: 250-45</t>
        </is>
      </c>
      <c r="D255" s="15" t="inlineStr">
        <is>
          <t>Drawing</t>
        </is>
      </c>
      <c r="E255" s="4" t="inlineStr">
        <is>
          <t>Brow-tined Bull Elk</t>
        </is>
      </c>
      <c r="F255" s="4" t="inlineStr">
        <is>
          <t>Sep 05-Oct 18</t>
        </is>
      </c>
      <c r="G255" s="4" t="inlineStr">
        <is>
          <t>Oct 24-Nov 29</t>
        </is>
      </c>
      <c r="H255" s="4" t="inlineStr">
        <is>
          <t>Dec 12-Dec 20</t>
        </is>
      </c>
      <c r="I255" s="4" t="n"/>
      <c r="J255" s="4" t="inlineStr">
        <is>
          <t>April 1</t>
        </is>
      </c>
      <c r="K255" s="4" t="inlineStr">
        <is>
          <t>45</t>
        </is>
      </c>
      <c r="L255" s="4" t="inlineStr">
        <is>
          <t>Permit must be used with a valid General Elk License. Holders may not hunt Antlered Elk in any other HD during these described season dates.</t>
        </is>
      </c>
    </row>
    <row r="256">
      <c r="A256" s="4" t="inlineStr">
        <is>
          <t>250</t>
        </is>
      </c>
      <c r="B256" s="4" t="inlineStr">
        <is>
          <t>elk</t>
        </is>
      </c>
      <c r="C256" s="4" t="inlineStr">
        <is>
          <t>Elk Permit: 250-46</t>
        </is>
      </c>
      <c r="D256" s="15" t="inlineStr">
        <is>
          <t>Drawing</t>
        </is>
      </c>
      <c r="E256" s="4" t="inlineStr">
        <is>
          <t>Brow-tined Bull Elk</t>
        </is>
      </c>
      <c r="F256" s="4" t="n"/>
      <c r="G256" s="4" t="inlineStr">
        <is>
          <t>Oct 24-Nov 29</t>
        </is>
      </c>
      <c r="H256" s="4" t="inlineStr">
        <is>
          <t>Dec 12-Dec 20</t>
        </is>
      </c>
      <c r="I256" s="4" t="n"/>
      <c r="J256" s="4" t="inlineStr">
        <is>
          <t>April 1</t>
        </is>
      </c>
      <c r="K256" s="4" t="inlineStr">
        <is>
          <t>45</t>
        </is>
      </c>
      <c r="L256" s="4" t="inlineStr">
        <is>
          <t>NOT VALID DURING ARCHERY SEASON. Permit must be used with a valid General Elk License. Holders may not hunt Antlered Elk in any other HD during these described season dates. LICENSE/PERMIT OPPORTUNITY APPL Y BY DATE QUOTA QUOTA RANGE EARL Y SEASON DATES ARCHERY ONL Y SEASON DATES GENERAL SEASON DATE</t>
        </is>
      </c>
    </row>
    <row r="257">
      <c r="A257" s="4" t="inlineStr">
        <is>
          <t>260</t>
        </is>
      </c>
      <c r="B257" s="4" t="inlineStr">
        <is>
          <t>elk</t>
        </is>
      </c>
      <c r="C257" s="4" t="inlineStr">
        <is>
          <t>General Elk License</t>
        </is>
      </c>
      <c r="D257" s="13" t="inlineStr">
        <is>
          <t>General license</t>
        </is>
      </c>
      <c r="E257" s="4" t="inlineStr">
        <is>
          <t>Brow-tined Bull or Antlerless Elk</t>
        </is>
      </c>
      <c r="F257" s="4" t="inlineStr">
        <is>
          <t>Sep 05-Oct 18</t>
        </is>
      </c>
      <c r="G257" s="4" t="inlineStr">
        <is>
          <t>Oct 19-Nov 29</t>
        </is>
      </c>
      <c r="H257" s="4" t="n"/>
      <c r="I257" s="4" t="inlineStr">
        <is>
          <t>Nov 30-Jan 15</t>
        </is>
      </c>
      <c r="J257" s="4" t="n"/>
      <c r="K257" s="4" t="n"/>
      <c r="L257" s="4" t="inlineStr">
        <is>
          <t>ArchEquip only. NOT valid on Lee Metcalf Refuge.</t>
        </is>
      </c>
    </row>
    <row r="258">
      <c r="A258" s="4" t="inlineStr">
        <is>
          <t>260</t>
        </is>
      </c>
      <c r="B258" s="4" t="inlineStr">
        <is>
          <t>elk</t>
        </is>
      </c>
      <c r="C258" s="4" t="inlineStr">
        <is>
          <t>Elk B License: 201-01</t>
        </is>
      </c>
      <c r="D258" s="4" t="inlineStr">
        <is>
          <t>Over the counter</t>
        </is>
      </c>
      <c r="E258" s="4" t="inlineStr">
        <is>
          <t>Antlerless Elk</t>
        </is>
      </c>
      <c r="F258" s="4" t="n"/>
      <c r="G258" s="4" t="inlineStr">
        <is>
          <t>Oct 19-Nov 29</t>
        </is>
      </c>
      <c r="H258" s="4" t="n"/>
      <c r="I258" s="4" t="inlineStr">
        <is>
          <t>Nov 30-Jan 15</t>
        </is>
      </c>
      <c r="J258" s="4" t="inlineStr">
        <is>
          <t>OTC: Jun 15</t>
        </is>
      </c>
      <c r="K258" s="4" t="inlineStr">
        <is>
          <t>UNL</t>
        </is>
      </c>
      <c r="L258" s="4" t="inlineStr">
        <is>
          <t>Must purchase before the start of the general season. Only valid on private land. ArchEquip, shotgun, traditional handgun, muzzleloader, or crossbow only. Also valid in HD 201 with restrictions. See HD 201 for more info Must purchase before the start of the general season. Only valid on private land</t>
        </is>
      </c>
    </row>
    <row r="259">
      <c r="A259" s="4" t="inlineStr">
        <is>
          <t>261</t>
        </is>
      </c>
      <c r="B259" s="4" t="inlineStr">
        <is>
          <t>elk</t>
        </is>
      </c>
      <c r="C259" s="4" t="inlineStr">
        <is>
          <t>General Elk License</t>
        </is>
      </c>
      <c r="D259" s="13" t="inlineStr">
        <is>
          <t>General license</t>
        </is>
      </c>
      <c r="E259" s="4" t="inlineStr">
        <is>
          <t>Brow-tined Bull or Antlerless Elk</t>
        </is>
      </c>
      <c r="F259" s="4" t="inlineStr">
        <is>
          <t>Sep 05-Oct 18</t>
        </is>
      </c>
      <c r="G259" s="4" t="n"/>
      <c r="H259" s="4" t="n"/>
      <c r="I259" s="4" t="n"/>
      <c r="J259" s="4" t="n"/>
      <c r="K259" s="4" t="n"/>
      <c r="L259" s="4" t="n"/>
    </row>
    <row r="260">
      <c r="A260" s="4" t="inlineStr">
        <is>
          <t>261</t>
        </is>
      </c>
      <c r="B260" s="4" t="inlineStr">
        <is>
          <t>elk</t>
        </is>
      </c>
      <c r="C260" s="4" t="inlineStr">
        <is>
          <t>General Elk License</t>
        </is>
      </c>
      <c r="D260" s="13" t="inlineStr">
        <is>
          <t>General license</t>
        </is>
      </c>
      <c r="E260" s="4" t="inlineStr">
        <is>
          <t>Brow-tined Bull Elk</t>
        </is>
      </c>
      <c r="F260" s="4" t="n"/>
      <c r="G260" s="4" t="inlineStr">
        <is>
          <t>Oct 24-Nov 29</t>
        </is>
      </c>
      <c r="H260" s="4" t="inlineStr">
        <is>
          <t>Dec 12-Dec 20</t>
        </is>
      </c>
      <c r="I260" s="4" t="n"/>
      <c r="J260" s="4" t="n"/>
      <c r="K260" s="4" t="n"/>
      <c r="L260" s="4" t="n"/>
    </row>
    <row r="261">
      <c r="A261" s="4" t="inlineStr">
        <is>
          <t>261</t>
        </is>
      </c>
      <c r="B261" s="4" t="inlineStr">
        <is>
          <t>elk</t>
        </is>
      </c>
      <c r="C261" s="4" t="inlineStr">
        <is>
          <t>General Elk License</t>
        </is>
      </c>
      <c r="D261" s="13" t="inlineStr">
        <is>
          <t>General license</t>
        </is>
      </c>
      <c r="E261" s="4" t="inlineStr">
        <is>
          <t>Brow-tined Bull or Antlerless Elk</t>
        </is>
      </c>
      <c r="F261" s="4" t="n"/>
      <c r="G261" s="4" t="inlineStr">
        <is>
          <t>Oct 24-Nov 29</t>
        </is>
      </c>
      <c r="H261" s="4" t="inlineStr">
        <is>
          <t>Dec 12-Dec 20</t>
        </is>
      </c>
      <c r="I261" s="4" t="n"/>
      <c r="J261" s="4" t="n"/>
      <c r="K261" s="4" t="n"/>
      <c r="L261" s="4" t="inlineStr">
        <is>
          <t>Only youth ages 12-15 and hunters with a PTHFV. Resident hunters 75 years old and older may harvest an antlerless elk on private land.</t>
        </is>
      </c>
    </row>
    <row r="262">
      <c r="A262" s="4" t="inlineStr">
        <is>
          <t>261</t>
        </is>
      </c>
      <c r="B262" s="4" t="inlineStr">
        <is>
          <t>elk</t>
        </is>
      </c>
      <c r="C262" s="4" t="inlineStr">
        <is>
          <t>Elk B License: 261-00</t>
        </is>
      </c>
      <c r="D262" s="15" t="inlineStr">
        <is>
          <t>Drawing</t>
        </is>
      </c>
      <c r="E262" s="4" t="inlineStr">
        <is>
          <t>Antlerless Elk</t>
        </is>
      </c>
      <c r="F262" s="4" t="inlineStr">
        <is>
          <t>Sep 05-Oct 18</t>
        </is>
      </c>
      <c r="G262" s="4" t="inlineStr">
        <is>
          <t>Oct 24-Nov 29</t>
        </is>
      </c>
      <c r="H262" s="4" t="inlineStr">
        <is>
          <t>Dec 12-Dec 20</t>
        </is>
      </c>
      <c r="I262" s="4" t="n"/>
      <c r="J262" s="4" t="inlineStr">
        <is>
          <t>Jun 1</t>
        </is>
      </c>
      <c r="K262" s="4" t="inlineStr">
        <is>
          <t>50</t>
        </is>
      </c>
      <c r="L262" s="4" t="n"/>
    </row>
    <row r="263">
      <c r="A263" s="4" t="inlineStr">
        <is>
          <t>261</t>
        </is>
      </c>
      <c r="B263" s="4" t="inlineStr">
        <is>
          <t>elk</t>
        </is>
      </c>
      <c r="C263" s="4" t="inlineStr">
        <is>
          <t>Elk B License: 262-01</t>
        </is>
      </c>
      <c r="D263" s="4" t="inlineStr">
        <is>
          <t>Over the counter</t>
        </is>
      </c>
      <c r="E263" s="4" t="inlineStr">
        <is>
          <t>Antlerless Elk</t>
        </is>
      </c>
      <c r="F263" s="4" t="inlineStr">
        <is>
          <t>Sep 05-Oct 18</t>
        </is>
      </c>
      <c r="G263" s="4" t="inlineStr">
        <is>
          <t>Oct 24-Nov 29</t>
        </is>
      </c>
      <c r="H263" s="4" t="inlineStr">
        <is>
          <t>Dec 12-Dec 20</t>
        </is>
      </c>
      <c r="I263" s="4" t="n"/>
      <c r="J263" s="4" t="inlineStr">
        <is>
          <t>OTC: Jun 15</t>
        </is>
      </c>
      <c r="K263" s="4" t="inlineStr">
        <is>
          <t>UNL</t>
        </is>
      </c>
      <c r="L263" s="4" t="inlineStr">
        <is>
          <t>One per hunter. Only valid on private lands in HDs 204, 261, 262, and 270. Must purchase before start of general rife season. Restrictions apply, see each HD for more info.</t>
        </is>
      </c>
    </row>
    <row r="264">
      <c r="A264" s="4" t="inlineStr">
        <is>
          <t>262</t>
        </is>
      </c>
      <c r="B264" s="4" t="inlineStr">
        <is>
          <t>elk</t>
        </is>
      </c>
      <c r="C264" s="4" t="inlineStr">
        <is>
          <t>General Elk License</t>
        </is>
      </c>
      <c r="D264" s="13" t="inlineStr">
        <is>
          <t>General license</t>
        </is>
      </c>
      <c r="E264" s="4" t="inlineStr">
        <is>
          <t>Antlerless Elk</t>
        </is>
      </c>
      <c r="F264" s="4" t="inlineStr">
        <is>
          <t>Sep 05-Oct 18</t>
        </is>
      </c>
      <c r="G264" s="4" t="inlineStr">
        <is>
          <t>Oct 19-Nov 29</t>
        </is>
      </c>
      <c r="H264" s="4" t="n"/>
      <c r="I264" s="4" t="inlineStr">
        <is>
          <t>Nov 30-Feb 15</t>
        </is>
      </c>
      <c r="J264" s="4" t="n"/>
      <c r="K264" s="4" t="n"/>
      <c r="L264" s="4" t="inlineStr">
        <is>
          <t>ArchEquip only.</t>
        </is>
      </c>
    </row>
    <row r="265">
      <c r="A265" s="4" t="inlineStr">
        <is>
          <t>262</t>
        </is>
      </c>
      <c r="B265" s="4" t="inlineStr">
        <is>
          <t>elk</t>
        </is>
      </c>
      <c r="C265" s="4" t="inlineStr">
        <is>
          <t>General Elk License</t>
        </is>
      </c>
      <c r="D265" s="13" t="inlineStr">
        <is>
          <t>General license</t>
        </is>
      </c>
      <c r="E265" s="4" t="inlineStr">
        <is>
          <t>Brow-tined Bull Elk</t>
        </is>
      </c>
      <c r="F265" s="4" t="inlineStr">
        <is>
          <t>Sep 05-Oct 18</t>
        </is>
      </c>
      <c r="G265" s="4" t="inlineStr">
        <is>
          <t>Oct 19-Nov 29</t>
        </is>
      </c>
      <c r="H265" s="4" t="n"/>
      <c r="I265" s="4" t="inlineStr">
        <is>
          <t>Nov 30-Jan 15</t>
        </is>
      </c>
      <c r="J265" s="4" t="n"/>
      <c r="K265" s="4" t="n"/>
      <c r="L265" s="4" t="inlineStr">
        <is>
          <t>ArchEquip only.</t>
        </is>
      </c>
    </row>
    <row r="266">
      <c r="A266" s="4" t="inlineStr">
        <is>
          <t>262</t>
        </is>
      </c>
      <c r="B266" s="4" t="inlineStr">
        <is>
          <t>elk</t>
        </is>
      </c>
      <c r="C266" s="4" t="inlineStr">
        <is>
          <t>General Elk License</t>
        </is>
      </c>
      <c r="D266" s="13" t="inlineStr">
        <is>
          <t>General license</t>
        </is>
      </c>
      <c r="E266" s="4" t="inlineStr">
        <is>
          <t>Antlerless Elk</t>
        </is>
      </c>
      <c r="F266" s="4" t="n"/>
      <c r="G266" s="4" t="inlineStr">
        <is>
          <t>Oct 24-Nov 29</t>
        </is>
      </c>
      <c r="H266" s="4" t="inlineStr">
        <is>
          <t>Dec 12-Dec 20</t>
        </is>
      </c>
      <c r="I266" s="4" t="n"/>
      <c r="J266" s="4" t="n"/>
      <c r="K266" s="4" t="n"/>
      <c r="L266" s="4" t="inlineStr">
        <is>
          <t>Only youth ages 12-15 and hunters with a PTHFV. Resident hunters 75 years old and older may harvest an antlerless elk on private land.</t>
        </is>
      </c>
    </row>
    <row r="267">
      <c r="A267" s="4" t="inlineStr">
        <is>
          <t>262</t>
        </is>
      </c>
      <c r="B267" s="4" t="inlineStr">
        <is>
          <t>elk</t>
        </is>
      </c>
      <c r="C267" s="4" t="inlineStr">
        <is>
          <t>Elk B License: 262-01</t>
        </is>
      </c>
      <c r="D267" s="4" t="inlineStr">
        <is>
          <t>Over the counter</t>
        </is>
      </c>
      <c r="E267" s="4" t="inlineStr">
        <is>
          <t>Antlerless Elk</t>
        </is>
      </c>
      <c r="F267" s="4" t="inlineStr">
        <is>
          <t>Sep 05-Oct 18</t>
        </is>
      </c>
      <c r="G267" s="4" t="inlineStr">
        <is>
          <t>Oct 24-Nov 29</t>
        </is>
      </c>
      <c r="H267" s="4" t="n"/>
      <c r="I267" s="4" t="inlineStr">
        <is>
          <t>Nov 30-Jan 08</t>
        </is>
      </c>
      <c r="J267" s="4" t="inlineStr">
        <is>
          <t>OTC: Jun 15</t>
        </is>
      </c>
      <c r="K267" s="4" t="inlineStr">
        <is>
          <t>UNL</t>
        </is>
      </c>
      <c r="L267" s="4" t="inlineStr">
        <is>
          <t>One per hunter. Only valid on private lands in HDs 204, 261, 262, and 270. Must purchase before start of general rife season. Restrictions apply, season dates may vary, see each HD for more info.</t>
        </is>
      </c>
    </row>
    <row r="268">
      <c r="A268" s="4" t="inlineStr">
        <is>
          <t>262</t>
        </is>
      </c>
      <c r="B268" s="4" t="inlineStr">
        <is>
          <t>elk</t>
        </is>
      </c>
      <c r="C268" s="4" t="inlineStr">
        <is>
          <t>Elk Permit: 262-45</t>
        </is>
      </c>
      <c r="D268" s="15" t="inlineStr">
        <is>
          <t>Drawing</t>
        </is>
      </c>
      <c r="E268" s="4" t="inlineStr">
        <is>
          <t>Brow-tined Bull Elk</t>
        </is>
      </c>
      <c r="F268" s="4" t="n"/>
      <c r="G268" s="4" t="inlineStr">
        <is>
          <t>Oct 24-Nov 29</t>
        </is>
      </c>
      <c r="H268" s="4" t="inlineStr">
        <is>
          <t>Dec 12-Dec 20</t>
        </is>
      </c>
      <c r="I268" s="4" t="n"/>
      <c r="J268" s="4" t="inlineStr">
        <is>
          <t>April 1</t>
        </is>
      </c>
      <c r="K268" s="4" t="inlineStr">
        <is>
          <t>20</t>
        </is>
      </c>
      <c r="L268" s="4" t="inlineStr">
        <is>
          <t>Only valid on private land. Permit must be used with a valid General Elk License. Holders may not hunt Antlered Bull Elk in any other HDs during this described season.</t>
        </is>
      </c>
    </row>
    <row r="269">
      <c r="A269" s="4" t="inlineStr">
        <is>
          <t>270</t>
        </is>
      </c>
      <c r="B269" s="4" t="inlineStr">
        <is>
          <t>elk</t>
        </is>
      </c>
      <c r="C269" s="4" t="inlineStr">
        <is>
          <t>General Elk License</t>
        </is>
      </c>
      <c r="D269" s="13" t="inlineStr">
        <is>
          <t>General license</t>
        </is>
      </c>
      <c r="E269" s="4" t="inlineStr">
        <is>
          <t>Antlerless Elk</t>
        </is>
      </c>
      <c r="F269" s="4" t="inlineStr">
        <is>
          <t>Sep 05-Oct 18</t>
        </is>
      </c>
      <c r="G269" s="4" t="n"/>
      <c r="H269" s="4" t="n"/>
      <c r="I269" s="4" t="n"/>
      <c r="J269" s="4" t="n"/>
      <c r="K269" s="4" t="n"/>
      <c r="L269" s="4" t="n"/>
    </row>
    <row r="270">
      <c r="A270" s="4" t="inlineStr">
        <is>
          <t>270</t>
        </is>
      </c>
      <c r="B270" s="4" t="inlineStr">
        <is>
          <t>elk</t>
        </is>
      </c>
      <c r="C270" s="4" t="inlineStr">
        <is>
          <t>General Elk License</t>
        </is>
      </c>
      <c r="D270" s="13" t="inlineStr">
        <is>
          <t>General license</t>
        </is>
      </c>
      <c r="E270" s="4" t="inlineStr">
        <is>
          <t>Brow-tined Bull Elk</t>
        </is>
      </c>
      <c r="F270" s="4" t="inlineStr">
        <is>
          <t>Sep 05-Oct 18</t>
        </is>
      </c>
      <c r="G270" s="4" t="inlineStr">
        <is>
          <t>Oct 24-Nov 29</t>
        </is>
      </c>
      <c r="H270" s="4" t="inlineStr">
        <is>
          <t>Dec 12-Dec 20</t>
        </is>
      </c>
      <c r="I270" s="4" t="n"/>
      <c r="J270" s="4" t="n"/>
      <c r="K270" s="4" t="n"/>
      <c r="L270" s="4" t="inlineStr">
        <is>
          <t>Only youth ages 12-15.</t>
        </is>
      </c>
    </row>
    <row r="271">
      <c r="A271" s="4" t="inlineStr">
        <is>
          <t>270</t>
        </is>
      </c>
      <c r="B271" s="4" t="inlineStr">
        <is>
          <t>elk</t>
        </is>
      </c>
      <c r="C271" s="4" t="inlineStr">
        <is>
          <t>General Elk License</t>
        </is>
      </c>
      <c r="D271" s="13" t="inlineStr">
        <is>
          <t>General license</t>
        </is>
      </c>
      <c r="E271" s="4" t="inlineStr">
        <is>
          <t>Antlerless Elk</t>
        </is>
      </c>
      <c r="F271" s="4" t="n"/>
      <c r="G271" s="4" t="inlineStr">
        <is>
          <t>Oct 24-Nov 29</t>
        </is>
      </c>
      <c r="H271" s="4" t="inlineStr">
        <is>
          <t>Dec 12-Dec 20</t>
        </is>
      </c>
      <c r="I271" s="4" t="n"/>
      <c r="J271" s="4" t="n"/>
      <c r="K271" s="4" t="n"/>
      <c r="L271" s="4" t="inlineStr">
        <is>
          <t>Only youth ages 12-15 and hunters with a PTHFV. Only valid north of Rye Creek. Resident hunters 75 years old and older may harvest an antlerless elk on private land.</t>
        </is>
      </c>
    </row>
    <row r="272">
      <c r="A272" s="4" t="inlineStr">
        <is>
          <t>270</t>
        </is>
      </c>
      <c r="B272" s="4" t="inlineStr">
        <is>
          <t>elk</t>
        </is>
      </c>
      <c r="C272" s="4" t="inlineStr">
        <is>
          <t>Elk B License: 262-01</t>
        </is>
      </c>
      <c r="D272" s="4" t="inlineStr">
        <is>
          <t>Over the counter</t>
        </is>
      </c>
      <c r="E272" s="4" t="inlineStr">
        <is>
          <t>Antlerless Elk</t>
        </is>
      </c>
      <c r="F272" s="4" t="inlineStr">
        <is>
          <t>Sep 05-Oct 18</t>
        </is>
      </c>
      <c r="G272" s="4" t="inlineStr">
        <is>
          <t>Oct 24-Nov 29</t>
        </is>
      </c>
      <c r="H272" s="4" t="inlineStr">
        <is>
          <t>Dec 12-Dec 20</t>
        </is>
      </c>
      <c r="I272" s="4" t="n"/>
      <c r="J272" s="4" t="inlineStr">
        <is>
          <t>OTC: Jun 15</t>
        </is>
      </c>
      <c r="K272" s="4" t="inlineStr">
        <is>
          <t>UNL</t>
        </is>
      </c>
      <c r="L272" s="4" t="inlineStr">
        <is>
          <t>One per hunter. Only valid on private lands in HDs 204, 261, 262, and 270. Must purchase before start of general rife season. Restrictions apply, see each HD for more info.</t>
        </is>
      </c>
    </row>
    <row r="273">
      <c r="A273" s="4" t="inlineStr">
        <is>
          <t>270</t>
        </is>
      </c>
      <c r="B273" s="4" t="inlineStr">
        <is>
          <t>elk</t>
        </is>
      </c>
      <c r="C273" s="4" t="inlineStr">
        <is>
          <t>Elk B License: 270-01</t>
        </is>
      </c>
      <c r="D273" s="15" t="inlineStr">
        <is>
          <t>Drawing</t>
        </is>
      </c>
      <c r="E273" s="4" t="inlineStr">
        <is>
          <t>Antlerless Elk</t>
        </is>
      </c>
      <c r="F273" s="4" t="inlineStr">
        <is>
          <t>Sep 05-Oct 18</t>
        </is>
      </c>
      <c r="G273" s="4" t="inlineStr">
        <is>
          <t>Oct 24-Nov 29</t>
        </is>
      </c>
      <c r="H273" s="4" t="inlineStr">
        <is>
          <t>Dec 12-Dec 20</t>
        </is>
      </c>
      <c r="I273" s="4" t="n"/>
      <c r="J273" s="4" t="inlineStr">
        <is>
          <t>Jun 1</t>
        </is>
      </c>
      <c r="K273" s="4" t="inlineStr">
        <is>
          <t>300</t>
        </is>
      </c>
      <c r="L273" s="4" t="inlineStr">
        <is>
          <t>Only valid north of Rye Creek.</t>
        </is>
      </c>
    </row>
    <row r="274">
      <c r="A274" s="4" t="inlineStr">
        <is>
          <t>270</t>
        </is>
      </c>
      <c r="B274" s="4" t="inlineStr">
        <is>
          <t>elk</t>
        </is>
      </c>
      <c r="C274" s="4" t="inlineStr">
        <is>
          <t>Elk B License: 270-02</t>
        </is>
      </c>
      <c r="D274" s="15" t="inlineStr">
        <is>
          <t>Drawing</t>
        </is>
      </c>
      <c r="E274" s="4" t="inlineStr">
        <is>
          <t>Antlerless Elk</t>
        </is>
      </c>
      <c r="F274" s="4" t="inlineStr">
        <is>
          <t>Sep 05-Oct 18</t>
        </is>
      </c>
      <c r="G274" s="4" t="inlineStr">
        <is>
          <t>Oct 24-Nov 29</t>
        </is>
      </c>
      <c r="H274" s="4" t="inlineStr">
        <is>
          <t>Dec 12-Dec 20</t>
        </is>
      </c>
      <c r="I274" s="4" t="n"/>
      <c r="J274" s="4" t="inlineStr">
        <is>
          <t>Jun 1</t>
        </is>
      </c>
      <c r="K274" s="4" t="inlineStr">
        <is>
          <t>500</t>
        </is>
      </c>
      <c r="L274" s="4" t="inlineStr">
        <is>
          <t>Only valid south of Rye Creek.</t>
        </is>
      </c>
    </row>
    <row r="275">
      <c r="A275" s="4" t="inlineStr">
        <is>
          <t>270</t>
        </is>
      </c>
      <c r="B275" s="4" t="inlineStr">
        <is>
          <t>elk</t>
        </is>
      </c>
      <c r="C275" s="4" t="inlineStr">
        <is>
          <t>Elk Permit: 270-45</t>
        </is>
      </c>
      <c r="D275" s="15" t="inlineStr">
        <is>
          <t>Drawing</t>
        </is>
      </c>
      <c r="E275" s="4" t="inlineStr">
        <is>
          <t>Brow-tined Bull Elk</t>
        </is>
      </c>
      <c r="F275" s="4" t="inlineStr">
        <is>
          <t>Sep 05-Oct 18</t>
        </is>
      </c>
      <c r="G275" s="4" t="inlineStr">
        <is>
          <t>Oct 24-Nov 29</t>
        </is>
      </c>
      <c r="H275" s="4" t="inlineStr">
        <is>
          <t>Dec 12-Dec 20</t>
        </is>
      </c>
      <c r="I275" s="4" t="n"/>
      <c r="J275" s="4" t="inlineStr">
        <is>
          <t>April 1</t>
        </is>
      </c>
      <c r="K275" s="4" t="inlineStr">
        <is>
          <t>UNL</t>
        </is>
      </c>
      <c r="L275" s="4" t="inlineStr">
        <is>
          <t>One per hunter. 1st choice only. Permit must be used with a valid General Elk License.</t>
        </is>
      </c>
    </row>
    <row r="276">
      <c r="A276" s="4" t="inlineStr">
        <is>
          <t>280</t>
        </is>
      </c>
      <c r="B276" s="4" t="inlineStr">
        <is>
          <t>elk</t>
        </is>
      </c>
      <c r="C276" s="4" t="inlineStr">
        <is>
          <t>General Elk License</t>
        </is>
      </c>
      <c r="D276" s="13" t="inlineStr">
        <is>
          <t>General license</t>
        </is>
      </c>
      <c r="E276" s="4" t="inlineStr">
        <is>
          <t>Brow-tined Bull or Antlerless Elk</t>
        </is>
      </c>
      <c r="F276" s="4" t="inlineStr">
        <is>
          <t>Sep 05-Sep 14</t>
        </is>
      </c>
      <c r="G276" s="4" t="inlineStr">
        <is>
          <t>Sep 26-Nov 29</t>
        </is>
      </c>
      <c r="H276" s="4" t="inlineStr">
        <is>
          <t>Dec 12-Dec 20</t>
        </is>
      </c>
      <c r="I276" s="4" t="n"/>
      <c r="J276" s="4" t="n"/>
      <c r="K276" s="4" t="n"/>
      <c r="L276" s="4" t="n"/>
    </row>
    <row r="277">
      <c r="A277" s="4" t="inlineStr">
        <is>
          <t>280</t>
        </is>
      </c>
      <c r="B277" s="4" t="inlineStr">
        <is>
          <t>elk</t>
        </is>
      </c>
      <c r="C277" s="4" t="inlineStr">
        <is>
          <t>General Elk License</t>
        </is>
      </c>
      <c r="D277" s="13" t="inlineStr">
        <is>
          <t>General license</t>
        </is>
      </c>
      <c r="E277" s="4" t="inlineStr">
        <is>
          <t>Brow-tined Bull Elk</t>
        </is>
      </c>
      <c r="F277" s="4" t="n"/>
      <c r="G277" s="4" t="inlineStr">
        <is>
          <t>Sep 15-Sep 25</t>
        </is>
      </c>
      <c r="H277" s="4" t="n"/>
      <c r="I277" s="4" t="n"/>
      <c r="J277" s="4" t="n"/>
      <c r="K277" s="4" t="n"/>
      <c r="L277" s="4" t="n"/>
    </row>
    <row r="278">
      <c r="A278" s="4" t="inlineStr">
        <is>
          <t>280</t>
        </is>
      </c>
      <c r="B278" s="4" t="inlineStr">
        <is>
          <t>elk</t>
        </is>
      </c>
      <c r="C278" s="4" t="inlineStr">
        <is>
          <t>General Elk License</t>
        </is>
      </c>
      <c r="D278" s="13" t="inlineStr">
        <is>
          <t>General license</t>
        </is>
      </c>
      <c r="E278" s="4" t="inlineStr">
        <is>
          <t>Brow-tined Bull or Antlerless Elk</t>
        </is>
      </c>
      <c r="F278" s="4" t="n"/>
      <c r="G278" s="4" t="inlineStr">
        <is>
          <t>Sep 15-Sep 25</t>
        </is>
      </c>
      <c r="H278" s="4" t="n"/>
      <c r="I278" s="4" t="n"/>
      <c r="J278" s="4" t="n"/>
      <c r="K278" s="4" t="n"/>
      <c r="L278" s="4" t="inlineStr">
        <is>
          <t>Only youth ages 12-15.</t>
        </is>
      </c>
    </row>
    <row r="279">
      <c r="A279" s="4" t="inlineStr">
        <is>
          <t>281</t>
        </is>
      </c>
      <c r="B279" s="4" t="inlineStr">
        <is>
          <t>elk</t>
        </is>
      </c>
      <c r="C279" s="4" t="inlineStr">
        <is>
          <t>General Elk License</t>
        </is>
      </c>
      <c r="D279" s="13" t="inlineStr">
        <is>
          <t>General license</t>
        </is>
      </c>
      <c r="E279" s="4" t="inlineStr">
        <is>
          <t>Brow-tined Bull or Antlerless Elk</t>
        </is>
      </c>
      <c r="F279" s="4" t="inlineStr">
        <is>
          <t>Sep 05-Oct 18</t>
        </is>
      </c>
      <c r="G279" s="4" t="n"/>
      <c r="H279" s="4" t="n"/>
      <c r="I279" s="4" t="n"/>
      <c r="J279" s="4" t="n"/>
      <c r="K279" s="4" t="n"/>
      <c r="L279" s="4" t="n"/>
    </row>
    <row r="280">
      <c r="A280" s="4" t="inlineStr">
        <is>
          <t>281</t>
        </is>
      </c>
      <c r="B280" s="4" t="inlineStr">
        <is>
          <t>elk</t>
        </is>
      </c>
      <c r="C280" s="4" t="inlineStr">
        <is>
          <t>General Elk License</t>
        </is>
      </c>
      <c r="D280" s="13" t="inlineStr">
        <is>
          <t>General license</t>
        </is>
      </c>
      <c r="E280" s="4" t="inlineStr">
        <is>
          <t>Brow-tined Bull Elk</t>
        </is>
      </c>
      <c r="F280" s="4" t="n"/>
      <c r="G280" s="4" t="inlineStr">
        <is>
          <t>Oct 24-Nov 29</t>
        </is>
      </c>
      <c r="H280" s="4" t="inlineStr">
        <is>
          <t>Dec 12-Dec 20</t>
        </is>
      </c>
      <c r="I280" s="4" t="n"/>
      <c r="J280" s="4" t="n"/>
      <c r="K280" s="4" t="n"/>
      <c r="L280" s="4" t="n"/>
    </row>
    <row r="281">
      <c r="A281" s="4" t="inlineStr">
        <is>
          <t>281</t>
        </is>
      </c>
      <c r="B281" s="4" t="inlineStr">
        <is>
          <t>elk</t>
        </is>
      </c>
      <c r="C281" s="4" t="inlineStr">
        <is>
          <t>General Elk License</t>
        </is>
      </c>
      <c r="D281" s="13" t="inlineStr">
        <is>
          <t>General license</t>
        </is>
      </c>
      <c r="E281" s="4" t="inlineStr">
        <is>
          <t>Brow-tined Bull or Antlerless Elk</t>
        </is>
      </c>
      <c r="F281" s="4" t="n"/>
      <c r="G281" s="4" t="inlineStr">
        <is>
          <t>Oct 24-Nov 29</t>
        </is>
      </c>
      <c r="H281" s="4" t="inlineStr">
        <is>
          <t>Dec 12-Dec 20</t>
        </is>
      </c>
      <c r="I281" s="4" t="n"/>
      <c r="J281" s="4" t="n"/>
      <c r="K281" s="4" t="n"/>
      <c r="L281" s="4" t="inlineStr">
        <is>
          <t>Only youth ages 12-15. Resident hunters 75 years old and older may harvest an antlerless elk on private land.</t>
        </is>
      </c>
    </row>
    <row r="282">
      <c r="A282" s="4" t="inlineStr">
        <is>
          <t>281</t>
        </is>
      </c>
      <c r="B282" s="4" t="inlineStr">
        <is>
          <t>elk</t>
        </is>
      </c>
      <c r="C282" s="4" t="inlineStr">
        <is>
          <t>Elk B License: 281-01</t>
        </is>
      </c>
      <c r="D282" s="15" t="inlineStr">
        <is>
          <t>Drawing</t>
        </is>
      </c>
      <c r="E282" s="4" t="inlineStr">
        <is>
          <t>Antlerless Elk</t>
        </is>
      </c>
      <c r="F282" s="4" t="inlineStr">
        <is>
          <t>Sep 05-Oct 18</t>
        </is>
      </c>
      <c r="G282" s="4" t="inlineStr">
        <is>
          <t>Oct 24-Nov 29</t>
        </is>
      </c>
      <c r="H282" s="4" t="inlineStr">
        <is>
          <t>Dec 12-Dec 20</t>
        </is>
      </c>
      <c r="I282" s="4" t="n"/>
      <c r="J282" s="4" t="inlineStr">
        <is>
          <t>Jun 1</t>
        </is>
      </c>
      <c r="K282" s="4" t="inlineStr">
        <is>
          <t>25</t>
        </is>
      </c>
      <c r="L282" s="4" t="n"/>
    </row>
    <row r="283">
      <c r="A283" s="4" t="inlineStr">
        <is>
          <t>282</t>
        </is>
      </c>
      <c r="B283" s="4" t="inlineStr">
        <is>
          <t>elk</t>
        </is>
      </c>
      <c r="C283" s="4" t="inlineStr">
        <is>
          <t>General Elk License</t>
        </is>
      </c>
      <c r="D283" s="13" t="inlineStr">
        <is>
          <t>General license</t>
        </is>
      </c>
      <c r="E283" s="4" t="inlineStr">
        <is>
          <t>Brow-tined Bull or Antlerless Elk</t>
        </is>
      </c>
      <c r="F283" s="4" t="inlineStr">
        <is>
          <t>Sep 05-Oct 18</t>
        </is>
      </c>
      <c r="G283" s="4" t="n"/>
      <c r="H283" s="4" t="n"/>
      <c r="I283" s="4" t="n"/>
      <c r="J283" s="4" t="n"/>
      <c r="K283" s="4" t="n"/>
      <c r="L283" s="4" t="n"/>
    </row>
    <row r="284">
      <c r="A284" s="4" t="inlineStr">
        <is>
          <t>282</t>
        </is>
      </c>
      <c r="B284" s="4" t="inlineStr">
        <is>
          <t>elk</t>
        </is>
      </c>
      <c r="C284" s="4" t="inlineStr">
        <is>
          <t>Elk B License: 282-00</t>
        </is>
      </c>
      <c r="D284" s="15" t="inlineStr">
        <is>
          <t>Drawing</t>
        </is>
      </c>
      <c r="E284" s="4" t="inlineStr">
        <is>
          <t>Antlerless Elk</t>
        </is>
      </c>
      <c r="F284" s="4" t="inlineStr">
        <is>
          <t>Sep 05-Oct 18</t>
        </is>
      </c>
      <c r="G284" s="4" t="inlineStr">
        <is>
          <t>Oct 24-Nov 29</t>
        </is>
      </c>
      <c r="H284" s="4" t="inlineStr">
        <is>
          <t>Dec 12-Dec 20</t>
        </is>
      </c>
      <c r="I284" s="4" t="n"/>
      <c r="J284" s="4" t="inlineStr">
        <is>
          <t>Jun 1</t>
        </is>
      </c>
      <c r="K284" s="4" t="inlineStr">
        <is>
          <t>25</t>
        </is>
      </c>
      <c r="L284" s="4" t="n"/>
    </row>
    <row r="285">
      <c r="A285" s="4" t="inlineStr">
        <is>
          <t>282</t>
        </is>
      </c>
      <c r="B285" s="4" t="inlineStr">
        <is>
          <t>elk</t>
        </is>
      </c>
      <c r="C285" s="4" t="inlineStr">
        <is>
          <t>Elk Permit: 282-10</t>
        </is>
      </c>
      <c r="D285" s="15" t="inlineStr">
        <is>
          <t>Drawing</t>
        </is>
      </c>
      <c r="E285" s="4" t="inlineStr">
        <is>
          <t>Brow-tined Bull or Antlerless Elk</t>
        </is>
      </c>
      <c r="F285" s="4" t="inlineStr">
        <is>
          <t>Sep 05-Oct 18</t>
        </is>
      </c>
      <c r="G285" s="4" t="inlineStr">
        <is>
          <t>Oct 24-Nov 29</t>
        </is>
      </c>
      <c r="H285" s="4" t="inlineStr">
        <is>
          <t>Dec 12-Dec 20</t>
        </is>
      </c>
      <c r="I285" s="4" t="n"/>
      <c r="J285" s="4" t="inlineStr">
        <is>
          <t>April 1</t>
        </is>
      </c>
      <c r="K285" s="4" t="inlineStr">
        <is>
          <t>1</t>
        </is>
      </c>
      <c r="L285" s="4" t="inlineStr">
        <is>
          <t>Only youth ages 12-15. Permit must be used with a valid General Elk License. Holders may not hunt Antlered Elk in any other HD during these described season dates.</t>
        </is>
      </c>
    </row>
    <row r="286">
      <c r="A286" s="4" t="inlineStr">
        <is>
          <t>284</t>
        </is>
      </c>
      <c r="B286" s="4" t="inlineStr">
        <is>
          <t>elk</t>
        </is>
      </c>
      <c r="C286" s="4" t="inlineStr">
        <is>
          <t>General Elk License</t>
        </is>
      </c>
      <c r="D286" s="13" t="inlineStr">
        <is>
          <t>General license</t>
        </is>
      </c>
      <c r="E286" s="4" t="inlineStr">
        <is>
          <t>Brow-tined Bull or Antlerless Elk</t>
        </is>
      </c>
      <c r="F286" s="4" t="n"/>
      <c r="G286" s="4" t="inlineStr">
        <is>
          <t>Sep 05-Nov 29</t>
        </is>
      </c>
      <c r="H286" s="4" t="n"/>
      <c r="I286" s="4" t="n"/>
      <c r="J286" s="4" t="n"/>
      <c r="K286" s="4" t="n"/>
      <c r="L286" s="4" t="inlineStr">
        <is>
          <t>ArchEquip only. 69 2026 Deer • Elk • Antelope Visit fwp.mt.gov LICENSE/PERMIT OPPORTUNITY APPL Y BY DATE QUOTA QUOTA RANGE EARL Y SEASON DATES ARCHERY ONL Y SEASON DATES GENERAL SEASON DATES HERITAGE MUZZLELOADER SEASON DATES LATE SEASON DATES OPPORTUNITY SPECIFIC DETAILS AND/ORRESTRICTIONS</t>
        </is>
      </c>
    </row>
    <row r="287">
      <c r="A287" s="4" t="inlineStr">
        <is>
          <t>285</t>
        </is>
      </c>
      <c r="B287" s="4" t="inlineStr">
        <is>
          <t>elk</t>
        </is>
      </c>
      <c r="C287" s="4" t="inlineStr">
        <is>
          <t>General Elk License</t>
        </is>
      </c>
      <c r="D287" s="13" t="inlineStr">
        <is>
          <t>General license</t>
        </is>
      </c>
      <c r="E287" s="4" t="inlineStr">
        <is>
          <t>Brow-tined Bull or Antlerless Elk</t>
        </is>
      </c>
      <c r="F287" s="4" t="inlineStr">
        <is>
          <t>Sep 05-Oct 18</t>
        </is>
      </c>
      <c r="G287" s="4" t="n"/>
      <c r="H287" s="4" t="n"/>
      <c r="I287" s="4" t="n"/>
      <c r="J287" s="4" t="n"/>
      <c r="K287" s="4" t="n"/>
      <c r="L287" s="4" t="n"/>
    </row>
    <row r="288">
      <c r="A288" s="4" t="inlineStr">
        <is>
          <t>285</t>
        </is>
      </c>
      <c r="B288" s="4" t="inlineStr">
        <is>
          <t>elk</t>
        </is>
      </c>
      <c r="C288" s="4" t="inlineStr">
        <is>
          <t>General Elk License</t>
        </is>
      </c>
      <c r="D288" s="13" t="inlineStr">
        <is>
          <t>General license</t>
        </is>
      </c>
      <c r="E288" s="4" t="inlineStr">
        <is>
          <t>Brow-tined Bull Elk</t>
        </is>
      </c>
      <c r="F288" s="4" t="n"/>
      <c r="G288" s="4" t="inlineStr">
        <is>
          <t>Oct 24-Nov 29</t>
        </is>
      </c>
      <c r="H288" s="4" t="inlineStr">
        <is>
          <t>Dec 12-Dec 20</t>
        </is>
      </c>
      <c r="I288" s="4" t="n"/>
      <c r="J288" s="4" t="n"/>
      <c r="K288" s="4" t="n"/>
      <c r="L288" s="4" t="n"/>
    </row>
    <row r="289">
      <c r="A289" s="4" t="inlineStr">
        <is>
          <t>285</t>
        </is>
      </c>
      <c r="B289" s="4" t="inlineStr">
        <is>
          <t>elk</t>
        </is>
      </c>
      <c r="C289" s="4" t="inlineStr">
        <is>
          <t>General Elk License</t>
        </is>
      </c>
      <c r="D289" s="13" t="inlineStr">
        <is>
          <t>General license</t>
        </is>
      </c>
      <c r="E289" s="4" t="inlineStr">
        <is>
          <t>Brow-tined Bull or Antlerless Elk</t>
        </is>
      </c>
      <c r="F289" s="4" t="n"/>
      <c r="G289" s="4" t="inlineStr">
        <is>
          <t>Oct 24-Nov 29</t>
        </is>
      </c>
      <c r="H289" s="4" t="inlineStr">
        <is>
          <t>Dec 12-Dec 20</t>
        </is>
      </c>
      <c r="I289" s="4" t="n"/>
      <c r="J289" s="4" t="n"/>
      <c r="K289" s="4" t="n"/>
      <c r="L289" s="4" t="inlineStr">
        <is>
          <t>Only youth ages 12-15 and hunters with a PTHFV. Resident hunters 75 years old and older may harvest an antlerless elk on private land.</t>
        </is>
      </c>
    </row>
    <row r="290">
      <c r="A290" s="4" t="inlineStr">
        <is>
          <t>285</t>
        </is>
      </c>
      <c r="B290" s="4" t="inlineStr">
        <is>
          <t>elk</t>
        </is>
      </c>
      <c r="C290" s="4" t="inlineStr">
        <is>
          <t>Elk B License: 285-01</t>
        </is>
      </c>
      <c r="D290" s="15" t="inlineStr">
        <is>
          <t>Drawing</t>
        </is>
      </c>
      <c r="E290" s="4" t="inlineStr">
        <is>
          <t>Antlerless Elk</t>
        </is>
      </c>
      <c r="F290" s="4" t="inlineStr">
        <is>
          <t>Sep 05-Oct 18</t>
        </is>
      </c>
      <c r="G290" s="4" t="inlineStr">
        <is>
          <t>Oct 24-Nov 29</t>
        </is>
      </c>
      <c r="H290" s="4" t="inlineStr">
        <is>
          <t>Dec 12-Dec 20</t>
        </is>
      </c>
      <c r="I290" s="4" t="n"/>
      <c r="J290" s="4" t="inlineStr">
        <is>
          <t>Jun 1</t>
        </is>
      </c>
      <c r="K290" s="4" t="inlineStr">
        <is>
          <t>30</t>
        </is>
      </c>
      <c r="L290" s="4" t="inlineStr">
        <is>
          <t>Only valid on private lands, excluding Nature Conservancy lands/Montana Checkerboard lands.</t>
        </is>
      </c>
    </row>
    <row r="291">
      <c r="A291" s="4" t="inlineStr">
        <is>
          <t>290</t>
        </is>
      </c>
      <c r="B291" s="4" t="inlineStr">
        <is>
          <t>elk</t>
        </is>
      </c>
      <c r="C291" s="4" t="inlineStr">
        <is>
          <t>General Elk License</t>
        </is>
      </c>
      <c r="D291" s="13" t="inlineStr">
        <is>
          <t>General license</t>
        </is>
      </c>
      <c r="E291" s="4" t="inlineStr">
        <is>
          <t>Brow-tined Bull or Antlerless Elk</t>
        </is>
      </c>
      <c r="F291" s="4" t="inlineStr">
        <is>
          <t>Sep 05-Oct 18</t>
        </is>
      </c>
      <c r="G291" s="4" t="inlineStr">
        <is>
          <t>Oct 24-Nov 29</t>
        </is>
      </c>
      <c r="H291" s="4" t="n"/>
      <c r="I291" s="4" t="inlineStr">
        <is>
          <t>Nov 30-Jan 01</t>
        </is>
      </c>
      <c r="J291" s="4" t="n"/>
      <c r="K291" s="4" t="n"/>
      <c r="L291" s="4" t="inlineStr">
        <is>
          <t>ArchEquip Only.</t>
        </is>
      </c>
    </row>
    <row r="292">
      <c r="A292" s="4" t="inlineStr">
        <is>
          <t>290</t>
        </is>
      </c>
      <c r="B292" s="4" t="inlineStr">
        <is>
          <t>elk</t>
        </is>
      </c>
      <c r="C292" s="4" t="inlineStr">
        <is>
          <t>General Elk License</t>
        </is>
      </c>
      <c r="D292" s="13" t="inlineStr">
        <is>
          <t>General license</t>
        </is>
      </c>
      <c r="E292" s="4" t="inlineStr">
        <is>
          <t>Antlerless Elk</t>
        </is>
      </c>
      <c r="F292" s="4" t="n"/>
      <c r="G292" s="4" t="inlineStr">
        <is>
          <t>Oct 24-Nov 29</t>
        </is>
      </c>
      <c r="H292" s="4" t="inlineStr">
        <is>
          <t>Dec 12-Dec 20</t>
        </is>
      </c>
      <c r="I292" s="4" t="n"/>
      <c r="J292" s="4" t="n"/>
      <c r="K292" s="4" t="n"/>
      <c r="L292" s="4" t="inlineStr">
        <is>
          <t>Firearms allowed outside of East Ovando Archery Area/Aunt Molly WMA.</t>
        </is>
      </c>
    </row>
    <row r="293">
      <c r="A293" s="4" t="inlineStr">
        <is>
          <t>290</t>
        </is>
      </c>
      <c r="B293" s="4" t="inlineStr">
        <is>
          <t>elk</t>
        </is>
      </c>
      <c r="C293" s="4" t="inlineStr">
        <is>
          <t>Elk B License: 290-01</t>
        </is>
      </c>
      <c r="D293" s="15" t="inlineStr">
        <is>
          <t>Drawing</t>
        </is>
      </c>
      <c r="E293" s="4" t="inlineStr">
        <is>
          <t>Antlerless Elk</t>
        </is>
      </c>
      <c r="F293" s="4" t="inlineStr">
        <is>
          <t>Sep 05-Oct 18</t>
        </is>
      </c>
      <c r="G293" s="4" t="inlineStr">
        <is>
          <t>Oct 24-Nov 29</t>
        </is>
      </c>
      <c r="H293" s="4" t="n"/>
      <c r="I293" s="4" t="inlineStr">
        <is>
          <t>Nov 30-Jan 08</t>
        </is>
      </c>
      <c r="J293" s="4" t="inlineStr">
        <is>
          <t>Jun 1</t>
        </is>
      </c>
      <c r="K293" s="4" t="inlineStr">
        <is>
          <t>200</t>
        </is>
      </c>
      <c r="L293" s="4" t="inlineStr">
        <is>
          <t>Valid on private land only. Firearms allowed outside of East Ovando Archery Area. Also valid in HD 298 with restrictions. See HD 298 for more info. LICENSE/PERMIT OPPORTUNITY APPL Y BY DATE QUOTA QUOTA RANGE EARL Y SEASON DATES ARCHERY ONL Y SEASON DATES GENERAL SEASON DATES HERITAGE MUZZLELOADER SE</t>
        </is>
      </c>
    </row>
    <row r="294">
      <c r="A294" s="4" t="inlineStr">
        <is>
          <t>291</t>
        </is>
      </c>
      <c r="B294" s="4" t="inlineStr">
        <is>
          <t>elk</t>
        </is>
      </c>
      <c r="C294" s="4" t="inlineStr">
        <is>
          <t>General Elk License</t>
        </is>
      </c>
      <c r="D294" s="13" t="inlineStr">
        <is>
          <t>General license</t>
        </is>
      </c>
      <c r="E294" s="4" t="inlineStr">
        <is>
          <t>Brow-tined Bull or Antlerless Elk</t>
        </is>
      </c>
      <c r="F294" s="4" t="inlineStr">
        <is>
          <t>Sep 05-Oct 18</t>
        </is>
      </c>
      <c r="G294" s="4" t="n"/>
      <c r="H294" s="4" t="n"/>
      <c r="I294" s="4" t="n"/>
      <c r="J294" s="4" t="n"/>
      <c r="K294" s="4" t="n"/>
      <c r="L294" s="4" t="n"/>
    </row>
    <row r="295">
      <c r="A295" s="4" t="inlineStr">
        <is>
          <t>291</t>
        </is>
      </c>
      <c r="B295" s="4" t="inlineStr">
        <is>
          <t>elk</t>
        </is>
      </c>
      <c r="C295" s="4" t="inlineStr">
        <is>
          <t>General Elk License</t>
        </is>
      </c>
      <c r="D295" s="13" t="inlineStr">
        <is>
          <t>General license</t>
        </is>
      </c>
      <c r="E295" s="4" t="inlineStr">
        <is>
          <t>Brow-tined Bull Elk</t>
        </is>
      </c>
      <c r="F295" s="4" t="n"/>
      <c r="G295" s="4" t="inlineStr">
        <is>
          <t>Oct 24-Nov 29</t>
        </is>
      </c>
      <c r="H295" s="4" t="inlineStr">
        <is>
          <t>Dec 12-Dec 20</t>
        </is>
      </c>
      <c r="I295" s="4" t="n"/>
      <c r="J295" s="4" t="n"/>
      <c r="K295" s="4" t="n"/>
      <c r="L295" s="4" t="n"/>
    </row>
    <row r="296">
      <c r="A296" s="4" t="inlineStr">
        <is>
          <t>291</t>
        </is>
      </c>
      <c r="B296" s="4" t="inlineStr">
        <is>
          <t>elk</t>
        </is>
      </c>
      <c r="C296" s="4" t="inlineStr">
        <is>
          <t>General Elk License</t>
        </is>
      </c>
      <c r="D296" s="13" t="inlineStr">
        <is>
          <t>General license</t>
        </is>
      </c>
      <c r="E296" s="4" t="inlineStr">
        <is>
          <t>Brow-tined Bull or Antlerless Elk</t>
        </is>
      </c>
      <c r="F296" s="4" t="n"/>
      <c r="G296" s="4" t="inlineStr">
        <is>
          <t>Oct 24-Nov 29</t>
        </is>
      </c>
      <c r="H296" s="4" t="inlineStr">
        <is>
          <t>Dec 12-Dec 20</t>
        </is>
      </c>
      <c r="I296" s="4" t="n"/>
      <c r="J296" s="4" t="n"/>
      <c r="K296" s="4" t="n"/>
      <c r="L296" s="4" t="inlineStr">
        <is>
          <t>Only youth ages 12-15 and hunters with a PTHFV. Resident hunters 75 years old and older may harvest an antlerless elk on private land.</t>
        </is>
      </c>
    </row>
    <row r="297">
      <c r="A297" s="4" t="inlineStr">
        <is>
          <t>291</t>
        </is>
      </c>
      <c r="B297" s="4" t="inlineStr">
        <is>
          <t>elk</t>
        </is>
      </c>
      <c r="C297" s="4" t="inlineStr">
        <is>
          <t>Elk B License: 291-03</t>
        </is>
      </c>
      <c r="D297" s="15" t="inlineStr">
        <is>
          <t>Drawing</t>
        </is>
      </c>
      <c r="E297" s="4" t="inlineStr">
        <is>
          <t>Antlerless Elk</t>
        </is>
      </c>
      <c r="F297" s="4" t="n"/>
      <c r="G297" s="4" t="inlineStr">
        <is>
          <t>Oct 24-Nov 29</t>
        </is>
      </c>
      <c r="H297" s="4" t="inlineStr">
        <is>
          <t>Dec 12-Dec 20</t>
        </is>
      </c>
      <c r="I297" s="4" t="n"/>
      <c r="J297" s="4" t="inlineStr">
        <is>
          <t>Jun 1</t>
        </is>
      </c>
      <c r="K297" s="4" t="inlineStr">
        <is>
          <t>250</t>
        </is>
      </c>
      <c r="L297" s="4" t="inlineStr">
        <is>
          <t>Only valid on private lands.</t>
        </is>
      </c>
    </row>
    <row r="298">
      <c r="A298" s="4" t="inlineStr">
        <is>
          <t>292</t>
        </is>
      </c>
      <c r="B298" s="4" t="inlineStr">
        <is>
          <t>elk</t>
        </is>
      </c>
      <c r="C298" s="4" t="inlineStr">
        <is>
          <t>General Elk License</t>
        </is>
      </c>
      <c r="D298" s="13" t="inlineStr">
        <is>
          <t>General license</t>
        </is>
      </c>
      <c r="E298" s="4" t="inlineStr">
        <is>
          <t>Brow-tined Bull or Antlerless Elk</t>
        </is>
      </c>
      <c r="F298" s="4" t="inlineStr">
        <is>
          <t>Sep 05-Oct 18</t>
        </is>
      </c>
      <c r="G298" s="4" t="n"/>
      <c r="H298" s="4" t="n"/>
      <c r="I298" s="4" t="n"/>
      <c r="J298" s="4" t="n"/>
      <c r="K298" s="4" t="n"/>
      <c r="L298" s="4" t="n"/>
    </row>
    <row r="299">
      <c r="A299" s="4" t="inlineStr">
        <is>
          <t>292</t>
        </is>
      </c>
      <c r="B299" s="4" t="inlineStr">
        <is>
          <t>elk</t>
        </is>
      </c>
      <c r="C299" s="4" t="inlineStr">
        <is>
          <t>General Elk License</t>
        </is>
      </c>
      <c r="D299" s="13" t="inlineStr">
        <is>
          <t>General license</t>
        </is>
      </c>
      <c r="E299" s="4" t="inlineStr">
        <is>
          <t>Brow-tined Bull Elk</t>
        </is>
      </c>
      <c r="F299" s="4" t="n"/>
      <c r="G299" s="4" t="inlineStr">
        <is>
          <t>Oct 24-Nov 29</t>
        </is>
      </c>
      <c r="H299" s="4" t="inlineStr">
        <is>
          <t>Dec 12-Dec 20</t>
        </is>
      </c>
      <c r="I299" s="4" t="n"/>
      <c r="J299" s="4" t="n"/>
      <c r="K299" s="4" t="n"/>
      <c r="L299" s="4" t="n"/>
    </row>
    <row r="300">
      <c r="A300" s="4" t="inlineStr">
        <is>
          <t>292</t>
        </is>
      </c>
      <c r="B300" s="4" t="inlineStr">
        <is>
          <t>elk</t>
        </is>
      </c>
      <c r="C300" s="4" t="inlineStr">
        <is>
          <t>General Elk License</t>
        </is>
      </c>
      <c r="D300" s="13" t="inlineStr">
        <is>
          <t>General license</t>
        </is>
      </c>
      <c r="E300" s="4" t="inlineStr">
        <is>
          <t>Brow-tined Bull or Antlerless Elk</t>
        </is>
      </c>
      <c r="F300" s="4" t="n"/>
      <c r="G300" s="4" t="inlineStr">
        <is>
          <t>Oct 24-Nov 29</t>
        </is>
      </c>
      <c r="H300" s="4" t="inlineStr">
        <is>
          <t>Dec 12-Dec 20</t>
        </is>
      </c>
      <c r="I300" s="4" t="n"/>
      <c r="J300" s="4" t="n"/>
      <c r="K300" s="4" t="n"/>
      <c r="L300" s="4" t="inlineStr">
        <is>
          <t>Only youth ages 12-15 and hunters with a PTHFV. Resident hunters 75 years old and older may harvest an antlerless elk on private land.</t>
        </is>
      </c>
    </row>
    <row r="301">
      <c r="A301" s="4" t="inlineStr">
        <is>
          <t>292</t>
        </is>
      </c>
      <c r="B301" s="4" t="inlineStr">
        <is>
          <t>elk</t>
        </is>
      </c>
      <c r="C301" s="4" t="inlineStr">
        <is>
          <t>Elk B License: 292-01</t>
        </is>
      </c>
      <c r="D301" s="15" t="inlineStr">
        <is>
          <t>Drawing</t>
        </is>
      </c>
      <c r="E301" s="4" t="inlineStr">
        <is>
          <t>Antlerless Elk</t>
        </is>
      </c>
      <c r="F301" s="4" t="n"/>
      <c r="G301" s="4" t="inlineStr">
        <is>
          <t>Oct 24-Nov 29</t>
        </is>
      </c>
      <c r="H301" s="4" t="inlineStr">
        <is>
          <t>Dec 12-Dec 20</t>
        </is>
      </c>
      <c r="I301" s="4" t="n"/>
      <c r="J301" s="4" t="inlineStr">
        <is>
          <t>Jun 1</t>
        </is>
      </c>
      <c r="K301" s="4" t="inlineStr">
        <is>
          <t>50</t>
        </is>
      </c>
      <c r="L301" s="4" t="inlineStr">
        <is>
          <t>Only valid on private lands, within the Blackfoot watershed. Not valid on Nature Conservancy/Montana Checkerboard lands. 71 2026 Deer • Elk • Antelope Visit fwp.mt.gov LICENSE/PERMIT OPPORTUNITY APPL Y BY DATE QUOTA QUOTA RANGE EARL Y SEASON DATES ARCHERY ONL Y SEASON DATES GENERAL SEASON DATES HERI</t>
        </is>
      </c>
    </row>
    <row r="302">
      <c r="A302" s="4" t="inlineStr">
        <is>
          <t>293</t>
        </is>
      </c>
      <c r="B302" s="4" t="inlineStr">
        <is>
          <t>elk</t>
        </is>
      </c>
      <c r="C302" s="4" t="inlineStr">
        <is>
          <t>General Elk License</t>
        </is>
      </c>
      <c r="D302" s="13" t="inlineStr">
        <is>
          <t>General license</t>
        </is>
      </c>
      <c r="E302" s="4" t="inlineStr">
        <is>
          <t>Brow-tined Bull or Antlerless Elk</t>
        </is>
      </c>
      <c r="F302" s="4" t="inlineStr">
        <is>
          <t>Sep 05-Oct 18</t>
        </is>
      </c>
      <c r="G302" s="4" t="n"/>
      <c r="H302" s="4" t="n"/>
      <c r="I302" s="4" t="n"/>
      <c r="J302" s="4" t="n"/>
      <c r="K302" s="4" t="n"/>
      <c r="L302" s="4" t="n"/>
    </row>
    <row r="303">
      <c r="A303" s="4" t="inlineStr">
        <is>
          <t>293</t>
        </is>
      </c>
      <c r="B303" s="4" t="inlineStr">
        <is>
          <t>elk</t>
        </is>
      </c>
      <c r="C303" s="4" t="inlineStr">
        <is>
          <t>General Elk License</t>
        </is>
      </c>
      <c r="D303" s="13" t="inlineStr">
        <is>
          <t>General license</t>
        </is>
      </c>
      <c r="E303" s="4" t="inlineStr">
        <is>
          <t>Brow-tined Bull Elk</t>
        </is>
      </c>
      <c r="F303" s="4" t="n"/>
      <c r="G303" s="4" t="inlineStr">
        <is>
          <t>Oct 24-Nov 29</t>
        </is>
      </c>
      <c r="H303" s="4" t="inlineStr">
        <is>
          <t>Dec 12-Dec 20</t>
        </is>
      </c>
      <c r="I303" s="4" t="n"/>
      <c r="J303" s="4" t="n"/>
      <c r="K303" s="4" t="n"/>
      <c r="L303" s="4" t="n"/>
    </row>
    <row r="304">
      <c r="A304" s="4" t="inlineStr">
        <is>
          <t>293</t>
        </is>
      </c>
      <c r="B304" s="4" t="inlineStr">
        <is>
          <t>elk</t>
        </is>
      </c>
      <c r="C304" s="4" t="inlineStr">
        <is>
          <t>General Elk License</t>
        </is>
      </c>
      <c r="D304" s="13" t="inlineStr">
        <is>
          <t>General license</t>
        </is>
      </c>
      <c r="E304" s="4" t="inlineStr">
        <is>
          <t>Brow-tined Bull or Antlerless Elk</t>
        </is>
      </c>
      <c r="F304" s="4" t="n"/>
      <c r="G304" s="4" t="inlineStr">
        <is>
          <t>Oct 24-Nov 29</t>
        </is>
      </c>
      <c r="H304" s="4" t="inlineStr">
        <is>
          <t>Dec 12-Dec 20</t>
        </is>
      </c>
      <c r="I304" s="4" t="n"/>
      <c r="J304" s="4" t="n"/>
      <c r="K304" s="4" t="n"/>
      <c r="L304" s="4" t="inlineStr">
        <is>
          <t>Only youth ages 12-15 and hunters with a PTHFV. Resident hunters 75 years old and older may harvest an antlerless elk on private land.</t>
        </is>
      </c>
    </row>
    <row r="305">
      <c r="A305" s="4" t="inlineStr">
        <is>
          <t>293</t>
        </is>
      </c>
      <c r="B305" s="4" t="inlineStr">
        <is>
          <t>elk</t>
        </is>
      </c>
      <c r="C305" s="4" t="inlineStr">
        <is>
          <t>Elk B License: 293-00</t>
        </is>
      </c>
      <c r="D305" s="15" t="inlineStr">
        <is>
          <t>Drawing</t>
        </is>
      </c>
      <c r="E305" s="4" t="inlineStr">
        <is>
          <t>Antlerless Elk</t>
        </is>
      </c>
      <c r="F305" s="4" t="inlineStr">
        <is>
          <t>Sep 05-Oct 18</t>
        </is>
      </c>
      <c r="G305" s="4" t="inlineStr">
        <is>
          <t>Oct 24-Nov 29</t>
        </is>
      </c>
      <c r="H305" s="4" t="inlineStr">
        <is>
          <t>Dec 12-Dec 20</t>
        </is>
      </c>
      <c r="I305" s="4" t="n"/>
      <c r="J305" s="4" t="inlineStr">
        <is>
          <t>Jun 1</t>
        </is>
      </c>
      <c r="K305" s="4" t="inlineStr">
        <is>
          <t>25</t>
        </is>
      </c>
      <c r="L305" s="4" t="n"/>
    </row>
    <row r="306">
      <c r="A306" s="4" t="inlineStr">
        <is>
          <t>293</t>
        </is>
      </c>
      <c r="B306" s="4" t="inlineStr">
        <is>
          <t>elk</t>
        </is>
      </c>
      <c r="C306" s="4" t="inlineStr">
        <is>
          <t>Elk B License: 293-01</t>
        </is>
      </c>
      <c r="D306" s="15" t="inlineStr">
        <is>
          <t>Drawing</t>
        </is>
      </c>
      <c r="E306" s="4" t="inlineStr">
        <is>
          <t>Antlerless Elk</t>
        </is>
      </c>
      <c r="F306" s="4" t="n"/>
      <c r="G306" s="4" t="inlineStr">
        <is>
          <t>Oct 24-Nov 29</t>
        </is>
      </c>
      <c r="H306" s="4" t="inlineStr">
        <is>
          <t>Dec 12-Dec 20</t>
        </is>
      </c>
      <c r="I306" s="4" t="n"/>
      <c r="J306" s="4" t="inlineStr">
        <is>
          <t>Jun 1</t>
        </is>
      </c>
      <c r="K306" s="4" t="inlineStr">
        <is>
          <t>150</t>
        </is>
      </c>
      <c r="L306" s="4" t="inlineStr">
        <is>
          <t>Not valid in Lincoln Valley. Only valid on private lands in south portion of HD 293 (SE of Nevada-Ogden Rd at Rossin Gulch).</t>
        </is>
      </c>
    </row>
    <row r="307">
      <c r="A307" s="4" t="inlineStr">
        <is>
          <t>298</t>
        </is>
      </c>
      <c r="B307" s="4" t="inlineStr">
        <is>
          <t>elk</t>
        </is>
      </c>
      <c r="C307" s="4" t="inlineStr">
        <is>
          <t>General Elk License</t>
        </is>
      </c>
      <c r="D307" s="13" t="inlineStr">
        <is>
          <t>General license</t>
        </is>
      </c>
      <c r="E307" s="4" t="inlineStr">
        <is>
          <t>Brow-tined Bull or Antlerless Elk</t>
        </is>
      </c>
      <c r="F307" s="4" t="inlineStr">
        <is>
          <t>Sep 05-Oct 18</t>
        </is>
      </c>
      <c r="G307" s="4" t="inlineStr">
        <is>
          <t>Oct 24-Nov 29</t>
        </is>
      </c>
      <c r="H307" s="4" t="inlineStr">
        <is>
          <t>Dec 12-Dec 20</t>
        </is>
      </c>
      <c r="I307" s="4" t="n"/>
      <c r="J307" s="4" t="n"/>
      <c r="K307" s="4" t="n"/>
      <c r="L307" s="4" t="n"/>
    </row>
    <row r="308">
      <c r="A308" s="4" t="inlineStr">
        <is>
          <t>298</t>
        </is>
      </c>
      <c r="B308" s="4" t="inlineStr">
        <is>
          <t>elk</t>
        </is>
      </c>
      <c r="C308" s="4" t="inlineStr">
        <is>
          <t>Elk B License: 290-01</t>
        </is>
      </c>
      <c r="D308" s="15" t="inlineStr">
        <is>
          <t>Drawing</t>
        </is>
      </c>
      <c r="E308" s="4" t="inlineStr">
        <is>
          <t>Antlerless Elk</t>
        </is>
      </c>
      <c r="F308" s="4" t="inlineStr">
        <is>
          <t>Sep 05-Oct 18</t>
        </is>
      </c>
      <c r="G308" s="4" t="inlineStr">
        <is>
          <t>Oct 24-Nov 29</t>
        </is>
      </c>
      <c r="H308" s="4" t="n"/>
      <c r="I308" s="4" t="inlineStr">
        <is>
          <t>Nov 30-Jan 08</t>
        </is>
      </c>
      <c r="J308" s="4" t="inlineStr">
        <is>
          <t>Jun 1</t>
        </is>
      </c>
      <c r="K308" s="4" t="inlineStr">
        <is>
          <t>200</t>
        </is>
      </c>
      <c r="L308" s="4" t="inlineStr">
        <is>
          <t>Valid on private land only excluding Nature Conservancy lands. Also valid in HD 290 with restrictions. See HD 290 for more info. LICENSE/PERMIT OPPORTUNITY APPL Y BY DATE QUOTA QUOTA RANGE EARL Y SEASON DATES ARCHERY ONL Y SEASON DATES GENERAL SEASON DATES HERITAGE MUZZLELOADER SEASON DATES LATE SEA</t>
        </is>
      </c>
    </row>
    <row r="309">
      <c r="A309" s="4" t="inlineStr">
        <is>
          <t>301</t>
        </is>
      </c>
      <c r="B309" s="4" t="inlineStr">
        <is>
          <t>elk</t>
        </is>
      </c>
      <c r="C309" s="4" t="inlineStr">
        <is>
          <t>General Elk License</t>
        </is>
      </c>
      <c r="D309" s="13" t="inlineStr">
        <is>
          <t>General license</t>
        </is>
      </c>
      <c r="E309" s="4" t="inlineStr">
        <is>
          <t>Brow-tined Bull or Antlerless Elk</t>
        </is>
      </c>
      <c r="F309" s="4" t="inlineStr">
        <is>
          <t>Sep 05-Oct 18</t>
        </is>
      </c>
      <c r="G309" s="4" t="inlineStr">
        <is>
          <t>Oct 24-Nov 08</t>
        </is>
      </c>
      <c r="H309" s="4" t="n"/>
      <c r="I309" s="4" t="n"/>
      <c r="J309" s="4" t="n"/>
      <c r="K309" s="4" t="n"/>
      <c r="L309" s="4" t="n"/>
    </row>
    <row r="310">
      <c r="A310" s="4" t="inlineStr">
        <is>
          <t>301</t>
        </is>
      </c>
      <c r="B310" s="4" t="inlineStr">
        <is>
          <t>elk</t>
        </is>
      </c>
      <c r="C310" s="4" t="inlineStr">
        <is>
          <t>General Elk License</t>
        </is>
      </c>
      <c r="D310" s="13" t="inlineStr">
        <is>
          <t>General license</t>
        </is>
      </c>
      <c r="E310" s="4" t="inlineStr">
        <is>
          <t>Either-sex Elk</t>
        </is>
      </c>
      <c r="F310" s="4" t="inlineStr">
        <is>
          <t>Sep 05-Oct 18</t>
        </is>
      </c>
      <c r="G310" s="4" t="inlineStr">
        <is>
          <t>Oct 24-Nov 29</t>
        </is>
      </c>
      <c r="H310" s="4" t="inlineStr">
        <is>
          <t>Dec 12-Dec 20</t>
        </is>
      </c>
      <c r="I310" s="4" t="n"/>
      <c r="J310" s="4" t="n"/>
      <c r="K310" s="4" t="n"/>
      <c r="L310" s="4" t="inlineStr">
        <is>
          <t>Only youth ages 12-15 and hunters with a PTHFV. Resident hunters 75 years old and older may harvest an antlerless elk on private land.</t>
        </is>
      </c>
    </row>
    <row r="311">
      <c r="A311" s="4" t="inlineStr">
        <is>
          <t>301</t>
        </is>
      </c>
      <c r="B311" s="4" t="inlineStr">
        <is>
          <t>elk</t>
        </is>
      </c>
      <c r="C311" s="4" t="inlineStr">
        <is>
          <t>General Elk License</t>
        </is>
      </c>
      <c r="D311" s="13" t="inlineStr">
        <is>
          <t>General license</t>
        </is>
      </c>
      <c r="E311" s="4" t="inlineStr">
        <is>
          <t>Brow-tined Bull Elk</t>
        </is>
      </c>
      <c r="F311" s="4" t="n"/>
      <c r="G311" s="4" t="inlineStr">
        <is>
          <t>Nov 09-Nov 29</t>
        </is>
      </c>
      <c r="H311" s="4" t="inlineStr">
        <is>
          <t>Dec 12-Dec 20</t>
        </is>
      </c>
      <c r="I311" s="4" t="n"/>
      <c r="J311" s="4" t="n"/>
      <c r="K311" s="4" t="n"/>
      <c r="L311" s="4" t="n"/>
    </row>
    <row r="312">
      <c r="A312" s="4" t="inlineStr">
        <is>
          <t>301</t>
        </is>
      </c>
      <c r="B312" s="4" t="inlineStr">
        <is>
          <t>elk</t>
        </is>
      </c>
      <c r="C312" s="4" t="inlineStr">
        <is>
          <t>Elk B License: 397-00</t>
        </is>
      </c>
      <c r="D312" s="4" t="inlineStr">
        <is>
          <t>Over the counter</t>
        </is>
      </c>
      <c r="E312" s="4" t="inlineStr">
        <is>
          <t>Antlerless Elk</t>
        </is>
      </c>
      <c r="F312" s="4" t="n"/>
      <c r="G312" s="4" t="n"/>
      <c r="H312" s="4" t="n"/>
      <c r="I312" s="4" t="n"/>
      <c r="J312" s="4" t="inlineStr">
        <is>
          <t>OTC: Jun 15</t>
        </is>
      </c>
      <c r="K312" s="4" t="inlineStr">
        <is>
          <t>UNL</t>
        </is>
      </c>
      <c r="L312" s="4" t="inlineStr">
        <is>
          <t>One per hunter. Multi-district license. Only valid on private land. One per hunter. Multi-district license. Not valid on National Forest Lands.</t>
        </is>
      </c>
    </row>
    <row r="313">
      <c r="A313" s="4" t="inlineStr">
        <is>
          <t>302</t>
        </is>
      </c>
      <c r="B313" s="4" t="inlineStr">
        <is>
          <t>elk</t>
        </is>
      </c>
      <c r="C313" s="4" t="inlineStr">
        <is>
          <t>General Elk License</t>
        </is>
      </c>
      <c r="D313" s="13" t="inlineStr">
        <is>
          <t>General license</t>
        </is>
      </c>
      <c r="E313" s="4" t="inlineStr">
        <is>
          <t>Brow-tined Bull or Antlerless Elk</t>
        </is>
      </c>
      <c r="F313" s="4" t="inlineStr">
        <is>
          <t>Sep 05-Oct 18</t>
        </is>
      </c>
      <c r="G313" s="4" t="inlineStr">
        <is>
          <t>Oct 24-Nov 29</t>
        </is>
      </c>
      <c r="H313" s="4" t="inlineStr">
        <is>
          <t>Dec 12-Dec 20</t>
        </is>
      </c>
      <c r="I313" s="4" t="n"/>
      <c r="J313" s="4" t="n"/>
      <c r="K313" s="4" t="n"/>
      <c r="L313" s="4" t="n"/>
    </row>
    <row r="314">
      <c r="A314" s="4" t="inlineStr">
        <is>
          <t>302</t>
        </is>
      </c>
      <c r="B314" s="4" t="inlineStr">
        <is>
          <t>elk</t>
        </is>
      </c>
      <c r="C314" s="4" t="inlineStr">
        <is>
          <t>General Elk License</t>
        </is>
      </c>
      <c r="D314" s="13" t="inlineStr">
        <is>
          <t>General license</t>
        </is>
      </c>
      <c r="E314" s="4" t="inlineStr">
        <is>
          <t>Either-sex Elk</t>
        </is>
      </c>
      <c r="F314" s="4" t="inlineStr">
        <is>
          <t>Sep 05-Oct 18</t>
        </is>
      </c>
      <c r="G314" s="4" t="inlineStr">
        <is>
          <t>Oct 24-Nov 29</t>
        </is>
      </c>
      <c r="H314" s="4" t="inlineStr">
        <is>
          <t>Dec 12-Dec 20</t>
        </is>
      </c>
      <c r="I314" s="4" t="n"/>
      <c r="J314" s="4" t="n"/>
      <c r="K314" s="4" t="n"/>
      <c r="L314" s="4" t="inlineStr">
        <is>
          <t>Only youth ages 12-15 and hunters with a PTHFV. Resident hunters 75 years old and older may harvest an antlerless elk on private land.</t>
        </is>
      </c>
    </row>
    <row r="315">
      <c r="A315" s="4" t="inlineStr">
        <is>
          <t>302</t>
        </is>
      </c>
      <c r="B315" s="4" t="inlineStr">
        <is>
          <t>elk</t>
        </is>
      </c>
      <c r="C315" s="4" t="inlineStr">
        <is>
          <t>Elk B License: 399-00</t>
        </is>
      </c>
      <c r="D315" s="15" t="inlineStr">
        <is>
          <t>Drawing</t>
        </is>
      </c>
      <c r="E315" s="4" t="inlineStr">
        <is>
          <t>Antlerless Elk</t>
        </is>
      </c>
      <c r="F315" s="4" t="inlineStr">
        <is>
          <t>Sep 05-Oct 18</t>
        </is>
      </c>
      <c r="G315" s="4" t="inlineStr">
        <is>
          <t>Oct 24-Nov 29</t>
        </is>
      </c>
      <c r="H315" s="4" t="inlineStr">
        <is>
          <t>Dec 12-Dec 20</t>
        </is>
      </c>
      <c r="I315" s="4" t="n"/>
      <c r="J315" s="4" t="inlineStr">
        <is>
          <t>Jun 1</t>
        </is>
      </c>
      <c r="K315" s="4" t="inlineStr">
        <is>
          <t>500</t>
        </is>
      </c>
      <c r="L315" s="4" t="inlineStr">
        <is>
          <t>Multi-district license. 73 2026 Deer • Elk • Antelope Visit fwp.mt.gov LICENSE/PERMIT OPPORTUNITY APPL Y BY DATE QUOTA QUOTA RANGE EARL Y SEASON DATES ARCHERY ONL Y SEASON DATES GENERAL SEASON DATES HERITAGE MUZZLELOADER SEASON DATES LATE SEASON DATES OPPORTUNITY SPECIFIC DETAILS AND/ORRESTRICTIONS</t>
        </is>
      </c>
    </row>
    <row r="316">
      <c r="A316" s="4" t="inlineStr">
        <is>
          <t>303</t>
        </is>
      </c>
      <c r="B316" s="4" t="inlineStr">
        <is>
          <t>elk</t>
        </is>
      </c>
      <c r="C316" s="4" t="inlineStr">
        <is>
          <t>General Elk License</t>
        </is>
      </c>
      <c r="D316" s="13" t="inlineStr">
        <is>
          <t>General license</t>
        </is>
      </c>
      <c r="E316" s="4" t="inlineStr">
        <is>
          <t>Brow-tined Bull or Antlerless Elk</t>
        </is>
      </c>
      <c r="F316" s="4" t="inlineStr">
        <is>
          <t>Sep 05-Oct 18</t>
        </is>
      </c>
      <c r="G316" s="4" t="inlineStr">
        <is>
          <t>Oct 24-Nov 29</t>
        </is>
      </c>
      <c r="H316" s="4" t="inlineStr">
        <is>
          <t>Dec 12-Dec 20</t>
        </is>
      </c>
      <c r="I316" s="4" t="n"/>
      <c r="J316" s="4" t="n"/>
      <c r="K316" s="4" t="n"/>
      <c r="L316" s="4" t="n"/>
    </row>
    <row r="317">
      <c r="A317" s="4" t="inlineStr">
        <is>
          <t>303</t>
        </is>
      </c>
      <c r="B317" s="4" t="inlineStr">
        <is>
          <t>elk</t>
        </is>
      </c>
      <c r="C317" s="4" t="inlineStr">
        <is>
          <t>General Elk License</t>
        </is>
      </c>
      <c r="D317" s="13" t="inlineStr">
        <is>
          <t>General license</t>
        </is>
      </c>
      <c r="E317" s="4" t="inlineStr">
        <is>
          <t>Either-sex Elk</t>
        </is>
      </c>
      <c r="F317" s="4" t="inlineStr">
        <is>
          <t>Sep 05-Oct 18</t>
        </is>
      </c>
      <c r="G317" s="4" t="inlineStr">
        <is>
          <t>Oct 24-Nov 29</t>
        </is>
      </c>
      <c r="H317" s="4" t="inlineStr">
        <is>
          <t>Dec 12-Dec 20</t>
        </is>
      </c>
      <c r="I317" s="4" t="n"/>
      <c r="J317" s="4" t="n"/>
      <c r="K317" s="4" t="n"/>
      <c r="L317" s="4" t="inlineStr">
        <is>
          <t>Only youth ages 12-15 and hunters with a PTHFV.</t>
        </is>
      </c>
    </row>
    <row r="318">
      <c r="A318" s="4" t="inlineStr">
        <is>
          <t>303</t>
        </is>
      </c>
      <c r="B318" s="4" t="inlineStr">
        <is>
          <t>elk</t>
        </is>
      </c>
      <c r="C318" s="4" t="inlineStr">
        <is>
          <t>Elk B License: 399-00</t>
        </is>
      </c>
      <c r="D318" s="15" t="inlineStr">
        <is>
          <t>Drawing</t>
        </is>
      </c>
      <c r="E318" s="4" t="inlineStr">
        <is>
          <t>Antlerless Elk</t>
        </is>
      </c>
      <c r="F318" s="4" t="inlineStr">
        <is>
          <t>Sep 05-Oct 18</t>
        </is>
      </c>
      <c r="G318" s="4" t="inlineStr">
        <is>
          <t>Oct 24-Nov 29</t>
        </is>
      </c>
      <c r="H318" s="4" t="inlineStr">
        <is>
          <t>Dec 12-Dec 20</t>
        </is>
      </c>
      <c r="I318" s="4" t="n"/>
      <c r="J318" s="4" t="inlineStr">
        <is>
          <t>Jun 1</t>
        </is>
      </c>
      <c r="K318" s="4" t="inlineStr">
        <is>
          <t>500</t>
        </is>
      </c>
      <c r="L318" s="4" t="inlineStr">
        <is>
          <t>Multi-district license.</t>
        </is>
      </c>
    </row>
    <row r="319">
      <c r="A319" s="4" t="inlineStr">
        <is>
          <t>304</t>
        </is>
      </c>
      <c r="B319" s="4" t="inlineStr">
        <is>
          <t>elk</t>
        </is>
      </c>
      <c r="C319" s="4" t="inlineStr">
        <is>
          <t>General Elk License</t>
        </is>
      </c>
      <c r="D319" s="13" t="inlineStr">
        <is>
          <t>General license</t>
        </is>
      </c>
      <c r="E319" s="4" t="inlineStr">
        <is>
          <t>Brow-tined Bull or Antlerless Elk</t>
        </is>
      </c>
      <c r="F319" s="4" t="inlineStr">
        <is>
          <t>Sep 05-Oct 18</t>
        </is>
      </c>
      <c r="G319" s="4" t="inlineStr">
        <is>
          <t>Oct 24-Nov 29</t>
        </is>
      </c>
      <c r="H319" s="4" t="inlineStr">
        <is>
          <t>Dec 12-Dec 20</t>
        </is>
      </c>
      <c r="I319" s="4" t="n"/>
      <c r="J319" s="4" t="n"/>
      <c r="K319" s="4" t="n"/>
      <c r="L319" s="4" t="n"/>
    </row>
    <row r="320">
      <c r="A320" s="4" t="inlineStr">
        <is>
          <t>304</t>
        </is>
      </c>
      <c r="B320" s="4" t="inlineStr">
        <is>
          <t>elk</t>
        </is>
      </c>
      <c r="C320" s="4" t="inlineStr">
        <is>
          <t>General Elk License</t>
        </is>
      </c>
      <c r="D320" s="13" t="inlineStr">
        <is>
          <t>General license</t>
        </is>
      </c>
      <c r="E320" s="4" t="inlineStr">
        <is>
          <t>Either-sex Elk</t>
        </is>
      </c>
      <c r="F320" s="4" t="inlineStr">
        <is>
          <t>Sep 05-Oct 18</t>
        </is>
      </c>
      <c r="G320" s="4" t="inlineStr">
        <is>
          <t>Oct 24-Nov 29</t>
        </is>
      </c>
      <c r="H320" s="4" t="inlineStr">
        <is>
          <t>Dec 12-Dec 20</t>
        </is>
      </c>
      <c r="I320" s="4" t="n"/>
      <c r="J320" s="4" t="n"/>
      <c r="K320" s="4" t="n"/>
      <c r="L320" s="4" t="inlineStr">
        <is>
          <t>Only youth ages 12-15 and hunters with a PTHFV. LICENSE/PERMIT OPPORTUNITY APPL Y BY DATE QUOTA QUOTA RANGE EARL Y SEASON DATES ARCHERY ONL Y SEASON DATES GENERAL SEASON DATES HERITAGE MUZZLELOADER SEASON DATES LATE SEASON DATES OPPORTUNITY SPECIFIC DETAILS AND/ORRESTRICTIONS</t>
        </is>
      </c>
    </row>
    <row r="321">
      <c r="A321" s="4" t="inlineStr">
        <is>
          <t>309</t>
        </is>
      </c>
      <c r="B321" s="4" t="inlineStr">
        <is>
          <t>elk</t>
        </is>
      </c>
      <c r="C321" s="4" t="inlineStr">
        <is>
          <t>General Elk License</t>
        </is>
      </c>
      <c r="D321" s="13" t="inlineStr">
        <is>
          <t>General license</t>
        </is>
      </c>
      <c r="E321" s="4" t="inlineStr">
        <is>
          <t>Either-sex Elk</t>
        </is>
      </c>
      <c r="F321" s="4" t="n"/>
      <c r="G321" s="4" t="inlineStr">
        <is>
          <t>Sep 05-Nov 29</t>
        </is>
      </c>
      <c r="H321" s="4" t="inlineStr">
        <is>
          <t>Dec 12-Dec 20</t>
        </is>
      </c>
      <c r="I321" s="4" t="n"/>
      <c r="J321" s="4" t="n"/>
      <c r="K321" s="4" t="n"/>
      <c r="L321" s="4" t="n"/>
    </row>
    <row r="322">
      <c r="A322" s="4" t="inlineStr">
        <is>
          <t>309</t>
        </is>
      </c>
      <c r="B322" s="4" t="inlineStr">
        <is>
          <t>elk</t>
        </is>
      </c>
      <c r="C322" s="4" t="inlineStr">
        <is>
          <t>General Elk License</t>
        </is>
      </c>
      <c r="D322" s="13" t="inlineStr">
        <is>
          <t>General license</t>
        </is>
      </c>
      <c r="E322" s="4" t="inlineStr">
        <is>
          <t>Antlerless Elk</t>
        </is>
      </c>
      <c r="F322" s="4" t="n"/>
      <c r="G322" s="4" t="n"/>
      <c r="H322" s="4" t="n"/>
      <c r="I322" s="4" t="inlineStr">
        <is>
          <t>Nov 30-Feb 15</t>
        </is>
      </c>
      <c r="J322" s="4" t="n"/>
      <c r="K322" s="4" t="n"/>
      <c r="L322" s="4" t="n"/>
    </row>
    <row r="323">
      <c r="A323" s="4" t="inlineStr">
        <is>
          <t>309</t>
        </is>
      </c>
      <c r="B323" s="4" t="inlineStr">
        <is>
          <t>elk</t>
        </is>
      </c>
      <c r="C323" s="4" t="inlineStr">
        <is>
          <t>Elk B License: 397-00</t>
        </is>
      </c>
      <c r="D323" s="4" t="inlineStr">
        <is>
          <t>Over the counter</t>
        </is>
      </c>
      <c r="E323" s="4" t="inlineStr">
        <is>
          <t>Antlerless Elk</t>
        </is>
      </c>
      <c r="F323" s="4" t="n"/>
      <c r="G323" s="4" t="n"/>
      <c r="H323" s="4" t="n"/>
      <c r="I323" s="4" t="n"/>
      <c r="J323" s="4" t="inlineStr">
        <is>
          <t>OTC: Jun 15</t>
        </is>
      </c>
      <c r="K323" s="4" t="inlineStr">
        <is>
          <t>UNL</t>
        </is>
      </c>
      <c r="L323" s="4" t="inlineStr">
        <is>
          <t>One per hunter. Multi-district license. Only valid on private land. One per hunter. Multi-district license. Not valid on National Forest Lands.</t>
        </is>
      </c>
    </row>
    <row r="324">
      <c r="A324" s="4" t="inlineStr">
        <is>
          <t>310</t>
        </is>
      </c>
      <c r="B324" s="4" t="inlineStr">
        <is>
          <t>elk</t>
        </is>
      </c>
      <c r="C324" s="4" t="inlineStr">
        <is>
          <t>General Elk License</t>
        </is>
      </c>
      <c r="D324" s="13" t="inlineStr">
        <is>
          <t>General license</t>
        </is>
      </c>
      <c r="E324" s="4" t="inlineStr">
        <is>
          <t>Brow-tined Bull Elk</t>
        </is>
      </c>
      <c r="F324" s="4" t="inlineStr">
        <is>
          <t>Sep 05-Oct 18</t>
        </is>
      </c>
      <c r="G324" s="4" t="inlineStr">
        <is>
          <t>Oct 24-Nov 29</t>
        </is>
      </c>
      <c r="H324" s="4" t="inlineStr">
        <is>
          <t>Dec 12-Dec 20</t>
        </is>
      </c>
      <c r="I324" s="4" t="n"/>
      <c r="J324" s="4" t="n"/>
      <c r="K324" s="4" t="n"/>
      <c r="L324" s="4" t="inlineStr">
        <is>
          <t>Not valid on FWP and National Forest Lands in the Gallatin Special Management Area.</t>
        </is>
      </c>
    </row>
    <row r="325">
      <c r="A325" s="4" t="inlineStr">
        <is>
          <t>310</t>
        </is>
      </c>
      <c r="B325" s="4" t="inlineStr">
        <is>
          <t>elk</t>
        </is>
      </c>
      <c r="C325" s="4" t="inlineStr">
        <is>
          <t>Elk Permit: 310-46</t>
        </is>
      </c>
      <c r="D325" s="15" t="inlineStr">
        <is>
          <t>Drawing</t>
        </is>
      </c>
      <c r="E325" s="4" t="inlineStr">
        <is>
          <t>Brow-tined Bull Elk</t>
        </is>
      </c>
      <c r="F325" s="4" t="inlineStr">
        <is>
          <t>Sep 05-Oct 18</t>
        </is>
      </c>
      <c r="G325" s="4" t="inlineStr">
        <is>
          <t>Oct 24-Nov 29</t>
        </is>
      </c>
      <c r="H325" s="4" t="inlineStr">
        <is>
          <t>Dec 12-Dec 20</t>
        </is>
      </c>
      <c r="I325" s="4" t="n"/>
      <c r="J325" s="4" t="inlineStr">
        <is>
          <t>April 1</t>
        </is>
      </c>
      <c r="K325" s="4" t="inlineStr">
        <is>
          <t>5</t>
        </is>
      </c>
      <c r="L325" s="4" t="inlineStr">
        <is>
          <t xml:space="preserve">Only valid on FWP and National Forest Lands in the Gallatin Special Management Area. Permit must be used with a valid General Elk License. Holders may not hunt Antlered Elk in any other HD during these described season dates. 75 2026 Deer • Elk • Antelope Visit fwp.mt.gov LICENSE/PERMIT OPPORTUNITY </t>
        </is>
      </c>
    </row>
    <row r="326">
      <c r="A326" s="4" t="inlineStr">
        <is>
          <t>311</t>
        </is>
      </c>
      <c r="B326" s="4" t="inlineStr">
        <is>
          <t>elk</t>
        </is>
      </c>
      <c r="C326" s="4" t="inlineStr">
        <is>
          <t>General Elk License</t>
        </is>
      </c>
      <c r="D326" s="13" t="inlineStr">
        <is>
          <t>General license</t>
        </is>
      </c>
      <c r="E326" s="4" t="inlineStr">
        <is>
          <t>Brow-tined Bull or Antlerless Elk</t>
        </is>
      </c>
      <c r="F326" s="4" t="inlineStr">
        <is>
          <t>Sep 05-Oct 18</t>
        </is>
      </c>
      <c r="G326" s="4" t="inlineStr">
        <is>
          <t>Oct 24-Nov 29</t>
        </is>
      </c>
      <c r="H326" s="4" t="inlineStr">
        <is>
          <t>Dec 12-Dec 20</t>
        </is>
      </c>
      <c r="I326" s="4" t="n"/>
      <c r="J326" s="4" t="n"/>
      <c r="K326" s="4" t="n"/>
      <c r="L326" s="4" t="n"/>
    </row>
    <row r="327">
      <c r="A327" s="4" t="inlineStr">
        <is>
          <t>311</t>
        </is>
      </c>
      <c r="B327" s="4" t="inlineStr">
        <is>
          <t>elk</t>
        </is>
      </c>
      <c r="C327" s="4" t="inlineStr">
        <is>
          <t>General Elk License</t>
        </is>
      </c>
      <c r="D327" s="13" t="inlineStr">
        <is>
          <t>General license</t>
        </is>
      </c>
      <c r="E327" s="4" t="inlineStr">
        <is>
          <t>Either-sex Elk</t>
        </is>
      </c>
      <c r="F327" s="4" t="inlineStr">
        <is>
          <t>Sep 05-Oct 18</t>
        </is>
      </c>
      <c r="G327" s="4" t="inlineStr">
        <is>
          <t>Oct 24-Nov 29</t>
        </is>
      </c>
      <c r="H327" s="4" t="inlineStr">
        <is>
          <t>Dec 12-Dec 20</t>
        </is>
      </c>
      <c r="I327" s="4" t="n"/>
      <c r="J327" s="4" t="n"/>
      <c r="K327" s="4" t="n"/>
      <c r="L327" s="4" t="inlineStr">
        <is>
          <t>Only youth ages 12-15 and hunters with a PTHFV.</t>
        </is>
      </c>
    </row>
    <row r="328">
      <c r="A328" s="4" t="inlineStr">
        <is>
          <t>311</t>
        </is>
      </c>
      <c r="B328" s="4" t="inlineStr">
        <is>
          <t>elk</t>
        </is>
      </c>
      <c r="C328" s="4" t="inlineStr">
        <is>
          <t>General Elk License</t>
        </is>
      </c>
      <c r="D328" s="13" t="inlineStr">
        <is>
          <t>General license</t>
        </is>
      </c>
      <c r="E328" s="4" t="inlineStr">
        <is>
          <t>Antlerless Elk</t>
        </is>
      </c>
      <c r="F328" s="4" t="n"/>
      <c r="G328" s="4" t="n"/>
      <c r="H328" s="4" t="n"/>
      <c r="I328" s="4" t="inlineStr">
        <is>
          <t>Nov 30-Feb 15</t>
        </is>
      </c>
      <c r="J328" s="4" t="n"/>
      <c r="K328" s="4" t="n"/>
      <c r="L328" s="4" t="n"/>
    </row>
    <row r="329">
      <c r="A329" s="4" t="inlineStr">
        <is>
          <t>311</t>
        </is>
      </c>
      <c r="B329" s="4" t="inlineStr">
        <is>
          <t>elk</t>
        </is>
      </c>
      <c r="C329" s="4" t="inlineStr">
        <is>
          <t>Elk B License: 397-00</t>
        </is>
      </c>
      <c r="D329" s="4" t="inlineStr">
        <is>
          <t>Over the counter</t>
        </is>
      </c>
      <c r="E329" s="4" t="inlineStr">
        <is>
          <t>Antlerless Elk</t>
        </is>
      </c>
      <c r="F329" s="4" t="n"/>
      <c r="G329" s="4" t="n"/>
      <c r="H329" s="4" t="n"/>
      <c r="I329" s="4" t="n"/>
      <c r="J329" s="4" t="inlineStr">
        <is>
          <t>OTC: Jun 15</t>
        </is>
      </c>
      <c r="K329" s="4" t="inlineStr">
        <is>
          <t>UNL</t>
        </is>
      </c>
      <c r="L329" s="4" t="inlineStr">
        <is>
          <t>One per hunter. Only valid on private land. Multi-district license. One per hunter. Not valid on National Forest Lands. Multi- district license.</t>
        </is>
      </c>
    </row>
    <row r="330">
      <c r="A330" s="4" t="inlineStr">
        <is>
          <t>312</t>
        </is>
      </c>
      <c r="B330" s="4" t="inlineStr">
        <is>
          <t>elk</t>
        </is>
      </c>
      <c r="C330" s="4" t="inlineStr">
        <is>
          <t>General Elk License</t>
        </is>
      </c>
      <c r="D330" s="13" t="inlineStr">
        <is>
          <t>General license</t>
        </is>
      </c>
      <c r="E330" s="4" t="inlineStr">
        <is>
          <t>Brow-tined Bull or Antlerless Elk</t>
        </is>
      </c>
      <c r="F330" s="4" t="inlineStr">
        <is>
          <t>Sep 05-Oct 18</t>
        </is>
      </c>
      <c r="G330" s="4" t="inlineStr">
        <is>
          <t>Oct 24-Nov 29</t>
        </is>
      </c>
      <c r="H330" s="4" t="inlineStr">
        <is>
          <t>Dec 12-Dec 20</t>
        </is>
      </c>
      <c r="I330" s="4" t="n"/>
      <c r="J330" s="4" t="n"/>
      <c r="K330" s="4" t="n"/>
      <c r="L330" s="4" t="n"/>
    </row>
    <row r="331">
      <c r="A331" s="4" t="inlineStr">
        <is>
          <t>312</t>
        </is>
      </c>
      <c r="B331" s="4" t="inlineStr">
        <is>
          <t>elk</t>
        </is>
      </c>
      <c r="C331" s="4" t="inlineStr">
        <is>
          <t>General Elk License</t>
        </is>
      </c>
      <c r="D331" s="13" t="inlineStr">
        <is>
          <t>General license</t>
        </is>
      </c>
      <c r="E331" s="4" t="inlineStr">
        <is>
          <t>Either-sex Elk</t>
        </is>
      </c>
      <c r="F331" s="4" t="inlineStr">
        <is>
          <t>Sep 05-Oct 18</t>
        </is>
      </c>
      <c r="G331" s="4" t="inlineStr">
        <is>
          <t>Oct 24-Nov 29</t>
        </is>
      </c>
      <c r="H331" s="4" t="inlineStr">
        <is>
          <t>Dec 12-Dec 20</t>
        </is>
      </c>
      <c r="I331" s="4" t="n"/>
      <c r="J331" s="4" t="n"/>
      <c r="K331" s="4" t="n"/>
      <c r="L331" s="4" t="inlineStr">
        <is>
          <t>Only youth ages 12-15 and hunters with a PTHFV.</t>
        </is>
      </c>
    </row>
    <row r="332">
      <c r="A332" s="4" t="inlineStr">
        <is>
          <t>312</t>
        </is>
      </c>
      <c r="B332" s="4" t="inlineStr">
        <is>
          <t>elk</t>
        </is>
      </c>
      <c r="C332" s="4" t="inlineStr">
        <is>
          <t>General Elk License</t>
        </is>
      </c>
      <c r="D332" s="13" t="inlineStr">
        <is>
          <t>General license</t>
        </is>
      </c>
      <c r="E332" s="4" t="inlineStr">
        <is>
          <t>Antlerless Elk</t>
        </is>
      </c>
      <c r="F332" s="4" t="n"/>
      <c r="G332" s="4" t="n"/>
      <c r="H332" s="4" t="n"/>
      <c r="I332" s="4" t="inlineStr">
        <is>
          <t>Nov 30-Feb 15</t>
        </is>
      </c>
      <c r="J332" s="4" t="n"/>
      <c r="K332" s="4" t="n"/>
      <c r="L332" s="4" t="inlineStr">
        <is>
          <t>Not valid on National Forest Land.</t>
        </is>
      </c>
    </row>
    <row r="333">
      <c r="A333" s="4" t="inlineStr">
        <is>
          <t>312</t>
        </is>
      </c>
      <c r="B333" s="4" t="inlineStr">
        <is>
          <t>elk</t>
        </is>
      </c>
      <c r="C333" s="4" t="inlineStr">
        <is>
          <t>Elk B License: 397-00</t>
        </is>
      </c>
      <c r="D333" s="4" t="inlineStr">
        <is>
          <t>Over the counter</t>
        </is>
      </c>
      <c r="E333" s="4" t="inlineStr">
        <is>
          <t>Antlerless Elk</t>
        </is>
      </c>
      <c r="F333" s="4" t="n"/>
      <c r="G333" s="4" t="n"/>
      <c r="H333" s="4" t="n"/>
      <c r="I333" s="4" t="n"/>
      <c r="J333" s="4" t="inlineStr">
        <is>
          <t>OTC: Jun 15</t>
        </is>
      </c>
      <c r="K333" s="4" t="inlineStr">
        <is>
          <t>UNL</t>
        </is>
      </c>
      <c r="L333" s="4" t="inlineStr">
        <is>
          <t>One per hunter. Multi-district license. Only valid on private land. One per hunter. Multi-district license. Not valid on National Forest Lands.</t>
        </is>
      </c>
    </row>
    <row r="334">
      <c r="A334" s="4" t="inlineStr">
        <is>
          <t>313</t>
        </is>
      </c>
      <c r="B334" s="4" t="inlineStr">
        <is>
          <t>elk</t>
        </is>
      </c>
      <c r="C334" s="4" t="inlineStr">
        <is>
          <t>General Elk License</t>
        </is>
      </c>
      <c r="D334" s="13" t="inlineStr">
        <is>
          <t>General license</t>
        </is>
      </c>
      <c r="E334" s="4" t="inlineStr">
        <is>
          <t>Brow-tined Bull Elk</t>
        </is>
      </c>
      <c r="F334" s="4" t="inlineStr">
        <is>
          <t>Sep 05-Oct 18</t>
        </is>
      </c>
      <c r="G334" s="4" t="inlineStr">
        <is>
          <t>Oct 24-Nov 15</t>
        </is>
      </c>
      <c r="H334" s="4" t="n"/>
      <c r="I334" s="4" t="n"/>
      <c r="J334" s="4" t="n"/>
      <c r="K334" s="4" t="n"/>
      <c r="L334" s="4" t="n"/>
    </row>
    <row r="335">
      <c r="A335" s="4" t="inlineStr">
        <is>
          <t>313</t>
        </is>
      </c>
      <c r="B335" s="4" t="inlineStr">
        <is>
          <t>elk</t>
        </is>
      </c>
      <c r="C335" s="4" t="inlineStr">
        <is>
          <t>Elk B License: 313-00</t>
        </is>
      </c>
      <c r="D335" s="15" t="inlineStr">
        <is>
          <t>Drawing</t>
        </is>
      </c>
      <c r="E335" s="4" t="inlineStr">
        <is>
          <t>Antlerless Elk</t>
        </is>
      </c>
      <c r="F335" s="4" t="inlineStr">
        <is>
          <t>Sep 05-Oct 18</t>
        </is>
      </c>
      <c r="G335" s="4" t="inlineStr">
        <is>
          <t>Oct 24-Nov 29</t>
        </is>
      </c>
      <c r="H335" s="4" t="inlineStr">
        <is>
          <t>Dec 12-Dec 20</t>
        </is>
      </c>
      <c r="I335" s="4" t="n"/>
      <c r="J335" s="4" t="inlineStr">
        <is>
          <t>Jun 1</t>
        </is>
      </c>
      <c r="K335" s="4" t="inlineStr">
        <is>
          <t>50</t>
        </is>
      </c>
      <c r="L335" s="4" t="inlineStr">
        <is>
          <t>Only youth ages 12-15.</t>
        </is>
      </c>
    </row>
    <row r="336">
      <c r="A336" s="4" t="inlineStr">
        <is>
          <t>313</t>
        </is>
      </c>
      <c r="B336" s="4" t="inlineStr">
        <is>
          <t>elk</t>
        </is>
      </c>
      <c r="C336" s="4" t="inlineStr">
        <is>
          <t>Elk B License: 313-01</t>
        </is>
      </c>
      <c r="D336" s="15" t="inlineStr">
        <is>
          <t>Drawing</t>
        </is>
      </c>
      <c r="E336" s="4" t="inlineStr">
        <is>
          <t>Antlerless Elk</t>
        </is>
      </c>
      <c r="F336" s="4" t="inlineStr">
        <is>
          <t>Sep 05-Oct 18</t>
        </is>
      </c>
      <c r="G336" s="4" t="inlineStr">
        <is>
          <t>Oct 24-Nov 29</t>
        </is>
      </c>
      <c r="H336" s="4" t="inlineStr">
        <is>
          <t>Dec 12-Dec 20</t>
        </is>
      </c>
      <c r="I336" s="4" t="n"/>
      <c r="J336" s="4" t="inlineStr">
        <is>
          <t>Jun 1</t>
        </is>
      </c>
      <c r="K336" s="4" t="inlineStr">
        <is>
          <t>50</t>
        </is>
      </c>
      <c r="L336" s="4" t="n"/>
    </row>
    <row r="337">
      <c r="A337" s="4" t="inlineStr">
        <is>
          <t>313</t>
        </is>
      </c>
      <c r="B337" s="4" t="inlineStr">
        <is>
          <t>elk</t>
        </is>
      </c>
      <c r="C337" s="4" t="inlineStr">
        <is>
          <t>Elk B License: 317-00</t>
        </is>
      </c>
      <c r="D337" s="15" t="inlineStr">
        <is>
          <t>Drawing</t>
        </is>
      </c>
      <c r="E337" s="4" t="inlineStr">
        <is>
          <t>Antlerless Elk</t>
        </is>
      </c>
      <c r="F337" s="4" t="inlineStr">
        <is>
          <t>Sep 05-Oct 18</t>
        </is>
      </c>
      <c r="G337" s="4" t="inlineStr">
        <is>
          <t>Oct 24-Nov 29</t>
        </is>
      </c>
      <c r="H337" s="4" t="n"/>
      <c r="I337" s="4" t="inlineStr">
        <is>
          <t>Nov 30-Feb 15</t>
        </is>
      </c>
      <c r="J337" s="4" t="inlineStr">
        <is>
          <t>Jun 1</t>
        </is>
      </c>
      <c r="K337" s="4" t="inlineStr">
        <is>
          <t>500</t>
        </is>
      </c>
      <c r="L337" s="4" t="inlineStr">
        <is>
          <t>Only valid on private lands in HD 317 and private lands in the portion of HD 313 North of Dome Mountain WMA.</t>
        </is>
      </c>
    </row>
    <row r="338">
      <c r="A338" s="4" t="inlineStr">
        <is>
          <t>313</t>
        </is>
      </c>
      <c r="B338" s="4" t="inlineStr">
        <is>
          <t>elk</t>
        </is>
      </c>
      <c r="C338" s="4" t="inlineStr">
        <is>
          <t>Elk Permit: 313-45</t>
        </is>
      </c>
      <c r="D338" s="15" t="inlineStr">
        <is>
          <t>Drawing</t>
        </is>
      </c>
      <c r="E338" s="4" t="inlineStr">
        <is>
          <t>Brow-tined Bull Elk</t>
        </is>
      </c>
      <c r="F338" s="4" t="n"/>
      <c r="G338" s="4" t="inlineStr">
        <is>
          <t>Nov 16-Nov 29</t>
        </is>
      </c>
      <c r="H338" s="4" t="inlineStr">
        <is>
          <t>Dec 12-Dec 20</t>
        </is>
      </c>
      <c r="I338" s="4" t="n"/>
      <c r="J338" s="4" t="inlineStr">
        <is>
          <t>April 1</t>
        </is>
      </c>
      <c r="K338" s="4" t="inlineStr">
        <is>
          <t>50</t>
        </is>
      </c>
      <c r="L338" s="4" t="inlineStr">
        <is>
          <t>Permit must be used with a valid General Elk License. Holders may not hunt Antlered Elk in any other HD during these described season dates.</t>
        </is>
      </c>
    </row>
    <row r="339">
      <c r="A339" s="4" t="inlineStr">
        <is>
          <t>314</t>
        </is>
      </c>
      <c r="B339" s="4" t="inlineStr">
        <is>
          <t>elk</t>
        </is>
      </c>
      <c r="C339" s="4" t="inlineStr">
        <is>
          <t>General Elk License</t>
        </is>
      </c>
      <c r="D339" s="13" t="inlineStr">
        <is>
          <t>General license</t>
        </is>
      </c>
      <c r="E339" s="4" t="inlineStr">
        <is>
          <t>Brow-tined Bull or Antlerless Elk</t>
        </is>
      </c>
      <c r="F339" s="4" t="inlineStr">
        <is>
          <t>Sep 05-Oct 18</t>
        </is>
      </c>
      <c r="G339" s="4" t="n"/>
      <c r="H339" s="4" t="n"/>
      <c r="I339" s="4" t="n"/>
      <c r="J339" s="4" t="n"/>
      <c r="K339" s="4" t="n"/>
      <c r="L339" s="4" t="n"/>
    </row>
    <row r="340">
      <c r="A340" s="4" t="inlineStr">
        <is>
          <t>314</t>
        </is>
      </c>
      <c r="B340" s="4" t="inlineStr">
        <is>
          <t>elk</t>
        </is>
      </c>
      <c r="C340" s="4" t="inlineStr">
        <is>
          <t>General Elk License</t>
        </is>
      </c>
      <c r="D340" s="13" t="inlineStr">
        <is>
          <t>General license</t>
        </is>
      </c>
      <c r="E340" s="4" t="inlineStr">
        <is>
          <t>Either-sex Elk</t>
        </is>
      </c>
      <c r="F340" s="4" t="inlineStr">
        <is>
          <t>Sep 05-Oct 18</t>
        </is>
      </c>
      <c r="G340" s="4" t="inlineStr">
        <is>
          <t>Oct 24-Nov 29</t>
        </is>
      </c>
      <c r="H340" s="4" t="inlineStr">
        <is>
          <t>Dec 12-Dec 20</t>
        </is>
      </c>
      <c r="I340" s="4" t="n"/>
      <c r="J340" s="4" t="n"/>
      <c r="K340" s="4" t="n"/>
      <c r="L340" s="4" t="inlineStr">
        <is>
          <t>Only youth ages 12-15 and hunters with a PTHFV. Resident hunters 75 years old and older may harvest an antlerless elk on private land.</t>
        </is>
      </c>
    </row>
    <row r="341">
      <c r="A341" s="4" t="inlineStr">
        <is>
          <t>314</t>
        </is>
      </c>
      <c r="B341" s="4" t="inlineStr">
        <is>
          <t>elk</t>
        </is>
      </c>
      <c r="C341" s="4" t="inlineStr">
        <is>
          <t>General Elk License</t>
        </is>
      </c>
      <c r="D341" s="13" t="inlineStr">
        <is>
          <t>General license</t>
        </is>
      </c>
      <c r="E341" s="4" t="inlineStr">
        <is>
          <t>Brow-tined Bull Elk</t>
        </is>
      </c>
      <c r="F341" s="4" t="n"/>
      <c r="G341" s="4" t="inlineStr">
        <is>
          <t>Oct 24-Nov 29</t>
        </is>
      </c>
      <c r="H341" s="4" t="inlineStr">
        <is>
          <t>Dec 12-Dec 20</t>
        </is>
      </c>
      <c r="I341" s="4" t="n"/>
      <c r="J341" s="4" t="n"/>
      <c r="K341" s="4" t="n"/>
      <c r="L341" s="4" t="inlineStr">
        <is>
          <t>Only valid south of Rock Creek.</t>
        </is>
      </c>
    </row>
    <row r="342">
      <c r="A342" s="4" t="inlineStr">
        <is>
          <t>314</t>
        </is>
      </c>
      <c r="B342" s="4" t="inlineStr">
        <is>
          <t>elk</t>
        </is>
      </c>
      <c r="C342" s="4" t="inlineStr">
        <is>
          <t>General Elk License</t>
        </is>
      </c>
      <c r="D342" s="13" t="inlineStr">
        <is>
          <t>General license</t>
        </is>
      </c>
      <c r="E342" s="4" t="inlineStr">
        <is>
          <t>Brow-tined Bull or Antlerless Elk</t>
        </is>
      </c>
      <c r="F342" s="4" t="n"/>
      <c r="G342" s="4" t="inlineStr">
        <is>
          <t>Oct 24-Nov 29</t>
        </is>
      </c>
      <c r="H342" s="4" t="inlineStr">
        <is>
          <t>Dec 12-Dec 20</t>
        </is>
      </c>
      <c r="I342" s="4" t="n"/>
      <c r="J342" s="4" t="n"/>
      <c r="K342" s="4" t="n"/>
      <c r="L342" s="4" t="inlineStr">
        <is>
          <t>Only valid north of Rock Creek.</t>
        </is>
      </c>
    </row>
    <row r="343">
      <c r="A343" s="4" t="inlineStr">
        <is>
          <t>314</t>
        </is>
      </c>
      <c r="B343" s="4" t="inlineStr">
        <is>
          <t>elk</t>
        </is>
      </c>
      <c r="C343" s="4" t="inlineStr">
        <is>
          <t>General Elk License</t>
        </is>
      </c>
      <c r="D343" s="13" t="inlineStr">
        <is>
          <t>General license</t>
        </is>
      </c>
      <c r="E343" s="4" t="inlineStr">
        <is>
          <t>Antlerless Elk</t>
        </is>
      </c>
      <c r="F343" s="4" t="n"/>
      <c r="G343" s="4" t="n"/>
      <c r="H343" s="4" t="n"/>
      <c r="I343" s="4" t="inlineStr">
        <is>
          <t>Nov 30-Feb 15</t>
        </is>
      </c>
      <c r="J343" s="4" t="n"/>
      <c r="K343" s="4" t="n"/>
      <c r="L343" s="4" t="inlineStr">
        <is>
          <t>Only valid north of Rock Creek. Not valid on National Forest lands.</t>
        </is>
      </c>
    </row>
    <row r="344">
      <c r="A344" s="4" t="inlineStr">
        <is>
          <t>314</t>
        </is>
      </c>
      <c r="B344" s="4" t="inlineStr">
        <is>
          <t>elk</t>
        </is>
      </c>
      <c r="C344" s="4" t="inlineStr">
        <is>
          <t>Elk B License: 397-00</t>
        </is>
      </c>
      <c r="D344" s="4" t="inlineStr">
        <is>
          <t>Over the counter</t>
        </is>
      </c>
      <c r="E344" s="4" t="inlineStr">
        <is>
          <t>Antlerless Elk</t>
        </is>
      </c>
      <c r="F344" s="4" t="n"/>
      <c r="G344" s="4" t="n"/>
      <c r="H344" s="4" t="n"/>
      <c r="I344" s="4" t="n"/>
      <c r="J344" s="4" t="inlineStr">
        <is>
          <t>OTC: Jun 15</t>
        </is>
      </c>
      <c r="K344" s="4" t="inlineStr">
        <is>
          <t>UNL</t>
        </is>
      </c>
      <c r="L344" s="4" t="inlineStr">
        <is>
          <t>One per hunter. Multi-district license. In HD 314, only valid north of Rock Creek. Only valid on private land. One per hunter. Multi-district license. In HD 314, only valid north of Rock Creek. Not valid on National Forest Lands.</t>
        </is>
      </c>
    </row>
    <row r="345">
      <c r="A345" s="4" t="inlineStr">
        <is>
          <t>315</t>
        </is>
      </c>
      <c r="B345" s="4" t="inlineStr">
        <is>
          <t>elk</t>
        </is>
      </c>
      <c r="C345" s="4" t="inlineStr">
        <is>
          <t>General Elk License</t>
        </is>
      </c>
      <c r="D345" s="13" t="inlineStr">
        <is>
          <t>General license</t>
        </is>
      </c>
      <c r="E345" s="4" t="inlineStr">
        <is>
          <t>Either-sex Elk</t>
        </is>
      </c>
      <c r="F345" s="4" t="inlineStr">
        <is>
          <t>Sep 05-Oct 18</t>
        </is>
      </c>
      <c r="G345" s="4" t="inlineStr">
        <is>
          <t>Oct 24-Nov 29</t>
        </is>
      </c>
      <c r="H345" s="4" t="inlineStr">
        <is>
          <t>Dec 12-Dec 20</t>
        </is>
      </c>
      <c r="I345" s="4" t="n"/>
      <c r="J345" s="4" t="n"/>
      <c r="K345" s="4" t="n"/>
      <c r="L345" s="4" t="n"/>
    </row>
    <row r="346">
      <c r="A346" s="4" t="inlineStr">
        <is>
          <t>315</t>
        </is>
      </c>
      <c r="B346" s="4" t="inlineStr">
        <is>
          <t>elk</t>
        </is>
      </c>
      <c r="C346" s="4" t="inlineStr">
        <is>
          <t>General Elk License</t>
        </is>
      </c>
      <c r="D346" s="13" t="inlineStr">
        <is>
          <t>General license</t>
        </is>
      </c>
      <c r="E346" s="4" t="inlineStr">
        <is>
          <t>Antlerless Elk</t>
        </is>
      </c>
      <c r="F346" s="4" t="n"/>
      <c r="G346" s="4" t="n"/>
      <c r="H346" s="4" t="n"/>
      <c r="I346" s="4" t="inlineStr">
        <is>
          <t>Nov 30-Feb 15</t>
        </is>
      </c>
      <c r="J346" s="4" t="n"/>
      <c r="K346" s="4" t="n"/>
      <c r="L346" s="4" t="inlineStr">
        <is>
          <t>Not valid on National Forest Lands.</t>
        </is>
      </c>
    </row>
    <row r="347">
      <c r="A347" s="4" t="inlineStr">
        <is>
          <t>315</t>
        </is>
      </c>
      <c r="B347" s="4" t="inlineStr">
        <is>
          <t>elk</t>
        </is>
      </c>
      <c r="C347" s="4" t="inlineStr">
        <is>
          <t>Elk B License: 397-00</t>
        </is>
      </c>
      <c r="D347" s="4" t="inlineStr">
        <is>
          <t>Over the counter</t>
        </is>
      </c>
      <c r="E347" s="4" t="inlineStr">
        <is>
          <t>Antlerless Elk</t>
        </is>
      </c>
      <c r="F347" s="4" t="n"/>
      <c r="G347" s="4" t="n"/>
      <c r="H347" s="4" t="n"/>
      <c r="I347" s="4" t="n"/>
      <c r="J347" s="4" t="inlineStr">
        <is>
          <t>OTC: Jun 15</t>
        </is>
      </c>
      <c r="K347" s="4" t="inlineStr">
        <is>
          <t>UNL</t>
        </is>
      </c>
      <c r="L347" s="4" t="inlineStr">
        <is>
          <t>One per hunter. Multi-district license. Only valid on private land. One per hunter. Multi-district license. Not valid on National Forest Lands. LICENSE/PERMIT OPPORTUNITY APPL Y BY DATE QUOTA QUOTA RANGE EARL Y SEASON DATES ARCHERY ONL Y SEASON DATES GENERAL SEASON DATES HERITAGE MUZZLELOADER SEASON</t>
        </is>
      </c>
    </row>
    <row r="348">
      <c r="A348" s="4" t="inlineStr">
        <is>
          <t>316</t>
        </is>
      </c>
      <c r="B348" s="4" t="inlineStr">
        <is>
          <t>elk</t>
        </is>
      </c>
      <c r="C348" s="4" t="inlineStr">
        <is>
          <t>General Elk License</t>
        </is>
      </c>
      <c r="D348" s="13" t="inlineStr">
        <is>
          <t>General license</t>
        </is>
      </c>
      <c r="E348" s="4" t="inlineStr">
        <is>
          <t>Either-sex Elk</t>
        </is>
      </c>
      <c r="F348" s="4" t="n"/>
      <c r="G348" s="4" t="inlineStr">
        <is>
          <t>Sep 15-Oct 23</t>
        </is>
      </c>
      <c r="H348" s="4" t="n"/>
      <c r="I348" s="4" t="n"/>
      <c r="J348" s="4" t="n"/>
      <c r="K348" s="4" t="n"/>
      <c r="L348" s="4" t="n"/>
    </row>
    <row r="349">
      <c r="A349" s="4" t="inlineStr">
        <is>
          <t>316</t>
        </is>
      </c>
      <c r="B349" s="4" t="inlineStr">
        <is>
          <t>elk</t>
        </is>
      </c>
      <c r="C349" s="4" t="inlineStr">
        <is>
          <t>General Elk License</t>
        </is>
      </c>
      <c r="D349" s="13" t="inlineStr">
        <is>
          <t>General license</t>
        </is>
      </c>
      <c r="E349" s="4" t="inlineStr">
        <is>
          <t>Antlered Bull Elk</t>
        </is>
      </c>
      <c r="F349" s="4" t="n"/>
      <c r="G349" s="4" t="inlineStr">
        <is>
          <t>Oct 24-Nov 29</t>
        </is>
      </c>
      <c r="H349" s="4" t="inlineStr">
        <is>
          <t>Dec 12-Dec 20</t>
        </is>
      </c>
      <c r="I349" s="4" t="n"/>
      <c r="J349" s="4" t="n"/>
      <c r="K349" s="4" t="n"/>
      <c r="L349" s="4" t="n"/>
    </row>
    <row r="350">
      <c r="A350" s="4" t="inlineStr">
        <is>
          <t>316</t>
        </is>
      </c>
      <c r="B350" s="4" t="inlineStr">
        <is>
          <t>elk</t>
        </is>
      </c>
      <c r="C350" s="4" t="inlineStr">
        <is>
          <t>General Elk License</t>
        </is>
      </c>
      <c r="D350" s="13" t="inlineStr">
        <is>
          <t>General license</t>
        </is>
      </c>
      <c r="E350" s="4" t="inlineStr">
        <is>
          <t>Either-sex Elk</t>
        </is>
      </c>
      <c r="F350" s="4" t="n"/>
      <c r="G350" s="4" t="inlineStr">
        <is>
          <t>Oct 24-Nov 29</t>
        </is>
      </c>
      <c r="H350" s="4" t="inlineStr">
        <is>
          <t>Dec 12-Dec 20</t>
        </is>
      </c>
      <c r="I350" s="4" t="n"/>
      <c r="J350" s="4" t="n"/>
      <c r="K350" s="4" t="n"/>
      <c r="L350" s="4" t="inlineStr">
        <is>
          <t>Only youth ages 12-15 and hunters with a PTHFV. Resident hunters 75 years old and older may harvest an antlerless elk on private land.</t>
        </is>
      </c>
    </row>
    <row r="351">
      <c r="A351" s="4" t="inlineStr">
        <is>
          <t>317</t>
        </is>
      </c>
      <c r="B351" s="4" t="inlineStr">
        <is>
          <t>elk</t>
        </is>
      </c>
      <c r="C351" s="4" t="inlineStr">
        <is>
          <t>General Elk License</t>
        </is>
      </c>
      <c r="D351" s="13" t="inlineStr">
        <is>
          <t>General license</t>
        </is>
      </c>
      <c r="E351" s="4" t="inlineStr">
        <is>
          <t>Brow-tined Bull or Antlerless Elk</t>
        </is>
      </c>
      <c r="F351" s="4" t="inlineStr">
        <is>
          <t>Sep 05-Oct 18</t>
        </is>
      </c>
      <c r="G351" s="4" t="inlineStr">
        <is>
          <t>Oct 24-Nov 29</t>
        </is>
      </c>
      <c r="H351" s="4" t="inlineStr">
        <is>
          <t>Dec 12-Dec 20</t>
        </is>
      </c>
      <c r="I351" s="4" t="n"/>
      <c r="J351" s="4" t="n"/>
      <c r="K351" s="4" t="n"/>
      <c r="L351" s="4" t="n"/>
    </row>
    <row r="352">
      <c r="A352" s="4" t="inlineStr">
        <is>
          <t>317</t>
        </is>
      </c>
      <c r="B352" s="4" t="inlineStr">
        <is>
          <t>elk</t>
        </is>
      </c>
      <c r="C352" s="4" t="inlineStr">
        <is>
          <t>General Elk License</t>
        </is>
      </c>
      <c r="D352" s="13" t="inlineStr">
        <is>
          <t>General license</t>
        </is>
      </c>
      <c r="E352" s="4" t="inlineStr">
        <is>
          <t>Either-sex Elk</t>
        </is>
      </c>
      <c r="F352" s="4" t="inlineStr">
        <is>
          <t>Sep 05-Oct 18</t>
        </is>
      </c>
      <c r="G352" s="4" t="inlineStr">
        <is>
          <t>Oct 24-Nov 29</t>
        </is>
      </c>
      <c r="H352" s="4" t="inlineStr">
        <is>
          <t>Dec 12-Dec 20</t>
        </is>
      </c>
      <c r="I352" s="4" t="n"/>
      <c r="J352" s="4" t="n"/>
      <c r="K352" s="4" t="n"/>
      <c r="L352" s="4" t="inlineStr">
        <is>
          <t>Only youth ages 12-15 and hunters with a PTHFV.</t>
        </is>
      </c>
    </row>
    <row r="353">
      <c r="A353" s="4" t="inlineStr">
        <is>
          <t>317</t>
        </is>
      </c>
      <c r="B353" s="4" t="inlineStr">
        <is>
          <t>elk</t>
        </is>
      </c>
      <c r="C353" s="4" t="inlineStr">
        <is>
          <t>Elk B License: 317-00</t>
        </is>
      </c>
      <c r="D353" s="15" t="inlineStr">
        <is>
          <t>Drawing</t>
        </is>
      </c>
      <c r="E353" s="4" t="inlineStr">
        <is>
          <t>Antlerless Elk</t>
        </is>
      </c>
      <c r="F353" s="4" t="inlineStr">
        <is>
          <t>Sep 05-Oct 18</t>
        </is>
      </c>
      <c r="G353" s="4" t="inlineStr">
        <is>
          <t>Oct 24-Nov 29</t>
        </is>
      </c>
      <c r="H353" s="4" t="n"/>
      <c r="I353" s="4" t="inlineStr">
        <is>
          <t>Nov 30-Feb 15</t>
        </is>
      </c>
      <c r="J353" s="4" t="inlineStr">
        <is>
          <t>Jun 1</t>
        </is>
      </c>
      <c r="K353" s="4" t="inlineStr">
        <is>
          <t>500</t>
        </is>
      </c>
      <c r="L353" s="4" t="inlineStr">
        <is>
          <t>Only valid on private lands in HD 317 and private lands in the portion of HD 313 North of Dome Mountain WMA.</t>
        </is>
      </c>
    </row>
    <row r="354">
      <c r="A354" s="4" t="inlineStr">
        <is>
          <t>318</t>
        </is>
      </c>
      <c r="B354" s="4" t="inlineStr">
        <is>
          <t>elk</t>
        </is>
      </c>
      <c r="C354" s="4" t="inlineStr">
        <is>
          <t>General Elk License</t>
        </is>
      </c>
      <c r="D354" s="13" t="inlineStr">
        <is>
          <t>General license</t>
        </is>
      </c>
      <c r="E354" s="4" t="inlineStr">
        <is>
          <t>Brow-tined Bull or Antlerless Elk</t>
        </is>
      </c>
      <c r="F354" s="4" t="inlineStr">
        <is>
          <t>Sep 05-Oct 18</t>
        </is>
      </c>
      <c r="G354" s="4" t="n"/>
      <c r="H354" s="4" t="n"/>
      <c r="I354" s="4" t="n"/>
      <c r="J354" s="4" t="n"/>
      <c r="K354" s="4" t="n"/>
      <c r="L354" s="4" t="n"/>
    </row>
    <row r="355">
      <c r="A355" s="4" t="inlineStr">
        <is>
          <t>318</t>
        </is>
      </c>
      <c r="B355" s="4" t="inlineStr">
        <is>
          <t>elk</t>
        </is>
      </c>
      <c r="C355" s="4" t="inlineStr">
        <is>
          <t>General Elk License</t>
        </is>
      </c>
      <c r="D355" s="13" t="inlineStr">
        <is>
          <t>General license</t>
        </is>
      </c>
      <c r="E355" s="4" t="inlineStr">
        <is>
          <t>Either-sex Elk</t>
        </is>
      </c>
      <c r="F355" s="4" t="inlineStr">
        <is>
          <t>Sep 05-Oct 18</t>
        </is>
      </c>
      <c r="G355" s="4" t="inlineStr">
        <is>
          <t>Oct 24-Nov 29</t>
        </is>
      </c>
      <c r="H355" s="4" t="inlineStr">
        <is>
          <t>Dec 12-Dec 20</t>
        </is>
      </c>
      <c r="I355" s="4" t="n"/>
      <c r="J355" s="4" t="n"/>
      <c r="K355" s="4" t="n"/>
      <c r="L355" s="4" t="inlineStr">
        <is>
          <t>Only youth ages 12-15 and hunters with a PTHFV. Resident hunters 75 years old and older may harvest an antlerless elk on private land.</t>
        </is>
      </c>
    </row>
    <row r="356">
      <c r="A356" s="4" t="inlineStr">
        <is>
          <t>318</t>
        </is>
      </c>
      <c r="B356" s="4" t="inlineStr">
        <is>
          <t>elk</t>
        </is>
      </c>
      <c r="C356" s="4" t="inlineStr">
        <is>
          <t>General Elk License</t>
        </is>
      </c>
      <c r="D356" s="13" t="inlineStr">
        <is>
          <t>General license</t>
        </is>
      </c>
      <c r="E356" s="4" t="inlineStr">
        <is>
          <t>Brow-tined Bull Elk</t>
        </is>
      </c>
      <c r="F356" s="4" t="n"/>
      <c r="G356" s="4" t="inlineStr">
        <is>
          <t>Oct 24-Nov 29</t>
        </is>
      </c>
      <c r="H356" s="4" t="inlineStr">
        <is>
          <t>Dec 12-Dec 20</t>
        </is>
      </c>
      <c r="I356" s="4" t="n"/>
      <c r="J356" s="4" t="n"/>
      <c r="K356" s="4" t="n"/>
      <c r="L356" s="4" t="n"/>
    </row>
    <row r="357">
      <c r="A357" s="4" t="inlineStr">
        <is>
          <t>318</t>
        </is>
      </c>
      <c r="B357" s="4" t="inlineStr">
        <is>
          <t>elk</t>
        </is>
      </c>
      <c r="C357" s="4" t="inlineStr">
        <is>
          <t>Elk B License: 394-00</t>
        </is>
      </c>
      <c r="D357" s="15" t="inlineStr">
        <is>
          <t>Drawing</t>
        </is>
      </c>
      <c r="E357" s="4" t="inlineStr">
        <is>
          <t>Antlerless Elk</t>
        </is>
      </c>
      <c r="F357" s="4" t="inlineStr">
        <is>
          <t>Sep 05-Oct 18</t>
        </is>
      </c>
      <c r="G357" s="4" t="inlineStr">
        <is>
          <t>Oct 24-Nov 29</t>
        </is>
      </c>
      <c r="H357" s="4" t="inlineStr">
        <is>
          <t>Dec 12-Dec 20</t>
        </is>
      </c>
      <c r="I357" s="4" t="n"/>
      <c r="J357" s="4" t="inlineStr">
        <is>
          <t>Jun 1</t>
        </is>
      </c>
      <c r="K357" s="4" t="inlineStr">
        <is>
          <t>400</t>
        </is>
      </c>
      <c r="L357" s="4" t="inlineStr">
        <is>
          <t>Valid in HDs 318 and 335.</t>
        </is>
      </c>
    </row>
    <row r="358">
      <c r="A358" s="4" t="inlineStr">
        <is>
          <t>319</t>
        </is>
      </c>
      <c r="B358" s="4" t="inlineStr">
        <is>
          <t>elk</t>
        </is>
      </c>
      <c r="C358" s="4" t="inlineStr">
        <is>
          <t>General Elk License</t>
        </is>
      </c>
      <c r="D358" s="13" t="inlineStr">
        <is>
          <t>General license</t>
        </is>
      </c>
      <c r="E358" s="4" t="inlineStr">
        <is>
          <t>Brow-tined Bull or Antlerless Elk</t>
        </is>
      </c>
      <c r="F358" s="4" t="inlineStr">
        <is>
          <t>Sep 05-Oct 18</t>
        </is>
      </c>
      <c r="G358" s="4" t="inlineStr">
        <is>
          <t>Oct 24-Nov 08</t>
        </is>
      </c>
      <c r="H358" s="4" t="n"/>
      <c r="I358" s="4" t="n"/>
      <c r="J358" s="4" t="n"/>
      <c r="K358" s="4" t="n"/>
      <c r="L358" s="4" t="n"/>
    </row>
    <row r="359">
      <c r="A359" s="4" t="inlineStr">
        <is>
          <t>319</t>
        </is>
      </c>
      <c r="B359" s="4" t="inlineStr">
        <is>
          <t>elk</t>
        </is>
      </c>
      <c r="C359" s="4" t="inlineStr">
        <is>
          <t>General Elk License</t>
        </is>
      </c>
      <c r="D359" s="13" t="inlineStr">
        <is>
          <t>General license</t>
        </is>
      </c>
      <c r="E359" s="4" t="inlineStr">
        <is>
          <t>Either-sex Elk</t>
        </is>
      </c>
      <c r="F359" s="4" t="inlineStr">
        <is>
          <t>Sep 05-Oct 18</t>
        </is>
      </c>
      <c r="G359" s="4" t="inlineStr">
        <is>
          <t>Oct 24-Nov 29</t>
        </is>
      </c>
      <c r="H359" s="4" t="inlineStr">
        <is>
          <t>Dec 12-Dec 20</t>
        </is>
      </c>
      <c r="I359" s="4" t="n"/>
      <c r="J359" s="4" t="n"/>
      <c r="K359" s="4" t="n"/>
      <c r="L359" s="4" t="inlineStr">
        <is>
          <t>Only youth ages 12-15 and hunters with a PTHFV. Resident hunters 75 years old and older may harvest an antlerless elk on private land.</t>
        </is>
      </c>
    </row>
    <row r="360">
      <c r="A360" s="4" t="inlineStr">
        <is>
          <t>319</t>
        </is>
      </c>
      <c r="B360" s="4" t="inlineStr">
        <is>
          <t>elk</t>
        </is>
      </c>
      <c r="C360" s="4" t="inlineStr">
        <is>
          <t>General Elk License</t>
        </is>
      </c>
      <c r="D360" s="13" t="inlineStr">
        <is>
          <t>General license</t>
        </is>
      </c>
      <c r="E360" s="4" t="inlineStr">
        <is>
          <t>Brow-tined Bull Elk</t>
        </is>
      </c>
      <c r="F360" s="4" t="n"/>
      <c r="G360" s="4" t="inlineStr">
        <is>
          <t>Nov 09-Nov 29</t>
        </is>
      </c>
      <c r="H360" s="4" t="inlineStr">
        <is>
          <t>Dec 12-Dec 20</t>
        </is>
      </c>
      <c r="I360" s="4" t="n"/>
      <c r="J360" s="4" t="n"/>
      <c r="K360" s="4" t="n"/>
      <c r="L360" s="4" t="n"/>
    </row>
    <row r="361">
      <c r="A361" s="4" t="inlineStr">
        <is>
          <t>319</t>
        </is>
      </c>
      <c r="B361" s="4" t="inlineStr">
        <is>
          <t>elk</t>
        </is>
      </c>
      <c r="C361" s="4" t="inlineStr">
        <is>
          <t>Elk B License: 319-00</t>
        </is>
      </c>
      <c r="D361" s="15" t="inlineStr">
        <is>
          <t>Drawing</t>
        </is>
      </c>
      <c r="E361" s="4" t="inlineStr">
        <is>
          <t>Antlerless Elk</t>
        </is>
      </c>
      <c r="F361" s="4" t="inlineStr">
        <is>
          <t>Sep 05-Oct 18</t>
        </is>
      </c>
      <c r="G361" s="4" t="inlineStr">
        <is>
          <t>Oct 24-Nov 29</t>
        </is>
      </c>
      <c r="H361" s="4" t="inlineStr">
        <is>
          <t>Dec 12-Dec 20</t>
        </is>
      </c>
      <c r="I361" s="4" t="n"/>
      <c r="J361" s="4" t="inlineStr">
        <is>
          <t>Jun 1</t>
        </is>
      </c>
      <c r="K361" s="4" t="inlineStr">
        <is>
          <t>500</t>
        </is>
      </c>
      <c r="L361" s="4" t="n"/>
    </row>
    <row r="362">
      <c r="A362" s="4" t="inlineStr">
        <is>
          <t>320</t>
        </is>
      </c>
      <c r="B362" s="4" t="inlineStr">
        <is>
          <t>elk</t>
        </is>
      </c>
      <c r="C362" s="4" t="inlineStr">
        <is>
          <t>General Elk License</t>
        </is>
      </c>
      <c r="D362" s="13" t="inlineStr">
        <is>
          <t>General license</t>
        </is>
      </c>
      <c r="E362" s="4" t="inlineStr">
        <is>
          <t>Brow-tined Bull or Antlerless Elk</t>
        </is>
      </c>
      <c r="F362" s="4" t="inlineStr">
        <is>
          <t>Sep 05-Oct 18</t>
        </is>
      </c>
      <c r="G362" s="4" t="inlineStr">
        <is>
          <t>Oct 24-Nov 29</t>
        </is>
      </c>
      <c r="H362" s="4" t="inlineStr">
        <is>
          <t>Dec 12-Dec 20</t>
        </is>
      </c>
      <c r="I362" s="4" t="n"/>
      <c r="J362" s="4" t="n"/>
      <c r="K362" s="4" t="n"/>
      <c r="L362" s="4" t="n"/>
    </row>
    <row r="363">
      <c r="A363" s="4" t="inlineStr">
        <is>
          <t>320</t>
        </is>
      </c>
      <c r="B363" s="4" t="inlineStr">
        <is>
          <t>elk</t>
        </is>
      </c>
      <c r="C363" s="4" t="inlineStr">
        <is>
          <t>General Elk License</t>
        </is>
      </c>
      <c r="D363" s="13" t="inlineStr">
        <is>
          <t>General license</t>
        </is>
      </c>
      <c r="E363" s="4" t="inlineStr">
        <is>
          <t>Either-sex Elk</t>
        </is>
      </c>
      <c r="F363" s="4" t="inlineStr">
        <is>
          <t>Sep 05-Oct 18</t>
        </is>
      </c>
      <c r="G363" s="4" t="inlineStr">
        <is>
          <t>Oct 24-Nov 29</t>
        </is>
      </c>
      <c r="H363" s="4" t="inlineStr">
        <is>
          <t>Dec 12-Dec 20</t>
        </is>
      </c>
      <c r="I363" s="4" t="n"/>
      <c r="J363" s="4" t="n"/>
      <c r="K363" s="4" t="n"/>
      <c r="L363" s="4" t="inlineStr">
        <is>
          <t>Only youth ages 12-15 and hunters with a PTHFV.</t>
        </is>
      </c>
    </row>
    <row r="364">
      <c r="A364" s="4" t="inlineStr">
        <is>
          <t>320</t>
        </is>
      </c>
      <c r="B364" s="4" t="inlineStr">
        <is>
          <t>elk</t>
        </is>
      </c>
      <c r="C364" s="4" t="inlineStr">
        <is>
          <t>Elk B License: 320-00</t>
        </is>
      </c>
      <c r="D364" s="15" t="inlineStr">
        <is>
          <t>Drawing</t>
        </is>
      </c>
      <c r="E364" s="4" t="inlineStr">
        <is>
          <t>Antlerless Elk</t>
        </is>
      </c>
      <c r="F364" s="4" t="inlineStr">
        <is>
          <t>Sep 05-Oct 18</t>
        </is>
      </c>
      <c r="G364" s="4" t="inlineStr">
        <is>
          <t>Oct 24-Nov 29</t>
        </is>
      </c>
      <c r="H364" s="4" t="inlineStr">
        <is>
          <t>Dec 12-Dec 20</t>
        </is>
      </c>
      <c r="I364" s="4" t="n"/>
      <c r="J364" s="4" t="inlineStr">
        <is>
          <t>Jun 1</t>
        </is>
      </c>
      <c r="K364" s="4" t="inlineStr">
        <is>
          <t>200</t>
        </is>
      </c>
      <c r="L364" s="4" t="inlineStr">
        <is>
          <t>Not valid on National Forest Lands. LICENSE/PERMIT OPPORTUNITY APPL Y BY DATE QUOTA QUOTA RANGE EARL Y SEASON DATES ARCHERY ONL Y SEASON DATES GENERAL SEASON DATES HERITAGE MUZZLELOADER SEASON DATES LATE SEASON DATES OPPORTUNITY SPECIFIC DETAILS AND/ORRESTRICTIONS</t>
        </is>
      </c>
    </row>
    <row r="365">
      <c r="A365" s="4" t="inlineStr">
        <is>
          <t>321</t>
        </is>
      </c>
      <c r="B365" s="4" t="inlineStr">
        <is>
          <t>elk</t>
        </is>
      </c>
      <c r="C365" s="4" t="inlineStr">
        <is>
          <t>General Elk License</t>
        </is>
      </c>
      <c r="D365" s="13" t="inlineStr">
        <is>
          <t>General license</t>
        </is>
      </c>
      <c r="E365" s="4" t="inlineStr">
        <is>
          <t>Brow-tined Bull or Antlerless Elk</t>
        </is>
      </c>
      <c r="F365" s="4" t="inlineStr">
        <is>
          <t>Sep 05-Oct 18</t>
        </is>
      </c>
      <c r="G365" s="4" t="inlineStr">
        <is>
          <t>Oct 24-Nov 29</t>
        </is>
      </c>
      <c r="H365" s="4" t="inlineStr">
        <is>
          <t>Dec 12-Dec 20</t>
        </is>
      </c>
      <c r="I365" s="4" t="n"/>
      <c r="J365" s="4" t="n"/>
      <c r="K365" s="4" t="n"/>
      <c r="L365" s="4" t="n"/>
    </row>
    <row r="366">
      <c r="A366" s="4" t="inlineStr">
        <is>
          <t>321</t>
        </is>
      </c>
      <c r="B366" s="4" t="inlineStr">
        <is>
          <t>elk</t>
        </is>
      </c>
      <c r="C366" s="4" t="inlineStr">
        <is>
          <t>General Elk License</t>
        </is>
      </c>
      <c r="D366" s="13" t="inlineStr">
        <is>
          <t>General license</t>
        </is>
      </c>
      <c r="E366" s="4" t="inlineStr">
        <is>
          <t>Either-sex Elk</t>
        </is>
      </c>
      <c r="F366" s="4" t="inlineStr">
        <is>
          <t>Sep 05-Oct 18</t>
        </is>
      </c>
      <c r="G366" s="4" t="inlineStr">
        <is>
          <t>Oct 24-Nov 29</t>
        </is>
      </c>
      <c r="H366" s="4" t="inlineStr">
        <is>
          <t>Dec 12-Dec 20</t>
        </is>
      </c>
      <c r="I366" s="4" t="n"/>
      <c r="J366" s="4" t="n"/>
      <c r="K366" s="4" t="n"/>
      <c r="L366" s="4" t="inlineStr">
        <is>
          <t>Only youth ages 12-15 and hunters with a PTHFV.</t>
        </is>
      </c>
    </row>
    <row r="367">
      <c r="A367" s="4" t="inlineStr">
        <is>
          <t>321</t>
        </is>
      </c>
      <c r="B367" s="4" t="inlineStr">
        <is>
          <t>elk</t>
        </is>
      </c>
      <c r="C367" s="4" t="inlineStr">
        <is>
          <t>Elk B License: 321-00</t>
        </is>
      </c>
      <c r="D367" s="15" t="inlineStr">
        <is>
          <t>Drawing</t>
        </is>
      </c>
      <c r="E367" s="4" t="inlineStr">
        <is>
          <t>Antlerless Elk</t>
        </is>
      </c>
      <c r="F367" s="4" t="inlineStr">
        <is>
          <t>Sep 05-Oct 18</t>
        </is>
      </c>
      <c r="G367" s="4" t="inlineStr">
        <is>
          <t>Oct 24-Nov 29</t>
        </is>
      </c>
      <c r="H367" s="4" t="inlineStr">
        <is>
          <t>Dec 12-Dec 20</t>
        </is>
      </c>
      <c r="I367" s="4" t="n"/>
      <c r="J367" s="4" t="inlineStr">
        <is>
          <t>Jun 1</t>
        </is>
      </c>
      <c r="K367" s="4" t="inlineStr">
        <is>
          <t>200</t>
        </is>
      </c>
      <c r="L367" s="4" t="n"/>
    </row>
    <row r="368">
      <c r="A368" s="4" t="inlineStr">
        <is>
          <t>322</t>
        </is>
      </c>
      <c r="B368" s="4" t="inlineStr">
        <is>
          <t>elk</t>
        </is>
      </c>
      <c r="C368" s="4" t="inlineStr">
        <is>
          <t>General Elk License</t>
        </is>
      </c>
      <c r="D368" s="13" t="inlineStr">
        <is>
          <t>General license</t>
        </is>
      </c>
      <c r="E368" s="4" t="inlineStr">
        <is>
          <t>Brow-tined Bull or Antlerless Elk</t>
        </is>
      </c>
      <c r="F368" s="4" t="inlineStr">
        <is>
          <t>Sep 05-Oct 18</t>
        </is>
      </c>
      <c r="G368" s="4" t="inlineStr">
        <is>
          <t>Oct 24-Nov 29</t>
        </is>
      </c>
      <c r="H368" s="4" t="inlineStr">
        <is>
          <t>Dec 12-Dec 20</t>
        </is>
      </c>
      <c r="I368" s="4" t="n"/>
      <c r="J368" s="4" t="n"/>
      <c r="K368" s="4" t="n"/>
      <c r="L368" s="4" t="n"/>
    </row>
    <row r="369">
      <c r="A369" s="4" t="inlineStr">
        <is>
          <t>322</t>
        </is>
      </c>
      <c r="B369" s="4" t="inlineStr">
        <is>
          <t>elk</t>
        </is>
      </c>
      <c r="C369" s="4" t="inlineStr">
        <is>
          <t>General Elk License</t>
        </is>
      </c>
      <c r="D369" s="13" t="inlineStr">
        <is>
          <t>General license</t>
        </is>
      </c>
      <c r="E369" s="4" t="inlineStr">
        <is>
          <t>Either-sex Elk</t>
        </is>
      </c>
      <c r="F369" s="4" t="inlineStr">
        <is>
          <t>Sep 05-Oct 18</t>
        </is>
      </c>
      <c r="G369" s="4" t="inlineStr">
        <is>
          <t>Oct 24-Nov 29</t>
        </is>
      </c>
      <c r="H369" s="4" t="inlineStr">
        <is>
          <t>Dec 12-Dec 20</t>
        </is>
      </c>
      <c r="I369" s="4" t="n"/>
      <c r="J369" s="4" t="n"/>
      <c r="K369" s="4" t="n"/>
      <c r="L369" s="4" t="inlineStr">
        <is>
          <t>Only youth ages 12-15 and hunters with a PTHFV.</t>
        </is>
      </c>
    </row>
    <row r="370">
      <c r="A370" s="4" t="inlineStr">
        <is>
          <t>322</t>
        </is>
      </c>
      <c r="B370" s="4" t="inlineStr">
        <is>
          <t>elk</t>
        </is>
      </c>
      <c r="C370" s="4" t="inlineStr">
        <is>
          <t>Elk B License: 322-00</t>
        </is>
      </c>
      <c r="D370" s="15" t="inlineStr">
        <is>
          <t>Drawing</t>
        </is>
      </c>
      <c r="E370" s="4" t="inlineStr">
        <is>
          <t>Antlerless Elk</t>
        </is>
      </c>
      <c r="F370" s="4" t="inlineStr">
        <is>
          <t>Sep 05-Oct 18</t>
        </is>
      </c>
      <c r="G370" s="4" t="inlineStr">
        <is>
          <t>Oct 24-Nov 29</t>
        </is>
      </c>
      <c r="H370" s="4" t="inlineStr">
        <is>
          <t>Dec 12-Dec 20</t>
        </is>
      </c>
      <c r="I370" s="4" t="n"/>
      <c r="J370" s="4" t="inlineStr">
        <is>
          <t>Jun 1</t>
        </is>
      </c>
      <c r="K370" s="4" t="inlineStr">
        <is>
          <t>100</t>
        </is>
      </c>
      <c r="L370" s="4" t="inlineStr">
        <is>
          <t>Valid on private lands only.</t>
        </is>
      </c>
    </row>
    <row r="371">
      <c r="A371" s="4" t="inlineStr">
        <is>
          <t>323</t>
        </is>
      </c>
      <c r="B371" s="4" t="inlineStr">
        <is>
          <t>elk</t>
        </is>
      </c>
      <c r="C371" s="4" t="inlineStr">
        <is>
          <t>General Elk License</t>
        </is>
      </c>
      <c r="D371" s="13" t="inlineStr">
        <is>
          <t>General license</t>
        </is>
      </c>
      <c r="E371" s="4" t="inlineStr">
        <is>
          <t>Brow-tined Bull or Antlerless Elk</t>
        </is>
      </c>
      <c r="F371" s="4" t="inlineStr">
        <is>
          <t>Sep 05-Oct 18</t>
        </is>
      </c>
      <c r="G371" s="4" t="inlineStr">
        <is>
          <t>Oct 24-Nov 29</t>
        </is>
      </c>
      <c r="H371" s="4" t="inlineStr">
        <is>
          <t>Dec 12-Dec 20</t>
        </is>
      </c>
      <c r="I371" s="4" t="n"/>
      <c r="J371" s="4" t="n"/>
      <c r="K371" s="4" t="n"/>
      <c r="L371" s="4" t="inlineStr">
        <is>
          <t>Not valid on Wall Creek WMA and adjacent lands as posted.</t>
        </is>
      </c>
    </row>
    <row r="372">
      <c r="A372" s="4" t="inlineStr">
        <is>
          <t>323</t>
        </is>
      </c>
      <c r="B372" s="4" t="inlineStr">
        <is>
          <t>elk</t>
        </is>
      </c>
      <c r="C372" s="4" t="inlineStr">
        <is>
          <t>General Elk License</t>
        </is>
      </c>
      <c r="D372" s="13" t="inlineStr">
        <is>
          <t>General license</t>
        </is>
      </c>
      <c r="E372" s="4" t="inlineStr">
        <is>
          <t>Either-sex Elk</t>
        </is>
      </c>
      <c r="F372" s="4" t="inlineStr">
        <is>
          <t>Sep 05-Oct 18</t>
        </is>
      </c>
      <c r="G372" s="4" t="inlineStr">
        <is>
          <t>Oct 24-Nov 29</t>
        </is>
      </c>
      <c r="H372" s="4" t="inlineStr">
        <is>
          <t>Dec 12-Dec 20</t>
        </is>
      </c>
      <c r="I372" s="4" t="n"/>
      <c r="J372" s="4" t="n"/>
      <c r="K372" s="4" t="n"/>
      <c r="L372" s="4" t="inlineStr">
        <is>
          <t>Only youth ages 12-15 and hunters with a PTHFV. Not valid on Wall Creek WMA and adjacent lands as posted.</t>
        </is>
      </c>
    </row>
    <row r="373">
      <c r="A373" s="4" t="inlineStr">
        <is>
          <t>323</t>
        </is>
      </c>
      <c r="B373" s="4" t="inlineStr">
        <is>
          <t>elk</t>
        </is>
      </c>
      <c r="C373" s="4" t="inlineStr">
        <is>
          <t>Elk B License: 399-00</t>
        </is>
      </c>
      <c r="D373" s="15" t="inlineStr">
        <is>
          <t>Drawing</t>
        </is>
      </c>
      <c r="E373" s="4" t="inlineStr">
        <is>
          <t>Antlerless Elk</t>
        </is>
      </c>
      <c r="F373" s="4" t="inlineStr">
        <is>
          <t>Sep 05-Oct 18</t>
        </is>
      </c>
      <c r="G373" s="4" t="inlineStr">
        <is>
          <t>Oct 24-Nov 29</t>
        </is>
      </c>
      <c r="H373" s="4" t="inlineStr">
        <is>
          <t>Dec 12-Dec 20</t>
        </is>
      </c>
      <c r="I373" s="4" t="n"/>
      <c r="J373" s="4" t="inlineStr">
        <is>
          <t>Jun 1</t>
        </is>
      </c>
      <c r="K373" s="4" t="inlineStr">
        <is>
          <t>500</t>
        </is>
      </c>
      <c r="L373" s="4" t="inlineStr">
        <is>
          <t>Multi-district license. Valid on Wall Crk WMA and adjacent land as posted. 81 2026 Deer • Elk • Antelope Visit fwp.mt.gov LICENSE/PERMIT OPPORTUNITY APPL Y BY DATE QUOTA QUOTA RANGE EARL Y SEASON DATES ARCHERY ONL Y SEASON DATES GENERAL SEASON DATES HERITAGE MUZZLELOADER SEASON DATES LATE SEASON DAT</t>
        </is>
      </c>
    </row>
    <row r="374">
      <c r="A374" s="4" t="inlineStr">
        <is>
          <t>324</t>
        </is>
      </c>
      <c r="B374" s="4" t="inlineStr">
        <is>
          <t>elk</t>
        </is>
      </c>
      <c r="C374" s="4" t="inlineStr">
        <is>
          <t>General Elk License</t>
        </is>
      </c>
      <c r="D374" s="13" t="inlineStr">
        <is>
          <t>General license</t>
        </is>
      </c>
      <c r="E374" s="4" t="inlineStr">
        <is>
          <t>Brow-tined Bull or Antlerless Elk</t>
        </is>
      </c>
      <c r="F374" s="4" t="inlineStr">
        <is>
          <t>Sep 05-Oct 18</t>
        </is>
      </c>
      <c r="G374" s="4" t="inlineStr">
        <is>
          <t>Oct 24-Nov 29</t>
        </is>
      </c>
      <c r="H374" s="4" t="inlineStr">
        <is>
          <t>Dec 12-Dec 20</t>
        </is>
      </c>
      <c r="I374" s="4" t="n"/>
      <c r="J374" s="4" t="n"/>
      <c r="K374" s="4" t="n"/>
      <c r="L374" s="4" t="n"/>
    </row>
    <row r="375">
      <c r="A375" s="4" t="inlineStr">
        <is>
          <t>324</t>
        </is>
      </c>
      <c r="B375" s="4" t="inlineStr">
        <is>
          <t>elk</t>
        </is>
      </c>
      <c r="C375" s="4" t="inlineStr">
        <is>
          <t>General Elk License</t>
        </is>
      </c>
      <c r="D375" s="13" t="inlineStr">
        <is>
          <t>General license</t>
        </is>
      </c>
      <c r="E375" s="4" t="inlineStr">
        <is>
          <t>Either-sex Elk</t>
        </is>
      </c>
      <c r="F375" s="4" t="inlineStr">
        <is>
          <t>Sep 05-Oct 18</t>
        </is>
      </c>
      <c r="G375" s="4" t="inlineStr">
        <is>
          <t>Oct 24-Nov 29</t>
        </is>
      </c>
      <c r="H375" s="4" t="inlineStr">
        <is>
          <t>Dec 12-Dec 20</t>
        </is>
      </c>
      <c r="I375" s="4" t="n"/>
      <c r="J375" s="4" t="n"/>
      <c r="K375" s="4" t="n"/>
      <c r="L375" s="4" t="inlineStr">
        <is>
          <t>Only youth ages 12-15 and hunters with a PTHFV.</t>
        </is>
      </c>
    </row>
    <row r="376">
      <c r="A376" s="4" t="inlineStr">
        <is>
          <t>324</t>
        </is>
      </c>
      <c r="B376" s="4" t="inlineStr">
        <is>
          <t>elk</t>
        </is>
      </c>
      <c r="C376" s="4" t="inlineStr">
        <is>
          <t>Elk B License: 324-00</t>
        </is>
      </c>
      <c r="D376" s="15" t="inlineStr">
        <is>
          <t>Drawing</t>
        </is>
      </c>
      <c r="E376" s="4" t="inlineStr">
        <is>
          <t>Antlerless Elk</t>
        </is>
      </c>
      <c r="F376" s="4" t="inlineStr">
        <is>
          <t>Sep 05-Oct 18</t>
        </is>
      </c>
      <c r="G376" s="4" t="inlineStr">
        <is>
          <t>Oct 24-Nov 29</t>
        </is>
      </c>
      <c r="H376" s="4" t="inlineStr">
        <is>
          <t>Dec 12-Dec 20</t>
        </is>
      </c>
      <c r="I376" s="4" t="n"/>
      <c r="J376" s="4" t="inlineStr">
        <is>
          <t>Jun 1</t>
        </is>
      </c>
      <c r="K376" s="4" t="inlineStr">
        <is>
          <t>100</t>
        </is>
      </c>
      <c r="L376" s="4" t="inlineStr">
        <is>
          <t>Valid on private land only.</t>
        </is>
      </c>
    </row>
    <row r="377">
      <c r="A377" s="4" t="inlineStr">
        <is>
          <t>329</t>
        </is>
      </c>
      <c r="B377" s="4" t="inlineStr">
        <is>
          <t>elk</t>
        </is>
      </c>
      <c r="C377" s="4" t="inlineStr">
        <is>
          <t>General Elk License</t>
        </is>
      </c>
      <c r="D377" s="13" t="inlineStr">
        <is>
          <t>General license</t>
        </is>
      </c>
      <c r="E377" s="4" t="inlineStr">
        <is>
          <t>Brow-tined Bull or Antlerless Elk</t>
        </is>
      </c>
      <c r="F377" s="4" t="inlineStr">
        <is>
          <t>Sep 05-Oct 18</t>
        </is>
      </c>
      <c r="G377" s="4" t="inlineStr">
        <is>
          <t>Oct 24-Nov 29</t>
        </is>
      </c>
      <c r="H377" s="4" t="inlineStr">
        <is>
          <t>Dec 12-Dec 20</t>
        </is>
      </c>
      <c r="I377" s="4" t="n"/>
      <c r="J377" s="4" t="n"/>
      <c r="K377" s="4" t="n"/>
      <c r="L377" s="4" t="n"/>
    </row>
    <row r="378">
      <c r="A378" s="4" t="inlineStr">
        <is>
          <t>329</t>
        </is>
      </c>
      <c r="B378" s="4" t="inlineStr">
        <is>
          <t>elk</t>
        </is>
      </c>
      <c r="C378" s="4" t="inlineStr">
        <is>
          <t>General Elk License</t>
        </is>
      </c>
      <c r="D378" s="13" t="inlineStr">
        <is>
          <t>General license</t>
        </is>
      </c>
      <c r="E378" s="4" t="inlineStr">
        <is>
          <t>Either-sex Elk</t>
        </is>
      </c>
      <c r="F378" s="4" t="inlineStr">
        <is>
          <t>Sep 05-Oct 18</t>
        </is>
      </c>
      <c r="G378" s="4" t="inlineStr">
        <is>
          <t>Oct 24-Nov 29</t>
        </is>
      </c>
      <c r="H378" s="4" t="inlineStr">
        <is>
          <t>Dec 12-Dec 20</t>
        </is>
      </c>
      <c r="I378" s="4" t="n"/>
      <c r="J378" s="4" t="n"/>
      <c r="K378" s="4" t="n"/>
      <c r="L378" s="4" t="inlineStr">
        <is>
          <t>Only youth ages 12-15 and hunters with a PTHFV.</t>
        </is>
      </c>
    </row>
    <row r="379">
      <c r="A379" s="4" t="inlineStr">
        <is>
          <t>329</t>
        </is>
      </c>
      <c r="B379" s="4" t="inlineStr">
        <is>
          <t>elk</t>
        </is>
      </c>
      <c r="C379" s="4" t="inlineStr">
        <is>
          <t>Elk B License: 399-00</t>
        </is>
      </c>
      <c r="D379" s="15" t="inlineStr">
        <is>
          <t>Drawing</t>
        </is>
      </c>
      <c r="E379" s="4" t="inlineStr">
        <is>
          <t>Antlerless Elk</t>
        </is>
      </c>
      <c r="F379" s="4" t="inlineStr">
        <is>
          <t>Sep 05-Oct 18</t>
        </is>
      </c>
      <c r="G379" s="4" t="inlineStr">
        <is>
          <t>Oct 24-Nov 29</t>
        </is>
      </c>
      <c r="H379" s="4" t="inlineStr">
        <is>
          <t>Dec 12-Dec 20</t>
        </is>
      </c>
      <c r="I379" s="4" t="n"/>
      <c r="J379" s="4" t="inlineStr">
        <is>
          <t>Jun 1</t>
        </is>
      </c>
      <c r="K379" s="4" t="inlineStr">
        <is>
          <t>500</t>
        </is>
      </c>
      <c r="L379" s="4" t="inlineStr">
        <is>
          <t>Multi-district license.</t>
        </is>
      </c>
    </row>
    <row r="380">
      <c r="A380" s="4" t="inlineStr">
        <is>
          <t>331</t>
        </is>
      </c>
      <c r="B380" s="4" t="inlineStr">
        <is>
          <t>elk</t>
        </is>
      </c>
      <c r="C380" s="4" t="inlineStr">
        <is>
          <t>General Elk License</t>
        </is>
      </c>
      <c r="D380" s="13" t="inlineStr">
        <is>
          <t>General license</t>
        </is>
      </c>
      <c r="E380" s="4" t="inlineStr">
        <is>
          <t>Brow-tined Bull or Antlerless Elk</t>
        </is>
      </c>
      <c r="F380" s="4" t="inlineStr">
        <is>
          <t>Sep 05-Oct 18</t>
        </is>
      </c>
      <c r="G380" s="4" t="n"/>
      <c r="H380" s="4" t="n"/>
      <c r="I380" s="4" t="n"/>
      <c r="J380" s="4" t="n"/>
      <c r="K380" s="4" t="n"/>
      <c r="L380" s="4" t="n"/>
    </row>
    <row r="381">
      <c r="A381" s="4" t="inlineStr">
        <is>
          <t>331</t>
        </is>
      </c>
      <c r="B381" s="4" t="inlineStr">
        <is>
          <t>elk</t>
        </is>
      </c>
      <c r="C381" s="4" t="inlineStr">
        <is>
          <t>General Elk License</t>
        </is>
      </c>
      <c r="D381" s="13" t="inlineStr">
        <is>
          <t>General license</t>
        </is>
      </c>
      <c r="E381" s="4" t="inlineStr">
        <is>
          <t>Either-sex Elk</t>
        </is>
      </c>
      <c r="F381" s="4" t="inlineStr">
        <is>
          <t>Sep 05-Oct 18</t>
        </is>
      </c>
      <c r="G381" s="4" t="inlineStr">
        <is>
          <t>Oct 24-Nov 29</t>
        </is>
      </c>
      <c r="H381" s="4" t="inlineStr">
        <is>
          <t>Dec 12-Dec 20</t>
        </is>
      </c>
      <c r="I381" s="4" t="n"/>
      <c r="J381" s="4" t="n"/>
      <c r="K381" s="4" t="n"/>
      <c r="L381" s="4" t="inlineStr">
        <is>
          <t>Only youth ages 12-15 and hunters with a PTHFV. Resident hunters 75 years old and older may harvest an antlerless elk on private land.</t>
        </is>
      </c>
    </row>
    <row r="382">
      <c r="A382" s="4" t="inlineStr">
        <is>
          <t>331</t>
        </is>
      </c>
      <c r="B382" s="4" t="inlineStr">
        <is>
          <t>elk</t>
        </is>
      </c>
      <c r="C382" s="4" t="inlineStr">
        <is>
          <t>General Elk License</t>
        </is>
      </c>
      <c r="D382" s="13" t="inlineStr">
        <is>
          <t>General license</t>
        </is>
      </c>
      <c r="E382" s="4" t="inlineStr">
        <is>
          <t>Antlerless Elk</t>
        </is>
      </c>
      <c r="F382" s="4" t="n"/>
      <c r="G382" s="4" t="inlineStr">
        <is>
          <t>Oct 24-Nov 29</t>
        </is>
      </c>
      <c r="H382" s="4" t="inlineStr">
        <is>
          <t>Dec 12-Dec 20</t>
        </is>
      </c>
      <c r="I382" s="4" t="n"/>
      <c r="J382" s="4" t="n"/>
      <c r="K382" s="4" t="n"/>
      <c r="L382" s="4" t="inlineStr">
        <is>
          <t>Only valid on private land.</t>
        </is>
      </c>
    </row>
    <row r="383">
      <c r="A383" s="4" t="inlineStr">
        <is>
          <t>331</t>
        </is>
      </c>
      <c r="B383" s="4" t="inlineStr">
        <is>
          <t>elk</t>
        </is>
      </c>
      <c r="C383" s="4" t="inlineStr">
        <is>
          <t>General Elk License</t>
        </is>
      </c>
      <c r="D383" s="13" t="inlineStr">
        <is>
          <t>General license</t>
        </is>
      </c>
      <c r="E383" s="4" t="inlineStr">
        <is>
          <t>Brow-tined Bull Elk</t>
        </is>
      </c>
      <c r="F383" s="4" t="n"/>
      <c r="G383" s="4" t="inlineStr">
        <is>
          <t>Oct 24-Nov 29</t>
        </is>
      </c>
      <c r="H383" s="4" t="inlineStr">
        <is>
          <t>Dec 12-Dec 20</t>
        </is>
      </c>
      <c r="I383" s="4" t="n"/>
      <c r="J383" s="4" t="n"/>
      <c r="K383" s="4" t="n"/>
      <c r="L383" s="4" t="n"/>
    </row>
    <row r="384">
      <c r="A384" s="4" t="inlineStr">
        <is>
          <t>331</t>
        </is>
      </c>
      <c r="B384" s="4" t="inlineStr">
        <is>
          <t>elk</t>
        </is>
      </c>
      <c r="C384" s="4" t="inlineStr">
        <is>
          <t>Elk B License: 331-00</t>
        </is>
      </c>
      <c r="D384" s="15" t="inlineStr">
        <is>
          <t>Drawing</t>
        </is>
      </c>
      <c r="E384" s="4" t="inlineStr">
        <is>
          <t>Antlerless Elk</t>
        </is>
      </c>
      <c r="F384" s="4" t="inlineStr">
        <is>
          <t>Sep 05-Oct 18</t>
        </is>
      </c>
      <c r="G384" s="4" t="inlineStr">
        <is>
          <t>Oct 24-Nov 29</t>
        </is>
      </c>
      <c r="H384" s="4" t="inlineStr">
        <is>
          <t>Dec 12-Dec 20</t>
        </is>
      </c>
      <c r="I384" s="4" t="n"/>
      <c r="J384" s="4" t="inlineStr">
        <is>
          <t>Jun 1</t>
        </is>
      </c>
      <c r="K384" s="4" t="inlineStr">
        <is>
          <t>500</t>
        </is>
      </c>
      <c r="L384" s="4" t="n"/>
    </row>
    <row r="385">
      <c r="A385" s="4" t="inlineStr">
        <is>
          <t>335</t>
        </is>
      </c>
      <c r="B385" s="4" t="inlineStr">
        <is>
          <t>elk</t>
        </is>
      </c>
      <c r="C385" s="4" t="inlineStr">
        <is>
          <t>General Elk License</t>
        </is>
      </c>
      <c r="D385" s="13" t="inlineStr">
        <is>
          <t>General license</t>
        </is>
      </c>
      <c r="E385" s="4" t="inlineStr">
        <is>
          <t>Brow-tined Bull or Antlerless Elk</t>
        </is>
      </c>
      <c r="F385" s="4" t="inlineStr">
        <is>
          <t>Sep 05-Oct 18</t>
        </is>
      </c>
      <c r="G385" s="4" t="n"/>
      <c r="H385" s="4" t="n"/>
      <c r="I385" s="4" t="n"/>
      <c r="J385" s="4" t="n"/>
      <c r="K385" s="4" t="n"/>
      <c r="L385" s="4" t="n"/>
    </row>
    <row r="386">
      <c r="A386" s="4" t="inlineStr">
        <is>
          <t>335</t>
        </is>
      </c>
      <c r="B386" s="4" t="inlineStr">
        <is>
          <t>elk</t>
        </is>
      </c>
      <c r="C386" s="4" t="inlineStr">
        <is>
          <t>General Elk License</t>
        </is>
      </c>
      <c r="D386" s="13" t="inlineStr">
        <is>
          <t>General license</t>
        </is>
      </c>
      <c r="E386" s="4" t="inlineStr">
        <is>
          <t>Either-sex Elk</t>
        </is>
      </c>
      <c r="F386" s="4" t="inlineStr">
        <is>
          <t>Sep 05-Oct 18</t>
        </is>
      </c>
      <c r="G386" s="4" t="inlineStr">
        <is>
          <t>Oct 24-Nov 29</t>
        </is>
      </c>
      <c r="H386" s="4" t="inlineStr">
        <is>
          <t>Dec 12-Dec 20</t>
        </is>
      </c>
      <c r="I386" s="4" t="n"/>
      <c r="J386" s="4" t="n"/>
      <c r="K386" s="4" t="n"/>
      <c r="L386" s="4" t="inlineStr">
        <is>
          <t>Only youth ages 12-15 and hunters with a PTHFV.</t>
        </is>
      </c>
    </row>
    <row r="387">
      <c r="A387" s="4" t="inlineStr">
        <is>
          <t>335</t>
        </is>
      </c>
      <c r="B387" s="4" t="inlineStr">
        <is>
          <t>elk</t>
        </is>
      </c>
      <c r="C387" s="4" t="inlineStr">
        <is>
          <t>General Elk License</t>
        </is>
      </c>
      <c r="D387" s="13" t="inlineStr">
        <is>
          <t>General license</t>
        </is>
      </c>
      <c r="E387" s="4" t="inlineStr">
        <is>
          <t>Antlerless Elk</t>
        </is>
      </c>
      <c r="F387" s="4" t="n"/>
      <c r="G387" s="4" t="inlineStr">
        <is>
          <t>Oct 24-Nov 29</t>
        </is>
      </c>
      <c r="H387" s="4" t="inlineStr">
        <is>
          <t>Dec 12-Dec 20</t>
        </is>
      </c>
      <c r="I387" s="4" t="n"/>
      <c r="J387" s="4" t="n"/>
      <c r="K387" s="4" t="n"/>
      <c r="L387" s="4" t="inlineStr">
        <is>
          <t>Not valid on National Forest lands.</t>
        </is>
      </c>
    </row>
    <row r="388">
      <c r="A388" s="4" t="inlineStr">
        <is>
          <t>335</t>
        </is>
      </c>
      <c r="B388" s="4" t="inlineStr">
        <is>
          <t>elk</t>
        </is>
      </c>
      <c r="C388" s="4" t="inlineStr">
        <is>
          <t>General Elk License</t>
        </is>
      </c>
      <c r="D388" s="13" t="inlineStr">
        <is>
          <t>General license</t>
        </is>
      </c>
      <c r="E388" s="4" t="inlineStr">
        <is>
          <t>Brow-tined Bull Elk</t>
        </is>
      </c>
      <c r="F388" s="4" t="n"/>
      <c r="G388" s="4" t="inlineStr">
        <is>
          <t>Oct 24-Nov 29</t>
        </is>
      </c>
      <c r="H388" s="4" t="inlineStr">
        <is>
          <t>Dec 12-Dec 20</t>
        </is>
      </c>
      <c r="I388" s="4" t="n"/>
      <c r="J388" s="4" t="n"/>
      <c r="K388" s="4" t="n"/>
      <c r="L388" s="4" t="n"/>
    </row>
    <row r="389">
      <c r="A389" s="4" t="inlineStr">
        <is>
          <t>335</t>
        </is>
      </c>
      <c r="B389" s="4" t="inlineStr">
        <is>
          <t>elk</t>
        </is>
      </c>
      <c r="C389" s="4" t="inlineStr">
        <is>
          <t>Elk B License: 394-00</t>
        </is>
      </c>
      <c r="D389" s="15" t="inlineStr">
        <is>
          <t>Drawing</t>
        </is>
      </c>
      <c r="E389" s="4" t="inlineStr">
        <is>
          <t>Antlerless Elk</t>
        </is>
      </c>
      <c r="F389" s="4" t="inlineStr">
        <is>
          <t>Sep 05-Oct 18</t>
        </is>
      </c>
      <c r="G389" s="4" t="inlineStr">
        <is>
          <t>Oct 24-Nov 29</t>
        </is>
      </c>
      <c r="H389" s="4" t="inlineStr">
        <is>
          <t>Dec 12-Dec 20</t>
        </is>
      </c>
      <c r="I389" s="4" t="n"/>
      <c r="J389" s="4" t="inlineStr">
        <is>
          <t>Jun 1</t>
        </is>
      </c>
      <c r="K389" s="4" t="inlineStr">
        <is>
          <t>400</t>
        </is>
      </c>
      <c r="L389" s="4" t="inlineStr">
        <is>
          <t>Valid in HDs 318 and 335.</t>
        </is>
      </c>
    </row>
    <row r="390">
      <c r="A390" s="4" t="inlineStr">
        <is>
          <t>339</t>
        </is>
      </c>
      <c r="B390" s="4" t="inlineStr">
        <is>
          <t>elk</t>
        </is>
      </c>
      <c r="C390" s="4" t="inlineStr">
        <is>
          <t>General Elk License</t>
        </is>
      </c>
      <c r="D390" s="13" t="inlineStr">
        <is>
          <t>General license</t>
        </is>
      </c>
      <c r="E390" s="4" t="inlineStr">
        <is>
          <t>Spike Bull or Antlerless Elk</t>
        </is>
      </c>
      <c r="F390" s="4" t="inlineStr">
        <is>
          <t>Sep 05-Oct 18</t>
        </is>
      </c>
      <c r="G390" s="4" t="inlineStr">
        <is>
          <t>Nov 16-Nov 29</t>
        </is>
      </c>
      <c r="H390" s="4" t="inlineStr">
        <is>
          <t>Dec 12-Dec 20</t>
        </is>
      </c>
      <c r="I390" s="4" t="n"/>
      <c r="J390" s="4" t="n"/>
      <c r="K390" s="4" t="n"/>
      <c r="L390" s="4" t="n"/>
    </row>
    <row r="391">
      <c r="A391" s="4" t="inlineStr">
        <is>
          <t>339</t>
        </is>
      </c>
      <c r="B391" s="4" t="inlineStr">
        <is>
          <t>elk</t>
        </is>
      </c>
      <c r="C391" s="4" t="inlineStr">
        <is>
          <t>General Elk License</t>
        </is>
      </c>
      <c r="D391" s="13" t="inlineStr">
        <is>
          <t>General license</t>
        </is>
      </c>
      <c r="E391" s="4" t="inlineStr">
        <is>
          <t>Spike Bull Elk</t>
        </is>
      </c>
      <c r="F391" s="4" t="n"/>
      <c r="G391" s="4" t="inlineStr">
        <is>
          <t>Oct 24-Nov 15</t>
        </is>
      </c>
      <c r="H391" s="4" t="n"/>
      <c r="I391" s="4" t="n"/>
      <c r="J391" s="4" t="n"/>
      <c r="K391" s="4" t="n"/>
      <c r="L391" s="4" t="n"/>
    </row>
    <row r="392">
      <c r="A392" s="4" t="inlineStr">
        <is>
          <t>339</t>
        </is>
      </c>
      <c r="B392" s="4" t="inlineStr">
        <is>
          <t>elk</t>
        </is>
      </c>
      <c r="C392" s="4" t="inlineStr">
        <is>
          <t>General Elk License</t>
        </is>
      </c>
      <c r="D392" s="13" t="inlineStr">
        <is>
          <t>General license</t>
        </is>
      </c>
      <c r="E392" s="4" t="inlineStr">
        <is>
          <t>Spike Bull or Antlerless Elk</t>
        </is>
      </c>
      <c r="F392" s="4" t="n"/>
      <c r="G392" s="4" t="inlineStr">
        <is>
          <t>Oct 24-Nov 29</t>
        </is>
      </c>
      <c r="H392" s="4" t="inlineStr">
        <is>
          <t>Dec 12-Dec 20</t>
        </is>
      </c>
      <c r="I392" s="4" t="n"/>
      <c r="J392" s="4" t="n"/>
      <c r="K392" s="4" t="n"/>
      <c r="L392" s="4" t="inlineStr">
        <is>
          <t>Only youth ages 12-15 and hunters with a PTHFV. Resident hunters 75 years old and older may harvest an antlerless elk on private land.</t>
        </is>
      </c>
    </row>
    <row r="393">
      <c r="A393" s="4" t="inlineStr">
        <is>
          <t>339</t>
        </is>
      </c>
      <c r="B393" s="4" t="inlineStr">
        <is>
          <t>elk</t>
        </is>
      </c>
      <c r="C393" s="4" t="inlineStr">
        <is>
          <t>Elk B License: 396-00</t>
        </is>
      </c>
      <c r="D393" s="15" t="inlineStr">
        <is>
          <t>Drawing</t>
        </is>
      </c>
      <c r="E393" s="4" t="inlineStr">
        <is>
          <t>Antlerless Elk</t>
        </is>
      </c>
      <c r="F393" s="4" t="inlineStr">
        <is>
          <t>Sep 05-Oct 18</t>
        </is>
      </c>
      <c r="G393" s="4" t="inlineStr">
        <is>
          <t>Oct 24-Nov 29</t>
        </is>
      </c>
      <c r="H393" s="4" t="inlineStr">
        <is>
          <t>Dec 12-Dec 20</t>
        </is>
      </c>
      <c r="I393" s="4" t="n"/>
      <c r="J393" s="4" t="inlineStr">
        <is>
          <t>Jun 1</t>
        </is>
      </c>
      <c r="K393" s="4" t="inlineStr">
        <is>
          <t>600</t>
        </is>
      </c>
      <c r="L393" s="4" t="inlineStr">
        <is>
          <t>Valid in HDs 339 and 343.</t>
        </is>
      </c>
    </row>
    <row r="394">
      <c r="A394" s="4" t="inlineStr">
        <is>
          <t>339</t>
        </is>
      </c>
      <c r="B394" s="4" t="inlineStr">
        <is>
          <t>elk</t>
        </is>
      </c>
      <c r="C394" s="4" t="inlineStr">
        <is>
          <t>Elk Permit: 339-20</t>
        </is>
      </c>
      <c r="D394" s="15" t="inlineStr">
        <is>
          <t>Drawing</t>
        </is>
      </c>
      <c r="E394" s="4" t="inlineStr">
        <is>
          <t>Either-sex Elk</t>
        </is>
      </c>
      <c r="F394" s="4" t="inlineStr">
        <is>
          <t>Sep 05-Oct 18</t>
        </is>
      </c>
      <c r="G394" s="4" t="inlineStr">
        <is>
          <t>Oct 24-Nov 29</t>
        </is>
      </c>
      <c r="H394" s="4" t="inlineStr">
        <is>
          <t>Dec 12-Dec 20</t>
        </is>
      </c>
      <c r="I394" s="4" t="n"/>
      <c r="J394" s="4" t="inlineStr">
        <is>
          <t>April 1</t>
        </is>
      </c>
      <c r="K394" s="4" t="inlineStr">
        <is>
          <t>40</t>
        </is>
      </c>
      <c r="L394" s="4" t="inlineStr">
        <is>
          <t>Permit must be used with a valid General Elk License. Holders may not hunt Antlered Elk in any other HD during these described season dates.</t>
        </is>
      </c>
    </row>
    <row r="395">
      <c r="A395" s="4" t="inlineStr">
        <is>
          <t>340</t>
        </is>
      </c>
      <c r="B395" s="4" t="inlineStr">
        <is>
          <t>elk</t>
        </is>
      </c>
      <c r="C395" s="4" t="inlineStr">
        <is>
          <t>General Elk License</t>
        </is>
      </c>
      <c r="D395" s="13" t="inlineStr">
        <is>
          <t>General license</t>
        </is>
      </c>
      <c r="E395" s="4" t="inlineStr">
        <is>
          <t>Brow-tined Bull or Antlerless Elk</t>
        </is>
      </c>
      <c r="F395" s="4" t="inlineStr">
        <is>
          <t>Sep 05-Oct 18</t>
        </is>
      </c>
      <c r="G395" s="4" t="inlineStr">
        <is>
          <t>Oct 24-Nov 08</t>
        </is>
      </c>
      <c r="H395" s="4" t="n"/>
      <c r="I395" s="4" t="n"/>
      <c r="J395" s="4" t="n"/>
      <c r="K395" s="4" t="n"/>
      <c r="L395" s="4" t="n"/>
    </row>
    <row r="396">
      <c r="A396" s="4" t="inlineStr">
        <is>
          <t>340</t>
        </is>
      </c>
      <c r="B396" s="4" t="inlineStr">
        <is>
          <t>elk</t>
        </is>
      </c>
      <c r="C396" s="4" t="inlineStr">
        <is>
          <t>General Elk License</t>
        </is>
      </c>
      <c r="D396" s="13" t="inlineStr">
        <is>
          <t>General license</t>
        </is>
      </c>
      <c r="E396" s="4" t="inlineStr">
        <is>
          <t>Either-sex Elk</t>
        </is>
      </c>
      <c r="F396" s="4" t="inlineStr">
        <is>
          <t>Sep 05-Oct 18</t>
        </is>
      </c>
      <c r="G396" s="4" t="inlineStr">
        <is>
          <t>Oct 24-Nov 29</t>
        </is>
      </c>
      <c r="H396" s="4" t="inlineStr">
        <is>
          <t>Dec 12-Dec 20</t>
        </is>
      </c>
      <c r="I396" s="4" t="n"/>
      <c r="J396" s="4" t="n"/>
      <c r="K396" s="4" t="n"/>
      <c r="L396" s="4" t="inlineStr">
        <is>
          <t>Only youth ages 12-15 and hunters with a PTHFV. Resident hunters 75 years old and older may harvest an antlerless elk on private land.</t>
        </is>
      </c>
    </row>
    <row r="397">
      <c r="A397" s="4" t="inlineStr">
        <is>
          <t>340</t>
        </is>
      </c>
      <c r="B397" s="4" t="inlineStr">
        <is>
          <t>elk</t>
        </is>
      </c>
      <c r="C397" s="4" t="inlineStr">
        <is>
          <t>General Elk License</t>
        </is>
      </c>
      <c r="D397" s="13" t="inlineStr">
        <is>
          <t>General license</t>
        </is>
      </c>
      <c r="E397" s="4" t="inlineStr">
        <is>
          <t>Brow-tined Bull Elk</t>
        </is>
      </c>
      <c r="F397" s="4" t="n"/>
      <c r="G397" s="4" t="inlineStr">
        <is>
          <t>Nov 09-Nov 29</t>
        </is>
      </c>
      <c r="H397" s="4" t="inlineStr">
        <is>
          <t>Dec 12-Dec 20</t>
        </is>
      </c>
      <c r="I397" s="4" t="n"/>
      <c r="J397" s="4" t="n"/>
      <c r="K397" s="4" t="n"/>
      <c r="L397" s="4" t="n"/>
    </row>
    <row r="398">
      <c r="A398" s="4" t="inlineStr">
        <is>
          <t>340</t>
        </is>
      </c>
      <c r="B398" s="4" t="inlineStr">
        <is>
          <t>elk</t>
        </is>
      </c>
      <c r="C398" s="4" t="inlineStr">
        <is>
          <t>Elk B License: 340-00</t>
        </is>
      </c>
      <c r="D398" s="15" t="inlineStr">
        <is>
          <t>Drawing</t>
        </is>
      </c>
      <c r="E398" s="4" t="inlineStr">
        <is>
          <t>Antlerless Elk</t>
        </is>
      </c>
      <c r="F398" s="4" t="inlineStr">
        <is>
          <t>Sep 05-Oct 18</t>
        </is>
      </c>
      <c r="G398" s="4" t="inlineStr">
        <is>
          <t>Oct 24-Nov 29</t>
        </is>
      </c>
      <c r="H398" s="4" t="inlineStr">
        <is>
          <t>Dec 12-Dec 20</t>
        </is>
      </c>
      <c r="I398" s="4" t="n"/>
      <c r="J398" s="4" t="inlineStr">
        <is>
          <t>Jun 1</t>
        </is>
      </c>
      <c r="K398" s="4" t="inlineStr">
        <is>
          <t>400</t>
        </is>
      </c>
      <c r="L398" s="4" t="n"/>
    </row>
    <row r="399">
      <c r="A399" s="4" t="inlineStr">
        <is>
          <t>343</t>
        </is>
      </c>
      <c r="B399" s="4" t="inlineStr">
        <is>
          <t>elk</t>
        </is>
      </c>
      <c r="C399" s="4" t="inlineStr">
        <is>
          <t>General Elk License</t>
        </is>
      </c>
      <c r="D399" s="13" t="inlineStr">
        <is>
          <t>General license</t>
        </is>
      </c>
      <c r="E399" s="4" t="inlineStr">
        <is>
          <t>Brow-tined Bull or Antlerless Elk</t>
        </is>
      </c>
      <c r="F399" s="4" t="inlineStr">
        <is>
          <t>Sep 05-Oct 18</t>
        </is>
      </c>
      <c r="G399" s="4" t="inlineStr">
        <is>
          <t>Nov 16-Nov 29</t>
        </is>
      </c>
      <c r="H399" s="4" t="inlineStr">
        <is>
          <t>Dec 12-Dec 20</t>
        </is>
      </c>
      <c r="I399" s="4" t="n"/>
      <c r="J399" s="4" t="n"/>
      <c r="K399" s="4" t="n"/>
      <c r="L399" s="4" t="n"/>
    </row>
    <row r="400">
      <c r="A400" s="4" t="inlineStr">
        <is>
          <t>343</t>
        </is>
      </c>
      <c r="B400" s="4" t="inlineStr">
        <is>
          <t>elk</t>
        </is>
      </c>
      <c r="C400" s="4" t="inlineStr">
        <is>
          <t>General Elk License</t>
        </is>
      </c>
      <c r="D400" s="13" t="inlineStr">
        <is>
          <t>General license</t>
        </is>
      </c>
      <c r="E400" s="4" t="inlineStr">
        <is>
          <t>Either-sex Elk</t>
        </is>
      </c>
      <c r="F400" s="4" t="inlineStr">
        <is>
          <t>Sep 05-Oct 18</t>
        </is>
      </c>
      <c r="G400" s="4" t="inlineStr">
        <is>
          <t>Oct 24-Nov 29</t>
        </is>
      </c>
      <c r="H400" s="4" t="inlineStr">
        <is>
          <t>Dec 12-Dec 20</t>
        </is>
      </c>
      <c r="I400" s="4" t="n"/>
      <c r="J400" s="4" t="n"/>
      <c r="K400" s="4" t="n"/>
      <c r="L400" s="4" t="inlineStr">
        <is>
          <t>Only youth ages 12-15 and hunters with a PTHFV. Resident hunters 75 years old and older may harvest an antlerless elk on private land.</t>
        </is>
      </c>
    </row>
    <row r="401">
      <c r="A401" s="4" t="inlineStr">
        <is>
          <t>343</t>
        </is>
      </c>
      <c r="B401" s="4" t="inlineStr">
        <is>
          <t>elk</t>
        </is>
      </c>
      <c r="C401" s="4" t="inlineStr">
        <is>
          <t>General Elk License</t>
        </is>
      </c>
      <c r="D401" s="13" t="inlineStr">
        <is>
          <t>General license</t>
        </is>
      </c>
      <c r="E401" s="4" t="inlineStr">
        <is>
          <t>Brow-tined Bull Elk</t>
        </is>
      </c>
      <c r="F401" s="4" t="n"/>
      <c r="G401" s="4" t="inlineStr">
        <is>
          <t>Oct 24-Nov 15</t>
        </is>
      </c>
      <c r="H401" s="4" t="n"/>
      <c r="I401" s="4" t="n"/>
      <c r="J401" s="4" t="n"/>
      <c r="K401" s="4" t="n"/>
      <c r="L401" s="4" t="n"/>
    </row>
    <row r="402">
      <c r="A402" s="4" t="inlineStr">
        <is>
          <t>343</t>
        </is>
      </c>
      <c r="B402" s="4" t="inlineStr">
        <is>
          <t>elk</t>
        </is>
      </c>
      <c r="C402" s="4" t="inlineStr">
        <is>
          <t>Elk B License: 396-00</t>
        </is>
      </c>
      <c r="D402" s="15" t="inlineStr">
        <is>
          <t>Drawing</t>
        </is>
      </c>
      <c r="E402" s="4" t="inlineStr">
        <is>
          <t>Antlerless Elk</t>
        </is>
      </c>
      <c r="F402" s="4" t="inlineStr">
        <is>
          <t>Sep 05-Oct 18</t>
        </is>
      </c>
      <c r="G402" s="4" t="inlineStr">
        <is>
          <t>Oct 24-Nov 29</t>
        </is>
      </c>
      <c r="H402" s="4" t="inlineStr">
        <is>
          <t>Dec 12-Dec 20</t>
        </is>
      </c>
      <c r="I402" s="4" t="n"/>
      <c r="J402" s="4" t="inlineStr">
        <is>
          <t>Jun 1</t>
        </is>
      </c>
      <c r="K402" s="4" t="inlineStr">
        <is>
          <t>600</t>
        </is>
      </c>
      <c r="L402" s="4" t="inlineStr">
        <is>
          <t>Valid in HDs 339 and 343.</t>
        </is>
      </c>
    </row>
    <row r="403">
      <c r="A403" s="4" t="inlineStr">
        <is>
          <t>350</t>
        </is>
      </c>
      <c r="B403" s="4" t="inlineStr">
        <is>
          <t>elk</t>
        </is>
      </c>
      <c r="C403" s="4" t="inlineStr">
        <is>
          <t>General Elk License</t>
        </is>
      </c>
      <c r="D403" s="13" t="inlineStr">
        <is>
          <t>General license</t>
        </is>
      </c>
      <c r="E403" s="4" t="inlineStr">
        <is>
          <t>Brow-tined Bull or Antlerless Elk</t>
        </is>
      </c>
      <c r="F403" s="4" t="inlineStr">
        <is>
          <t>Sep 05-Oct 18</t>
        </is>
      </c>
      <c r="G403" s="4" t="n"/>
      <c r="H403" s="4" t="n"/>
      <c r="I403" s="4" t="n"/>
      <c r="J403" s="4" t="n"/>
      <c r="K403" s="4" t="n"/>
      <c r="L403" s="4" t="n"/>
    </row>
    <row r="404">
      <c r="A404" s="4" t="inlineStr">
        <is>
          <t>350</t>
        </is>
      </c>
      <c r="B404" s="4" t="inlineStr">
        <is>
          <t>elk</t>
        </is>
      </c>
      <c r="C404" s="4" t="inlineStr">
        <is>
          <t>General Elk License</t>
        </is>
      </c>
      <c r="D404" s="13" t="inlineStr">
        <is>
          <t>General license</t>
        </is>
      </c>
      <c r="E404" s="4" t="inlineStr">
        <is>
          <t>Either-sex Elk</t>
        </is>
      </c>
      <c r="F404" s="4" t="inlineStr">
        <is>
          <t>Sep 05-Oct 18</t>
        </is>
      </c>
      <c r="G404" s="4" t="inlineStr">
        <is>
          <t>Oct 24-Nov 29</t>
        </is>
      </c>
      <c r="H404" s="4" t="inlineStr">
        <is>
          <t>Dec 12-Dec 20</t>
        </is>
      </c>
      <c r="I404" s="4" t="n"/>
      <c r="J404" s="4" t="n"/>
      <c r="K404" s="4" t="n"/>
      <c r="L404" s="4" t="inlineStr">
        <is>
          <t>Only youth ages 12-15 and hunters with a PTHFV. Resident hunters 75 years old and older may harvest an antlerless elk on private land.</t>
        </is>
      </c>
    </row>
    <row r="405">
      <c r="A405" s="4" t="inlineStr">
        <is>
          <t>350</t>
        </is>
      </c>
      <c r="B405" s="4" t="inlineStr">
        <is>
          <t>elk</t>
        </is>
      </c>
      <c r="C405" s="4" t="inlineStr">
        <is>
          <t>General Elk License</t>
        </is>
      </c>
      <c r="D405" s="13" t="inlineStr">
        <is>
          <t>General license</t>
        </is>
      </c>
      <c r="E405" s="4" t="inlineStr">
        <is>
          <t>Brow-tined Bull Elk</t>
        </is>
      </c>
      <c r="F405" s="4" t="n"/>
      <c r="G405" s="4" t="inlineStr">
        <is>
          <t>Oct 24-Nov 29</t>
        </is>
      </c>
      <c r="H405" s="4" t="inlineStr">
        <is>
          <t>Dec 12-Dec 20</t>
        </is>
      </c>
      <c r="I405" s="4" t="n"/>
      <c r="J405" s="4" t="n"/>
      <c r="K405" s="4" t="n"/>
      <c r="L405" s="4" t="n"/>
    </row>
    <row r="406">
      <c r="A406" s="4" t="inlineStr">
        <is>
          <t>350</t>
        </is>
      </c>
      <c r="B406" s="4" t="inlineStr">
        <is>
          <t>elk</t>
        </is>
      </c>
      <c r="C406" s="4" t="inlineStr">
        <is>
          <t>Elk B License: 350-02</t>
        </is>
      </c>
      <c r="D406" s="15" t="inlineStr">
        <is>
          <t>Drawing</t>
        </is>
      </c>
      <c r="E406" s="4" t="inlineStr">
        <is>
          <t>Antlerless Elk</t>
        </is>
      </c>
      <c r="F406" s="4" t="inlineStr">
        <is>
          <t>Sep 05-Oct 18</t>
        </is>
      </c>
      <c r="G406" s="4" t="inlineStr">
        <is>
          <t>Oct 24-Nov 29</t>
        </is>
      </c>
      <c r="H406" s="4" t="inlineStr">
        <is>
          <t>Dec 12-Dec 20</t>
        </is>
      </c>
      <c r="I406" s="4" t="n"/>
      <c r="J406" s="4" t="inlineStr">
        <is>
          <t>Jun 1</t>
        </is>
      </c>
      <c r="K406" s="4" t="inlineStr">
        <is>
          <t>50</t>
        </is>
      </c>
      <c r="L406" s="4" t="n"/>
    </row>
    <row r="407">
      <c r="A407" s="4" t="inlineStr">
        <is>
          <t>360</t>
        </is>
      </c>
      <c r="B407" s="4" t="inlineStr">
        <is>
          <t>elk</t>
        </is>
      </c>
      <c r="C407" s="4" t="inlineStr">
        <is>
          <t>General Elk License</t>
        </is>
      </c>
      <c r="D407" s="13" t="inlineStr">
        <is>
          <t>General license</t>
        </is>
      </c>
      <c r="E407" s="4" t="inlineStr">
        <is>
          <t>Brow-tined Bull or Antlerless Elk</t>
        </is>
      </c>
      <c r="F407" s="4" t="inlineStr">
        <is>
          <t>Sep 05-Oct 18</t>
        </is>
      </c>
      <c r="G407" s="4" t="inlineStr">
        <is>
          <t>Oct 24-Nov 29</t>
        </is>
      </c>
      <c r="H407" s="4" t="inlineStr">
        <is>
          <t>Dec 12-Dec 20</t>
        </is>
      </c>
      <c r="I407" s="4" t="n"/>
      <c r="J407" s="4" t="n"/>
      <c r="K407" s="4" t="n"/>
      <c r="L407" s="4" t="n"/>
    </row>
    <row r="408">
      <c r="A408" s="4" t="inlineStr">
        <is>
          <t>360</t>
        </is>
      </c>
      <c r="B408" s="4" t="inlineStr">
        <is>
          <t>elk</t>
        </is>
      </c>
      <c r="C408" s="4" t="inlineStr">
        <is>
          <t>General Elk License</t>
        </is>
      </c>
      <c r="D408" s="13" t="inlineStr">
        <is>
          <t>General license</t>
        </is>
      </c>
      <c r="E408" s="4" t="inlineStr">
        <is>
          <t>Either-sex Elk</t>
        </is>
      </c>
      <c r="F408" s="4" t="inlineStr">
        <is>
          <t>Sep 05-Oct 18</t>
        </is>
      </c>
      <c r="G408" s="4" t="inlineStr">
        <is>
          <t>Oct 24-Nov 29</t>
        </is>
      </c>
      <c r="H408" s="4" t="inlineStr">
        <is>
          <t>Dec 12-Dec 20</t>
        </is>
      </c>
      <c r="I408" s="4" t="n"/>
      <c r="J408" s="4" t="n"/>
      <c r="K408" s="4" t="n"/>
      <c r="L408" s="4" t="inlineStr">
        <is>
          <t>Only youth ages 12-15 and hunters with a PTHFV.</t>
        </is>
      </c>
    </row>
    <row r="409">
      <c r="A409" s="4" t="inlineStr">
        <is>
          <t>360</t>
        </is>
      </c>
      <c r="B409" s="4" t="inlineStr">
        <is>
          <t>elk</t>
        </is>
      </c>
      <c r="C409" s="4" t="inlineStr">
        <is>
          <t>Elk B License: 360-00</t>
        </is>
      </c>
      <c r="D409" s="4" t="inlineStr">
        <is>
          <t>Over the counter</t>
        </is>
      </c>
      <c r="E409" s="4" t="inlineStr">
        <is>
          <t>Antlerless Elk</t>
        </is>
      </c>
      <c r="F409" s="4" t="inlineStr">
        <is>
          <t>Sep 05-Oct 18</t>
        </is>
      </c>
      <c r="G409" s="4" t="inlineStr">
        <is>
          <t>Oct 24-Nov 29</t>
        </is>
      </c>
      <c r="H409" s="4" t="inlineStr">
        <is>
          <t>Dec 12-Dec 20</t>
        </is>
      </c>
      <c r="I409" s="4" t="n"/>
      <c r="J409" s="4" t="inlineStr">
        <is>
          <t>OTC: Jun 15</t>
        </is>
      </c>
      <c r="K409" s="4" t="inlineStr">
        <is>
          <t>UNL</t>
        </is>
      </c>
      <c r="L409" s="4" t="inlineStr">
        <is>
          <t>Not valid on National Forest.</t>
        </is>
      </c>
    </row>
    <row r="410">
      <c r="A410" s="4" t="inlineStr">
        <is>
          <t>360</t>
        </is>
      </c>
      <c r="B410" s="4" t="inlineStr">
        <is>
          <t>elk</t>
        </is>
      </c>
      <c r="C410" s="4" t="inlineStr">
        <is>
          <t>Elk B License: 360-01</t>
        </is>
      </c>
      <c r="D410" s="15" t="inlineStr">
        <is>
          <t>Drawing</t>
        </is>
      </c>
      <c r="E410" s="4" t="inlineStr">
        <is>
          <t>Antlerless Elk</t>
        </is>
      </c>
      <c r="F410" s="4" t="inlineStr">
        <is>
          <t>Sep 05-Oct 18</t>
        </is>
      </c>
      <c r="G410" s="4" t="inlineStr">
        <is>
          <t>Oct 24-Nov 29</t>
        </is>
      </c>
      <c r="H410" s="4" t="inlineStr">
        <is>
          <t>Dec 12-Dec 20</t>
        </is>
      </c>
      <c r="I410" s="4" t="n"/>
      <c r="J410" s="4" t="inlineStr">
        <is>
          <t>Jun 1</t>
        </is>
      </c>
      <c r="K410" s="4" t="inlineStr">
        <is>
          <t>250</t>
        </is>
      </c>
      <c r="L410" s="4" t="inlineStr">
        <is>
          <t>85 2026 Deer • Elk • Antelope Visit fwp.mt.gov LICENSE/PERMIT OPPORTUNITY APPL Y BY DATE QUOTA QUOTA RANGE EARL Y SEASON DATES ARCHERY ONL Y SEASON DATES GENERAL SEASON DATES HERITAGE MUZZLELOADER SEASON DATES LATE SEASON DATES OPPORTUNITY SPECIFIC DETAILS AND/ORRESTRICTIONS</t>
        </is>
      </c>
    </row>
    <row r="411">
      <c r="A411" s="4" t="inlineStr">
        <is>
          <t>361</t>
        </is>
      </c>
      <c r="B411" s="4" t="inlineStr">
        <is>
          <t>elk</t>
        </is>
      </c>
      <c r="C411" s="4" t="inlineStr">
        <is>
          <t>General Elk License</t>
        </is>
      </c>
      <c r="D411" s="13" t="inlineStr">
        <is>
          <t>General license</t>
        </is>
      </c>
      <c r="E411" s="4" t="inlineStr">
        <is>
          <t>Brow-tined Bull or Antlerless Elk</t>
        </is>
      </c>
      <c r="F411" s="4" t="inlineStr">
        <is>
          <t>Sep 05-Oct 18</t>
        </is>
      </c>
      <c r="G411" s="4" t="n"/>
      <c r="H411" s="4" t="n"/>
      <c r="I411" s="4" t="n"/>
      <c r="J411" s="4" t="n"/>
      <c r="K411" s="4" t="n"/>
      <c r="L411" s="4" t="n"/>
    </row>
    <row r="412">
      <c r="A412" s="4" t="inlineStr">
        <is>
          <t>361</t>
        </is>
      </c>
      <c r="B412" s="4" t="inlineStr">
        <is>
          <t>elk</t>
        </is>
      </c>
      <c r="C412" s="4" t="inlineStr">
        <is>
          <t>General Elk License</t>
        </is>
      </c>
      <c r="D412" s="13" t="inlineStr">
        <is>
          <t>General license</t>
        </is>
      </c>
      <c r="E412" s="4" t="inlineStr">
        <is>
          <t>Either-sex Elk</t>
        </is>
      </c>
      <c r="F412" s="4" t="inlineStr">
        <is>
          <t>Sep 05-Oct 18</t>
        </is>
      </c>
      <c r="G412" s="4" t="inlineStr">
        <is>
          <t>Oct 24-Nov 29</t>
        </is>
      </c>
      <c r="H412" s="4" t="inlineStr">
        <is>
          <t>Dec 12-Dec 20</t>
        </is>
      </c>
      <c r="I412" s="4" t="n"/>
      <c r="J412" s="4" t="n"/>
      <c r="K412" s="4" t="n"/>
      <c r="L412" s="4" t="inlineStr">
        <is>
          <t>Only youth ages 12-15 and hunters with a PTHFV. Resident hunters 75 years old and older may harvest an antlerless elk on private land.</t>
        </is>
      </c>
    </row>
    <row r="413">
      <c r="A413" s="4" t="inlineStr">
        <is>
          <t>361</t>
        </is>
      </c>
      <c r="B413" s="4" t="inlineStr">
        <is>
          <t>elk</t>
        </is>
      </c>
      <c r="C413" s="4" t="inlineStr">
        <is>
          <t>General Elk License</t>
        </is>
      </c>
      <c r="D413" s="13" t="inlineStr">
        <is>
          <t>General license</t>
        </is>
      </c>
      <c r="E413" s="4" t="inlineStr">
        <is>
          <t>Brow-tined Bull Elk</t>
        </is>
      </c>
      <c r="F413" s="4" t="n"/>
      <c r="G413" s="4" t="inlineStr">
        <is>
          <t>Oct 24-Nov 29</t>
        </is>
      </c>
      <c r="H413" s="4" t="inlineStr">
        <is>
          <t>Dec 12-Dec 20</t>
        </is>
      </c>
      <c r="I413" s="4" t="n"/>
      <c r="J413" s="4" t="n"/>
      <c r="K413" s="4" t="n"/>
      <c r="L413" s="4" t="n"/>
    </row>
    <row r="414">
      <c r="A414" s="4" t="inlineStr">
        <is>
          <t>361</t>
        </is>
      </c>
      <c r="B414" s="4" t="inlineStr">
        <is>
          <t>elk</t>
        </is>
      </c>
      <c r="C414" s="4" t="inlineStr">
        <is>
          <t>Elk B License: 361-00</t>
        </is>
      </c>
      <c r="D414" s="15" t="inlineStr">
        <is>
          <t>Drawing</t>
        </is>
      </c>
      <c r="E414" s="4" t="inlineStr">
        <is>
          <t>Antlerless Elk</t>
        </is>
      </c>
      <c r="F414" s="4" t="inlineStr">
        <is>
          <t>Sep 05-Oct 18</t>
        </is>
      </c>
      <c r="G414" s="4" t="inlineStr">
        <is>
          <t>Oct 24-Nov 29</t>
        </is>
      </c>
      <c r="H414" s="4" t="inlineStr">
        <is>
          <t>Dec 12-Dec 20</t>
        </is>
      </c>
      <c r="I414" s="4" t="n"/>
      <c r="J414" s="4" t="inlineStr">
        <is>
          <t>Jun 1</t>
        </is>
      </c>
      <c r="K414" s="4" t="inlineStr">
        <is>
          <t>50</t>
        </is>
      </c>
      <c r="L414" s="4" t="n"/>
    </row>
    <row r="415">
      <c r="A415" s="4" t="inlineStr">
        <is>
          <t>370</t>
        </is>
      </c>
      <c r="B415" s="4" t="inlineStr">
        <is>
          <t>elk</t>
        </is>
      </c>
      <c r="C415" s="4" t="inlineStr">
        <is>
          <t>General Elk License</t>
        </is>
      </c>
      <c r="D415" s="13" t="inlineStr">
        <is>
          <t>General license</t>
        </is>
      </c>
      <c r="E415" s="4" t="inlineStr">
        <is>
          <t>Brow-tined Bull or Antlerless Elk</t>
        </is>
      </c>
      <c r="F415" s="4" t="inlineStr">
        <is>
          <t>Sep 05-Oct 18</t>
        </is>
      </c>
      <c r="G415" s="4" t="inlineStr">
        <is>
          <t>Oct 24-Nov 29</t>
        </is>
      </c>
      <c r="H415" s="4" t="inlineStr">
        <is>
          <t>Dec 12-Dec 20</t>
        </is>
      </c>
      <c r="I415" s="4" t="n"/>
      <c r="J415" s="4" t="n"/>
      <c r="K415" s="4" t="n"/>
      <c r="L415" s="4" t="n"/>
    </row>
    <row r="416">
      <c r="A416" s="4" t="inlineStr">
        <is>
          <t>370</t>
        </is>
      </c>
      <c r="B416" s="4" t="inlineStr">
        <is>
          <t>elk</t>
        </is>
      </c>
      <c r="C416" s="4" t="inlineStr">
        <is>
          <t>General Elk License</t>
        </is>
      </c>
      <c r="D416" s="13" t="inlineStr">
        <is>
          <t>General license</t>
        </is>
      </c>
      <c r="E416" s="4" t="inlineStr">
        <is>
          <t>Either-sex Elk</t>
        </is>
      </c>
      <c r="F416" s="4" t="inlineStr">
        <is>
          <t>Sep 05-Oct 18</t>
        </is>
      </c>
      <c r="G416" s="4" t="inlineStr">
        <is>
          <t>Oct 24-Nov 29</t>
        </is>
      </c>
      <c r="H416" s="4" t="inlineStr">
        <is>
          <t>Dec 12-Dec 20</t>
        </is>
      </c>
      <c r="I416" s="4" t="n"/>
      <c r="J416" s="4" t="n"/>
      <c r="K416" s="4" t="n"/>
      <c r="L416" s="4" t="inlineStr">
        <is>
          <t>Only youth ages 12-15 and hunters with a PTHFV.</t>
        </is>
      </c>
    </row>
    <row r="417">
      <c r="A417" s="4" t="inlineStr">
        <is>
          <t>370</t>
        </is>
      </c>
      <c r="B417" s="4" t="inlineStr">
        <is>
          <t>elk</t>
        </is>
      </c>
      <c r="C417" s="4" t="inlineStr">
        <is>
          <t>Elk B License: 370-02</t>
        </is>
      </c>
      <c r="D417" s="15" t="inlineStr">
        <is>
          <t>Drawing</t>
        </is>
      </c>
      <c r="E417" s="4" t="inlineStr">
        <is>
          <t>Antlerless Elk</t>
        </is>
      </c>
      <c r="F417" s="4" t="inlineStr">
        <is>
          <t>Sep 05-Oct 18</t>
        </is>
      </c>
      <c r="G417" s="4" t="inlineStr">
        <is>
          <t>Oct 24-Nov 29</t>
        </is>
      </c>
      <c r="H417" s="4" t="inlineStr">
        <is>
          <t>Dec 12-Dec 20</t>
        </is>
      </c>
      <c r="I417" s="4" t="n"/>
      <c r="J417" s="4" t="inlineStr">
        <is>
          <t>Jun 1</t>
        </is>
      </c>
      <c r="K417" s="4" t="inlineStr">
        <is>
          <t>100</t>
        </is>
      </c>
      <c r="L417" s="4" t="inlineStr">
        <is>
          <t>LICENSE/PERMIT OPPORTUNITY APPL Y BY DATE QUOTA QUOTA RANGE EARL Y SEASON DATES ARCHERY ONL Y SEASON DATES GENERAL SEASON DATES HERITAGE MUZZLELOADER SEASON DATES LATE SEASON DATES OPPORTUNITY SPECIFIC DETAILS AND/ORRESTRICTIONS</t>
        </is>
      </c>
    </row>
    <row r="418">
      <c r="A418" s="4" t="inlineStr">
        <is>
          <t>380</t>
        </is>
      </c>
      <c r="B418" s="4" t="inlineStr">
        <is>
          <t>elk</t>
        </is>
      </c>
      <c r="C418" s="4" t="inlineStr">
        <is>
          <t>General Elk License</t>
        </is>
      </c>
      <c r="D418" s="13" t="inlineStr">
        <is>
          <t>General license</t>
        </is>
      </c>
      <c r="E418" s="4" t="inlineStr">
        <is>
          <t>Spike Bull or Antlerless Elk</t>
        </is>
      </c>
      <c r="F418" s="4" t="inlineStr">
        <is>
          <t>Sep 05-Oct 18</t>
        </is>
      </c>
      <c r="G418" s="4" t="n"/>
      <c r="H418" s="4" t="n"/>
      <c r="I418" s="4" t="n"/>
      <c r="J418" s="4" t="n"/>
      <c r="K418" s="4" t="n"/>
      <c r="L418" s="4" t="n"/>
    </row>
    <row r="419">
      <c r="A419" s="4" t="inlineStr">
        <is>
          <t>380</t>
        </is>
      </c>
      <c r="B419" s="4" t="inlineStr">
        <is>
          <t>elk</t>
        </is>
      </c>
      <c r="C419" s="4" t="inlineStr">
        <is>
          <t>General Elk License</t>
        </is>
      </c>
      <c r="D419" s="13" t="inlineStr">
        <is>
          <t>General license</t>
        </is>
      </c>
      <c r="E419" s="4" t="inlineStr">
        <is>
          <t>Spike Bull Elk</t>
        </is>
      </c>
      <c r="F419" s="4" t="n"/>
      <c r="G419" s="4" t="inlineStr">
        <is>
          <t>Oct 24-Nov 29</t>
        </is>
      </c>
      <c r="H419" s="4" t="inlineStr">
        <is>
          <t>Dec 12-Dec 20</t>
        </is>
      </c>
      <c r="I419" s="4" t="n"/>
      <c r="J419" s="4" t="n"/>
      <c r="K419" s="4" t="n"/>
      <c r="L419" s="4" t="n"/>
    </row>
    <row r="420">
      <c r="A420" s="4" t="inlineStr">
        <is>
          <t>380</t>
        </is>
      </c>
      <c r="B420" s="4" t="inlineStr">
        <is>
          <t>elk</t>
        </is>
      </c>
      <c r="C420" s="4" t="inlineStr">
        <is>
          <t>General Elk License</t>
        </is>
      </c>
      <c r="D420" s="13" t="inlineStr">
        <is>
          <t>General license</t>
        </is>
      </c>
      <c r="E420" s="4" t="inlineStr">
        <is>
          <t>Spike Bull or Antlerless Elk</t>
        </is>
      </c>
      <c r="F420" s="4" t="n"/>
      <c r="G420" s="4" t="inlineStr">
        <is>
          <t>Oct 24-Nov 15</t>
        </is>
      </c>
      <c r="H420" s="4" t="n"/>
      <c r="I420" s="4" t="n"/>
      <c r="J420" s="4" t="n"/>
      <c r="K420" s="4" t="n"/>
      <c r="L420" s="4" t="inlineStr">
        <is>
          <t>Only youth ages 12-15 and hunters with a PTHFV. Resident hunters 75 years old and older may harvest an antlerless elk on private land.</t>
        </is>
      </c>
    </row>
    <row r="421">
      <c r="A421" s="4" t="inlineStr">
        <is>
          <t>380</t>
        </is>
      </c>
      <c r="B421" s="4" t="inlineStr">
        <is>
          <t>elk</t>
        </is>
      </c>
      <c r="C421" s="4" t="inlineStr">
        <is>
          <t>Elk B License: 380-00</t>
        </is>
      </c>
      <c r="D421" s="15" t="inlineStr">
        <is>
          <t>Drawing</t>
        </is>
      </c>
      <c r="E421" s="4" t="inlineStr">
        <is>
          <t>Antlerless Elk</t>
        </is>
      </c>
      <c r="F421" s="4" t="inlineStr">
        <is>
          <t>Sep 05-Oct 18</t>
        </is>
      </c>
      <c r="G421" s="4" t="inlineStr">
        <is>
          <t>Oct 24-Nov 29</t>
        </is>
      </c>
      <c r="H421" s="4" t="inlineStr">
        <is>
          <t>Dec 12-Dec 20</t>
        </is>
      </c>
      <c r="I421" s="4" t="n"/>
      <c r="J421" s="4" t="inlineStr">
        <is>
          <t>Jun 1</t>
        </is>
      </c>
      <c r="K421" s="4" t="inlineStr">
        <is>
          <t>325</t>
        </is>
      </c>
      <c r="L421" s="4" t="inlineStr">
        <is>
          <t>License not valid on National Forest lands and not valid of National Forest lands west of U.S. Hwy 12/287 between Indian Creek and Beaver Creek. License valid in the rest of the HD.</t>
        </is>
      </c>
    </row>
    <row r="422">
      <c r="A422" s="4" t="inlineStr">
        <is>
          <t>380</t>
        </is>
      </c>
      <c r="B422" s="4" t="inlineStr">
        <is>
          <t>elk</t>
        </is>
      </c>
      <c r="C422" s="4" t="inlineStr">
        <is>
          <t>Elk B License: 397-00</t>
        </is>
      </c>
      <c r="D422" s="4" t="inlineStr">
        <is>
          <t>Over the counter</t>
        </is>
      </c>
      <c r="E422" s="4" t="inlineStr">
        <is>
          <t>Antlerless Elk</t>
        </is>
      </c>
      <c r="F422" s="4" t="n"/>
      <c r="G422" s="4" t="n"/>
      <c r="H422" s="4" t="n"/>
      <c r="I422" s="4" t="inlineStr">
        <is>
          <t>Nov 30-Feb 15</t>
        </is>
      </c>
      <c r="J422" s="4" t="inlineStr">
        <is>
          <t>OTC: Jun 15</t>
        </is>
      </c>
      <c r="K422" s="4" t="inlineStr">
        <is>
          <t>UNL</t>
        </is>
      </c>
      <c r="L422" s="4" t="inlineStr">
        <is>
          <t>One per hunter, multi-district license. In HD 380 only valid in the area bounded by (between) U.S. Hwy 287, Price Rd/Old Boulder Rd, and the Lone Mtn Rd.</t>
        </is>
      </c>
    </row>
    <row r="423">
      <c r="A423" s="4" t="inlineStr">
        <is>
          <t>380</t>
        </is>
      </c>
      <c r="B423" s="4" t="inlineStr">
        <is>
          <t>elk</t>
        </is>
      </c>
      <c r="C423" s="4" t="inlineStr">
        <is>
          <t>Elk Permit: 380-20</t>
        </is>
      </c>
      <c r="D423" s="15" t="inlineStr">
        <is>
          <t>Drawing</t>
        </is>
      </c>
      <c r="E423" s="4" t="inlineStr">
        <is>
          <t>Either-sex Elk</t>
        </is>
      </c>
      <c r="F423" s="4" t="inlineStr">
        <is>
          <t>Sep 05-Oct 18</t>
        </is>
      </c>
      <c r="G423" s="4" t="inlineStr">
        <is>
          <t>Oct 24-Nov 29</t>
        </is>
      </c>
      <c r="H423" s="4" t="inlineStr">
        <is>
          <t>Dec 12-Dec 20</t>
        </is>
      </c>
      <c r="I423" s="4" t="n"/>
      <c r="J423" s="4" t="inlineStr">
        <is>
          <t>April 1</t>
        </is>
      </c>
      <c r="K423" s="4" t="inlineStr">
        <is>
          <t>100</t>
        </is>
      </c>
      <c r="L423" s="4" t="inlineStr">
        <is>
          <t>Permit must be used with a valid General Elk License. Holders may not hunt Antlered Elk in any other HD during these described season dates. 87 2026 Deer • Elk • Antelope Visit fwp.mt.gov LICENSE/PERMIT OPPORTUNITY APPL Y BY DATE QUOTA QUOTA RANGE EARL Y SEASON DATES ARCHERY ONL Y SEASON DATES GENER</t>
        </is>
      </c>
    </row>
    <row r="424">
      <c r="A424" s="4" t="inlineStr">
        <is>
          <t>388</t>
        </is>
      </c>
      <c r="B424" s="4" t="inlineStr">
        <is>
          <t>elk</t>
        </is>
      </c>
      <c r="C424" s="4" t="inlineStr">
        <is>
          <t>General Elk License</t>
        </is>
      </c>
      <c r="D424" s="13" t="inlineStr">
        <is>
          <t>General license</t>
        </is>
      </c>
      <c r="E424" s="4" t="inlineStr">
        <is>
          <t>Spike Bull or Antlerless Elk</t>
        </is>
      </c>
      <c r="F424" s="4" t="inlineStr">
        <is>
          <t>Sep 05-Oct 18</t>
        </is>
      </c>
      <c r="G424" s="4" t="inlineStr">
        <is>
          <t>Oct 24-Nov 29</t>
        </is>
      </c>
      <c r="H424" s="4" t="inlineStr">
        <is>
          <t>Dec 12-Dec 20</t>
        </is>
      </c>
      <c r="I424" s="4" t="n"/>
      <c r="J424" s="4" t="n"/>
      <c r="K424" s="4" t="n"/>
      <c r="L424" s="4" t="inlineStr">
        <is>
          <t>Outside Weapons Restriction Area. ELK Inside the Weapons Restriction Area</t>
        </is>
      </c>
    </row>
    <row r="425">
      <c r="A425" s="4" t="inlineStr">
        <is>
          <t>388</t>
        </is>
      </c>
      <c r="B425" s="4" t="inlineStr">
        <is>
          <t>elk</t>
        </is>
      </c>
      <c r="C425" s="4" t="inlineStr">
        <is>
          <t>General Elk License</t>
        </is>
      </c>
      <c r="D425" s="13" t="inlineStr">
        <is>
          <t>General license</t>
        </is>
      </c>
      <c r="E425" s="4" t="inlineStr">
        <is>
          <t>Spike Bull or Antlerless Elk</t>
        </is>
      </c>
      <c r="F425" s="4" t="n"/>
      <c r="G425" s="4" t="inlineStr">
        <is>
          <t>Aug 15-Jan 31</t>
        </is>
      </c>
      <c r="H425" s="4" t="inlineStr">
        <is>
          <t>Dec 12-Dec 20</t>
        </is>
      </c>
      <c r="I425" s="4" t="n"/>
      <c r="J425" s="4" t="n"/>
      <c r="K425" s="4" t="n"/>
      <c r="L425" s="4" t="inlineStr">
        <is>
          <t>Weapons Restriction Area.</t>
        </is>
      </c>
    </row>
    <row r="426">
      <c r="A426" s="4" t="inlineStr">
        <is>
          <t>390</t>
        </is>
      </c>
      <c r="B426" s="4" t="inlineStr">
        <is>
          <t>elk</t>
        </is>
      </c>
      <c r="C426" s="4" t="inlineStr">
        <is>
          <t>General Elk License</t>
        </is>
      </c>
      <c r="D426" s="13" t="inlineStr">
        <is>
          <t>General license</t>
        </is>
      </c>
      <c r="E426" s="4" t="inlineStr">
        <is>
          <t>Brow-tined Bull or Antlerless Elk</t>
        </is>
      </c>
      <c r="F426" s="4" t="inlineStr">
        <is>
          <t>Sep 05-Oct 18</t>
        </is>
      </c>
      <c r="G426" s="4" t="inlineStr">
        <is>
          <t>Oct 24-Nov 29</t>
        </is>
      </c>
      <c r="H426" s="4" t="inlineStr">
        <is>
          <t>Dec 12-Dec 20</t>
        </is>
      </c>
      <c r="I426" s="4" t="n"/>
      <c r="J426" s="4" t="n"/>
      <c r="K426" s="4" t="n"/>
      <c r="L426" s="4" t="n"/>
    </row>
    <row r="427">
      <c r="A427" s="4" t="inlineStr">
        <is>
          <t>390</t>
        </is>
      </c>
      <c r="B427" s="4" t="inlineStr">
        <is>
          <t>elk</t>
        </is>
      </c>
      <c r="C427" s="4" t="inlineStr">
        <is>
          <t>General Elk License</t>
        </is>
      </c>
      <c r="D427" s="13" t="inlineStr">
        <is>
          <t>General license</t>
        </is>
      </c>
      <c r="E427" s="4" t="inlineStr">
        <is>
          <t>Either-sex Elk</t>
        </is>
      </c>
      <c r="F427" s="4" t="inlineStr">
        <is>
          <t>Sep 05-Oct 18</t>
        </is>
      </c>
      <c r="G427" s="4" t="inlineStr">
        <is>
          <t>Oct 24-Nov 29</t>
        </is>
      </c>
      <c r="H427" s="4" t="inlineStr">
        <is>
          <t>Dec 12-Dec 20</t>
        </is>
      </c>
      <c r="I427" s="4" t="n"/>
      <c r="J427" s="4" t="n"/>
      <c r="K427" s="4" t="n"/>
      <c r="L427" s="4" t="inlineStr">
        <is>
          <t>Only youth ages 12-15 and hunters with a PTHFV.</t>
        </is>
      </c>
    </row>
    <row r="428">
      <c r="A428" s="4" t="inlineStr">
        <is>
          <t>390</t>
        </is>
      </c>
      <c r="B428" s="4" t="inlineStr">
        <is>
          <t>elk</t>
        </is>
      </c>
      <c r="C428" s="4" t="inlineStr">
        <is>
          <t>General Elk License</t>
        </is>
      </c>
      <c r="D428" s="13" t="inlineStr">
        <is>
          <t>General license</t>
        </is>
      </c>
      <c r="E428" s="4" t="inlineStr">
        <is>
          <t>Antlerless Elk</t>
        </is>
      </c>
      <c r="F428" s="4" t="n"/>
      <c r="G428" s="4" t="n"/>
      <c r="H428" s="4" t="n"/>
      <c r="I428" s="4" t="inlineStr">
        <is>
          <t>Nov 30-Feb 15</t>
        </is>
      </c>
      <c r="J428" s="4" t="n"/>
      <c r="K428" s="4" t="n"/>
      <c r="L428" s="4" t="inlineStr">
        <is>
          <t>Not Valid on National Forest Lands.</t>
        </is>
      </c>
    </row>
    <row r="429">
      <c r="A429" s="4" t="inlineStr">
        <is>
          <t>390</t>
        </is>
      </c>
      <c r="B429" s="4" t="inlineStr">
        <is>
          <t>elk</t>
        </is>
      </c>
      <c r="C429" s="4" t="inlineStr">
        <is>
          <t>Elk B License: 397-00</t>
        </is>
      </c>
      <c r="D429" s="4" t="inlineStr">
        <is>
          <t>Over the counter</t>
        </is>
      </c>
      <c r="E429" s="4" t="inlineStr">
        <is>
          <t>Antlerless Elk</t>
        </is>
      </c>
      <c r="F429" s="4" t="n"/>
      <c r="G429" s="4" t="n"/>
      <c r="H429" s="4" t="n"/>
      <c r="I429" s="4" t="n"/>
      <c r="J429" s="4" t="inlineStr">
        <is>
          <t>OTC: Jun 15</t>
        </is>
      </c>
      <c r="K429" s="4" t="inlineStr">
        <is>
          <t>UNL</t>
        </is>
      </c>
      <c r="L429" s="4" t="inlineStr">
        <is>
          <t>One per hunter, multi-district license. In HD 390, only valid on private land. One per hunter, multi-district license. In HD 390, not valid on National Forest Lands. LICENSE/PERMIT OPPORTUNITY APPL Y BY DATE QUOTA QUOTA RANGE EARL Y SEASON DATES ARCHERY ONL Y SEASON DATES GENERAL SEASON DATES HERITA</t>
        </is>
      </c>
    </row>
    <row r="430">
      <c r="A430" s="4" t="inlineStr">
        <is>
          <t>391</t>
        </is>
      </c>
      <c r="B430" s="4" t="inlineStr">
        <is>
          <t>elk</t>
        </is>
      </c>
      <c r="C430" s="4" t="inlineStr">
        <is>
          <t>General Elk License</t>
        </is>
      </c>
      <c r="D430" s="13" t="inlineStr">
        <is>
          <t>General license</t>
        </is>
      </c>
      <c r="E430" s="4" t="inlineStr">
        <is>
          <t>Brow-tined Bull or Antlerless Elk</t>
        </is>
      </c>
      <c r="F430" s="4" t="inlineStr">
        <is>
          <t>Sep 05-Oct 18</t>
        </is>
      </c>
      <c r="G430" s="4" t="n"/>
      <c r="H430" s="4" t="n"/>
      <c r="I430" s="4" t="n"/>
      <c r="J430" s="4" t="n"/>
      <c r="K430" s="4" t="n"/>
      <c r="L430" s="4" t="n"/>
    </row>
    <row r="431">
      <c r="A431" s="4" t="inlineStr">
        <is>
          <t>391</t>
        </is>
      </c>
      <c r="B431" s="4" t="inlineStr">
        <is>
          <t>elk</t>
        </is>
      </c>
      <c r="C431" s="4" t="inlineStr">
        <is>
          <t>General Elk License</t>
        </is>
      </c>
      <c r="D431" s="13" t="inlineStr">
        <is>
          <t>General license</t>
        </is>
      </c>
      <c r="E431" s="4" t="inlineStr">
        <is>
          <t>Antlerless Elk</t>
        </is>
      </c>
      <c r="F431" s="4" t="n"/>
      <c r="G431" s="4" t="inlineStr">
        <is>
          <t>Oct 24-Nov 29</t>
        </is>
      </c>
      <c r="H431" s="4" t="inlineStr">
        <is>
          <t>Dec 12-Dec 20</t>
        </is>
      </c>
      <c r="I431" s="4" t="n"/>
      <c r="J431" s="4" t="n"/>
      <c r="K431" s="4" t="n"/>
      <c r="L431" s="4" t="inlineStr">
        <is>
          <t>Not valid on National Forest Lands.</t>
        </is>
      </c>
    </row>
    <row r="432">
      <c r="A432" s="4" t="inlineStr">
        <is>
          <t>391</t>
        </is>
      </c>
      <c r="B432" s="4" t="inlineStr">
        <is>
          <t>elk</t>
        </is>
      </c>
      <c r="C432" s="4" t="inlineStr">
        <is>
          <t>General Elk License</t>
        </is>
      </c>
      <c r="D432" s="13" t="inlineStr">
        <is>
          <t>General license</t>
        </is>
      </c>
      <c r="E432" s="4" t="inlineStr">
        <is>
          <t>Brow-tined Bull Elk</t>
        </is>
      </c>
      <c r="F432" s="4" t="n"/>
      <c r="G432" s="4" t="inlineStr">
        <is>
          <t>Oct 24-Nov 29</t>
        </is>
      </c>
      <c r="H432" s="4" t="inlineStr">
        <is>
          <t>Dec 12-Dec 20</t>
        </is>
      </c>
      <c r="I432" s="4" t="n"/>
      <c r="J432" s="4" t="n"/>
      <c r="K432" s="4" t="n"/>
      <c r="L432" s="4" t="n"/>
    </row>
    <row r="433">
      <c r="A433" s="4" t="inlineStr">
        <is>
          <t>391</t>
        </is>
      </c>
      <c r="B433" s="4" t="inlineStr">
        <is>
          <t>elk</t>
        </is>
      </c>
      <c r="C433" s="4" t="inlineStr">
        <is>
          <t>General Elk License</t>
        </is>
      </c>
      <c r="D433" s="13" t="inlineStr">
        <is>
          <t>General license</t>
        </is>
      </c>
      <c r="E433" s="4" t="inlineStr">
        <is>
          <t>Antlerless Elk</t>
        </is>
      </c>
      <c r="F433" s="4" t="n"/>
      <c r="G433" s="4" t="n"/>
      <c r="H433" s="4" t="n"/>
      <c r="I433" s="4" t="inlineStr">
        <is>
          <t>Nov 30-Feb 15</t>
        </is>
      </c>
      <c r="J433" s="4" t="n"/>
      <c r="K433" s="4" t="n"/>
      <c r="L433" s="4" t="inlineStr">
        <is>
          <t>Only valid south of Duck Creek. Not valid on National Forest Lands.</t>
        </is>
      </c>
    </row>
    <row r="434">
      <c r="A434" s="4" t="inlineStr">
        <is>
          <t>391</t>
        </is>
      </c>
      <c r="B434" s="4" t="inlineStr">
        <is>
          <t>elk</t>
        </is>
      </c>
      <c r="C434" s="4" t="inlineStr">
        <is>
          <t>Elk B License: 391-00</t>
        </is>
      </c>
      <c r="D434" s="15" t="inlineStr">
        <is>
          <t>Drawing</t>
        </is>
      </c>
      <c r="E434" s="4" t="inlineStr">
        <is>
          <t>Antlerless Elk</t>
        </is>
      </c>
      <c r="F434" s="4" t="inlineStr">
        <is>
          <t>Sep 05-Oct 18</t>
        </is>
      </c>
      <c r="G434" s="4" t="inlineStr">
        <is>
          <t>Oct 24-Nov 29</t>
        </is>
      </c>
      <c r="H434" s="4" t="inlineStr">
        <is>
          <t>Dec 12-Dec 20</t>
        </is>
      </c>
      <c r="I434" s="4" t="n"/>
      <c r="J434" s="4" t="inlineStr">
        <is>
          <t>Jun 1</t>
        </is>
      </c>
      <c r="K434" s="4" t="inlineStr">
        <is>
          <t>175</t>
        </is>
      </c>
      <c r="L434" s="4" t="inlineStr">
        <is>
          <t>Not Valid on National Forest Lands.</t>
        </is>
      </c>
    </row>
    <row r="435">
      <c r="A435" s="4" t="inlineStr">
        <is>
          <t>391</t>
        </is>
      </c>
      <c r="B435" s="4" t="inlineStr">
        <is>
          <t>elk</t>
        </is>
      </c>
      <c r="C435" s="4" t="inlineStr">
        <is>
          <t>Elk B License: 397-00</t>
        </is>
      </c>
      <c r="D435" s="4" t="inlineStr">
        <is>
          <t>Over the counter</t>
        </is>
      </c>
      <c r="E435" s="4" t="inlineStr">
        <is>
          <t>Antlerless Elk</t>
        </is>
      </c>
      <c r="F435" s="4" t="inlineStr">
        <is>
          <t>Sep 05-Oct 18</t>
        </is>
      </c>
      <c r="G435" s="4" t="inlineStr">
        <is>
          <t>Oct 24-Nov 29</t>
        </is>
      </c>
      <c r="H435" s="4" t="n"/>
      <c r="I435" s="4" t="inlineStr">
        <is>
          <t>Nov 30-Feb 15</t>
        </is>
      </c>
      <c r="J435" s="4" t="inlineStr">
        <is>
          <t>OTC: Jun 15</t>
        </is>
      </c>
      <c r="K435" s="4" t="inlineStr">
        <is>
          <t>UNL</t>
        </is>
      </c>
      <c r="L435" s="4" t="inlineStr">
        <is>
          <t>One per hunter. Multi-district license. In HD 391, only valid south of Duck Creek. Not valid on National Forest Lands.</t>
        </is>
      </c>
    </row>
    <row r="436">
      <c r="A436" s="4" t="inlineStr">
        <is>
          <t>392</t>
        </is>
      </c>
      <c r="B436" s="4" t="inlineStr">
        <is>
          <t>elk</t>
        </is>
      </c>
      <c r="C436" s="4" t="inlineStr">
        <is>
          <t>General Elk License</t>
        </is>
      </c>
      <c r="D436" s="13" t="inlineStr">
        <is>
          <t>General license</t>
        </is>
      </c>
      <c r="E436" s="4" t="inlineStr">
        <is>
          <t>Brow-tined Bull or Antlerless Elk</t>
        </is>
      </c>
      <c r="F436" s="4" t="inlineStr">
        <is>
          <t>Sep 05-Oct 18</t>
        </is>
      </c>
      <c r="G436" s="4" t="n"/>
      <c r="H436" s="4" t="n"/>
      <c r="I436" s="4" t="n"/>
      <c r="J436" s="4" t="n"/>
      <c r="K436" s="4" t="n"/>
      <c r="L436" s="4" t="n"/>
    </row>
    <row r="437">
      <c r="A437" s="4" t="inlineStr">
        <is>
          <t>392</t>
        </is>
      </c>
      <c r="B437" s="4" t="inlineStr">
        <is>
          <t>elk</t>
        </is>
      </c>
      <c r="C437" s="4" t="inlineStr">
        <is>
          <t>General Elk License</t>
        </is>
      </c>
      <c r="D437" s="13" t="inlineStr">
        <is>
          <t>General license</t>
        </is>
      </c>
      <c r="E437" s="4" t="inlineStr">
        <is>
          <t>Brow-tined Bull Elk</t>
        </is>
      </c>
      <c r="F437" s="4" t="n"/>
      <c r="G437" s="4" t="inlineStr">
        <is>
          <t>Oct 24-Nov 29</t>
        </is>
      </c>
      <c r="H437" s="4" t="inlineStr">
        <is>
          <t>Dec 12-Dec 20</t>
        </is>
      </c>
      <c r="I437" s="4" t="n"/>
      <c r="J437" s="4" t="n"/>
      <c r="K437" s="4" t="n"/>
      <c r="L437" s="4" t="n"/>
    </row>
    <row r="438">
      <c r="A438" s="4" t="inlineStr">
        <is>
          <t>392</t>
        </is>
      </c>
      <c r="B438" s="4" t="inlineStr">
        <is>
          <t>elk</t>
        </is>
      </c>
      <c r="C438" s="4" t="inlineStr">
        <is>
          <t>Elk B License: 392-00</t>
        </is>
      </c>
      <c r="D438" s="15" t="inlineStr">
        <is>
          <t>Drawing</t>
        </is>
      </c>
      <c r="E438" s="4" t="inlineStr">
        <is>
          <t>Antlerless Elk</t>
        </is>
      </c>
      <c r="F438" s="4" t="inlineStr">
        <is>
          <t>Sep 05-Oct 18</t>
        </is>
      </c>
      <c r="G438" s="4" t="inlineStr">
        <is>
          <t>Oct 24-Nov 29</t>
        </is>
      </c>
      <c r="H438" s="4" t="inlineStr">
        <is>
          <t>Dec 12-Dec 20</t>
        </is>
      </c>
      <c r="I438" s="4" t="n"/>
      <c r="J438" s="4" t="inlineStr">
        <is>
          <t>Jun 1</t>
        </is>
      </c>
      <c r="K438" s="4" t="inlineStr">
        <is>
          <t>25</t>
        </is>
      </c>
      <c r="L438" s="4" t="inlineStr">
        <is>
          <t>89 2026 Deer • Elk • Antelope Visit fwp.mt.gov LICENSE/PERMIT OPPORTUNITY APPL Y BY DATE QUOTA QUOTA RANGE EARL Y SEASON DATES ARCHERY ONL Y SEASON DATES GENERAL SEASON DATES HERITAGE MUZZLELOADER SEASON DATES LATE SEASON DATES OPPORTUNITY SPECIFIC DETAILS AND/ORRESTRICTIONS</t>
        </is>
      </c>
    </row>
    <row r="439">
      <c r="A439" s="4" t="inlineStr">
        <is>
          <t>393</t>
        </is>
      </c>
      <c r="B439" s="4" t="inlineStr">
        <is>
          <t>elk</t>
        </is>
      </c>
      <c r="C439" s="4" t="inlineStr">
        <is>
          <t>General Elk License</t>
        </is>
      </c>
      <c r="D439" s="13" t="inlineStr">
        <is>
          <t>General license</t>
        </is>
      </c>
      <c r="E439" s="4" t="inlineStr">
        <is>
          <t>Brow-tined Bull or Antlerless Elk</t>
        </is>
      </c>
      <c r="F439" s="4" t="inlineStr">
        <is>
          <t>Sep 05-Oct 18</t>
        </is>
      </c>
      <c r="G439" s="4" t="inlineStr">
        <is>
          <t>Oct 24-Nov 29</t>
        </is>
      </c>
      <c r="H439" s="4" t="inlineStr">
        <is>
          <t>Dec 12-Dec 20</t>
        </is>
      </c>
      <c r="I439" s="4" t="n"/>
      <c r="J439" s="4" t="n"/>
      <c r="K439" s="4" t="n"/>
      <c r="L439" s="4" t="n"/>
    </row>
    <row r="440">
      <c r="A440" s="4" t="inlineStr">
        <is>
          <t>393</t>
        </is>
      </c>
      <c r="B440" s="4" t="inlineStr">
        <is>
          <t>elk</t>
        </is>
      </c>
      <c r="C440" s="4" t="inlineStr">
        <is>
          <t>General Elk License</t>
        </is>
      </c>
      <c r="D440" s="13" t="inlineStr">
        <is>
          <t>General license</t>
        </is>
      </c>
      <c r="E440" s="4" t="inlineStr">
        <is>
          <t>Either-sex Elk</t>
        </is>
      </c>
      <c r="F440" s="4" t="inlineStr">
        <is>
          <t>Sep 05-Oct 18</t>
        </is>
      </c>
      <c r="G440" s="4" t="inlineStr">
        <is>
          <t>Oct 24-Nov 29</t>
        </is>
      </c>
      <c r="H440" s="4" t="inlineStr">
        <is>
          <t>Dec 12-Dec 20</t>
        </is>
      </c>
      <c r="I440" s="4" t="n"/>
      <c r="J440" s="4" t="n"/>
      <c r="K440" s="4" t="n"/>
      <c r="L440" s="4" t="inlineStr">
        <is>
          <t>Only youth ages 12-15 and hunters with a PTHFV.</t>
        </is>
      </c>
    </row>
    <row r="441">
      <c r="A441" s="4" t="inlineStr">
        <is>
          <t>393</t>
        </is>
      </c>
      <c r="B441" s="4" t="inlineStr">
        <is>
          <t>elk</t>
        </is>
      </c>
      <c r="C441" s="4" t="inlineStr">
        <is>
          <t>General Elk License</t>
        </is>
      </c>
      <c r="D441" s="13" t="inlineStr">
        <is>
          <t>General license</t>
        </is>
      </c>
      <c r="E441" s="4" t="inlineStr">
        <is>
          <t>Antlerless Elk</t>
        </is>
      </c>
      <c r="F441" s="4" t="n"/>
      <c r="G441" s="4" t="n"/>
      <c r="H441" s="4" t="n"/>
      <c r="I441" s="4" t="inlineStr">
        <is>
          <t>Nov 30-Feb 15</t>
        </is>
      </c>
      <c r="J441" s="4" t="n"/>
      <c r="K441" s="4" t="n"/>
      <c r="L441" s="4" t="inlineStr">
        <is>
          <t>Not Valid on National Forest Lands.</t>
        </is>
      </c>
    </row>
    <row r="442">
      <c r="A442" s="4" t="inlineStr">
        <is>
          <t>393</t>
        </is>
      </c>
      <c r="B442" s="4" t="inlineStr">
        <is>
          <t>elk</t>
        </is>
      </c>
      <c r="C442" s="4" t="inlineStr">
        <is>
          <t>Elk B License: 397-00</t>
        </is>
      </c>
      <c r="D442" s="4" t="inlineStr">
        <is>
          <t>Over the counter</t>
        </is>
      </c>
      <c r="E442" s="4" t="inlineStr">
        <is>
          <t>Antlerless Elk</t>
        </is>
      </c>
      <c r="F442" s="4" t="n"/>
      <c r="G442" s="4" t="n"/>
      <c r="H442" s="4" t="n"/>
      <c r="I442" s="4" t="n"/>
      <c r="J442" s="4" t="inlineStr">
        <is>
          <t>OTC: Jun 15</t>
        </is>
      </c>
      <c r="K442" s="4" t="inlineStr">
        <is>
          <t>UNL</t>
        </is>
      </c>
      <c r="L442" s="4" t="inlineStr">
        <is>
          <t>One per hunter. Multi-district license. Only valid on private lands. One per hunter. Multi-district license. Not valid on National Forest Lands. Region</t>
        </is>
      </c>
    </row>
    <row r="443">
      <c r="A443" s="4" t="inlineStr">
        <is>
          <t>400</t>
        </is>
      </c>
      <c r="B443" s="4" t="inlineStr">
        <is>
          <t>elk</t>
        </is>
      </c>
      <c r="C443" s="4" t="inlineStr">
        <is>
          <t>General Elk License</t>
        </is>
      </c>
      <c r="D443" s="13" t="inlineStr">
        <is>
          <t>General license</t>
        </is>
      </c>
      <c r="E443" s="4" t="inlineStr">
        <is>
          <t>Either-sex Elk</t>
        </is>
      </c>
      <c r="F443" s="4" t="inlineStr">
        <is>
          <t>Sep 05-Oct 18</t>
        </is>
      </c>
      <c r="G443" s="4" t="inlineStr">
        <is>
          <t>Oct 24-Nov 29</t>
        </is>
      </c>
      <c r="H443" s="4" t="inlineStr">
        <is>
          <t>Dec 12-Dec 20</t>
        </is>
      </c>
      <c r="I443" s="4" t="n"/>
      <c r="J443" s="4" t="n"/>
      <c r="K443" s="4" t="n"/>
      <c r="L443" s="4" t="n"/>
    </row>
    <row r="444">
      <c r="A444" s="4" t="inlineStr">
        <is>
          <t>400</t>
        </is>
      </c>
      <c r="B444" s="4" t="inlineStr">
        <is>
          <t>elk</t>
        </is>
      </c>
      <c r="C444" s="4" t="inlineStr">
        <is>
          <t>Elk B License: 004-00</t>
        </is>
      </c>
      <c r="D444" s="4" t="inlineStr">
        <is>
          <t>Over the counter</t>
        </is>
      </c>
      <c r="E444" s="4" t="inlineStr">
        <is>
          <t>Antlerless Elk</t>
        </is>
      </c>
      <c r="F444" s="4" t="inlineStr">
        <is>
          <t>Sep 05-Oct 18</t>
        </is>
      </c>
      <c r="G444" s="4" t="inlineStr">
        <is>
          <t>Oct 24-Nov 29</t>
        </is>
      </c>
      <c r="H444" s="4" t="inlineStr">
        <is>
          <t>Dec 12-Dec 20</t>
        </is>
      </c>
      <c r="I444" s="4" t="n"/>
      <c r="J444" s="4" t="inlineStr">
        <is>
          <t>OTC: Jun 15</t>
        </is>
      </c>
      <c r="K444" s="4" t="inlineStr">
        <is>
          <t>UNL</t>
        </is>
      </c>
      <c r="L444" s="4" t="inlineStr">
        <is>
          <t>Not valid on National Forest lands, FWP WMAs, or CMR Refuge. Valid in all Region 4 HDs except HDs 410 and 455 as listed under each HD. LICENSE/PERMIT OPPORTUNITY APPL Y BY DATE QUOTA QUOTA RANGE EARL Y SEASON DATES ARCHERY ONL Y SEASON DATES GENERAL SEASON DATES HERITAGE MUZZLELOADER SEASON DATES LA</t>
        </is>
      </c>
    </row>
    <row r="445">
      <c r="A445" s="4" t="inlineStr">
        <is>
          <t>401</t>
        </is>
      </c>
      <c r="B445" s="4" t="inlineStr">
        <is>
          <t>elk</t>
        </is>
      </c>
      <c r="C445" s="4" t="inlineStr">
        <is>
          <t>General Elk License</t>
        </is>
      </c>
      <c r="D445" s="13" t="inlineStr">
        <is>
          <t>General license</t>
        </is>
      </c>
      <c r="E445" s="4" t="inlineStr">
        <is>
          <t>Either-sex Elk</t>
        </is>
      </c>
      <c r="F445" s="4" t="inlineStr">
        <is>
          <t>Sep 05-Oct 18</t>
        </is>
      </c>
      <c r="G445" s="4" t="n"/>
      <c r="H445" s="4" t="n"/>
      <c r="I445" s="4" t="n"/>
      <c r="J445" s="4" t="n"/>
      <c r="K445" s="4" t="n"/>
      <c r="L445" s="4" t="n"/>
    </row>
    <row r="446">
      <c r="A446" s="4" t="inlineStr">
        <is>
          <t>401</t>
        </is>
      </c>
      <c r="B446" s="4" t="inlineStr">
        <is>
          <t>elk</t>
        </is>
      </c>
      <c r="C446" s="4" t="inlineStr">
        <is>
          <t>General Elk License</t>
        </is>
      </c>
      <c r="D446" s="13" t="inlineStr">
        <is>
          <t>General license</t>
        </is>
      </c>
      <c r="E446" s="4" t="inlineStr">
        <is>
          <t>Antlerless Elk</t>
        </is>
      </c>
      <c r="F446" s="4" t="n"/>
      <c r="G446" s="4" t="inlineStr">
        <is>
          <t>Oct 24-Nov 29</t>
        </is>
      </c>
      <c r="H446" s="4" t="inlineStr">
        <is>
          <t>Dec 12-Dec 20</t>
        </is>
      </c>
      <c r="I446" s="4" t="n"/>
      <c r="J446" s="4" t="n"/>
      <c r="K446" s="4" t="n"/>
      <c r="L446" s="4" t="n"/>
    </row>
    <row r="447">
      <c r="A447" s="4" t="inlineStr">
        <is>
          <t>401</t>
        </is>
      </c>
      <c r="B447" s="4" t="inlineStr">
        <is>
          <t>elk</t>
        </is>
      </c>
      <c r="C447" s="4" t="inlineStr">
        <is>
          <t>Elk B License: 004-00</t>
        </is>
      </c>
      <c r="D447" s="4" t="inlineStr">
        <is>
          <t>Over the counter</t>
        </is>
      </c>
      <c r="E447" s="4" t="inlineStr">
        <is>
          <t>Antlerless Elk</t>
        </is>
      </c>
      <c r="F447" s="4" t="inlineStr">
        <is>
          <t>Sep 05-Oct 18</t>
        </is>
      </c>
      <c r="G447" s="4" t="inlineStr">
        <is>
          <t>Oct 24-Nov 29</t>
        </is>
      </c>
      <c r="H447" s="4" t="inlineStr">
        <is>
          <t>Dec 12-Dec 20</t>
        </is>
      </c>
      <c r="I447" s="4" t="n"/>
      <c r="J447" s="4" t="inlineStr">
        <is>
          <t>OTC: Jun 15</t>
        </is>
      </c>
      <c r="K447" s="4" t="inlineStr">
        <is>
          <t>UNL</t>
        </is>
      </c>
      <c r="L447" s="4" t="inlineStr">
        <is>
          <t>Not valid on National Forest lands, FWP WMAs, or CMR Refuge. Valid in all Region 4 HDs except HDs 410 and 455 as listed under each HD.</t>
        </is>
      </c>
    </row>
    <row r="448">
      <c r="A448" s="4" t="inlineStr">
        <is>
          <t>401</t>
        </is>
      </c>
      <c r="B448" s="4" t="inlineStr">
        <is>
          <t>elk</t>
        </is>
      </c>
      <c r="C448" s="4" t="inlineStr">
        <is>
          <t>Elk Permit: 401-20</t>
        </is>
      </c>
      <c r="D448" s="15" t="inlineStr">
        <is>
          <t>Drawing</t>
        </is>
      </c>
      <c r="E448" s="4" t="inlineStr">
        <is>
          <t>Either-sex Elk</t>
        </is>
      </c>
      <c r="F448" s="4" t="inlineStr">
        <is>
          <t>Sep 05-Oct 18</t>
        </is>
      </c>
      <c r="G448" s="4" t="inlineStr">
        <is>
          <t>Oct 24-Nov 29</t>
        </is>
      </c>
      <c r="H448" s="4" t="inlineStr">
        <is>
          <t>Dec 12-Dec 20</t>
        </is>
      </c>
      <c r="I448" s="4" t="n"/>
      <c r="J448" s="4" t="inlineStr">
        <is>
          <t>April 1</t>
        </is>
      </c>
      <c r="K448" s="4" t="inlineStr">
        <is>
          <t>50</t>
        </is>
      </c>
      <c r="L448" s="4" t="inlineStr">
        <is>
          <t>Permit must be used with a valid General Elk License. Holders may not hunt Antlered Elk in any other HD during these described season dates.</t>
        </is>
      </c>
    </row>
    <row r="449">
      <c r="A449" s="4" t="inlineStr">
        <is>
          <t>403</t>
        </is>
      </c>
      <c r="B449" s="4" t="inlineStr">
        <is>
          <t>elk</t>
        </is>
      </c>
      <c r="C449" s="4" t="inlineStr">
        <is>
          <t>General Elk License</t>
        </is>
      </c>
      <c r="D449" s="13" t="inlineStr">
        <is>
          <t>General license</t>
        </is>
      </c>
      <c r="E449" s="4" t="inlineStr">
        <is>
          <t>Either-sex Elk</t>
        </is>
      </c>
      <c r="F449" s="4" t="inlineStr">
        <is>
          <t>Sep 05-Oct 18</t>
        </is>
      </c>
      <c r="G449" s="4" t="inlineStr">
        <is>
          <t>Oct 24-Nov 29</t>
        </is>
      </c>
      <c r="H449" s="4" t="inlineStr">
        <is>
          <t>Dec 12-Dec 20</t>
        </is>
      </c>
      <c r="I449" s="4" t="n"/>
      <c r="J449" s="4" t="n"/>
      <c r="K449" s="4" t="n"/>
      <c r="L449" s="4" t="n"/>
    </row>
    <row r="450">
      <c r="A450" s="4" t="inlineStr">
        <is>
          <t>403</t>
        </is>
      </c>
      <c r="B450" s="4" t="inlineStr">
        <is>
          <t>elk</t>
        </is>
      </c>
      <c r="C450" s="4" t="inlineStr">
        <is>
          <t>Elk B License: 004-00</t>
        </is>
      </c>
      <c r="D450" s="4" t="inlineStr">
        <is>
          <t>Over the counter</t>
        </is>
      </c>
      <c r="E450" s="4" t="inlineStr">
        <is>
          <t>Antlerless Elk</t>
        </is>
      </c>
      <c r="F450" s="4" t="inlineStr">
        <is>
          <t>Sep 05-Oct 18</t>
        </is>
      </c>
      <c r="G450" s="4" t="inlineStr">
        <is>
          <t>Oct 24-Nov 29</t>
        </is>
      </c>
      <c r="H450" s="4" t="inlineStr">
        <is>
          <t>Dec 12-Dec 20</t>
        </is>
      </c>
      <c r="I450" s="4" t="n"/>
      <c r="J450" s="4" t="inlineStr">
        <is>
          <t>OTC: Jun 15</t>
        </is>
      </c>
      <c r="K450" s="4" t="inlineStr">
        <is>
          <t>UNL</t>
        </is>
      </c>
      <c r="L450" s="4" t="inlineStr">
        <is>
          <t>Not valid on National Forest lands, FWP WMAs, or CMR Refuge. Valid in all Region 4 HDs except HDs 410 and 455 as listed under each HD. 91 2026 Deer • Elk • Antelope Visit fwp.mt.gov LICENSE/PERMIT OPPORTUNITY APPL Y BY DATE QUOTA QUOTA RANGE EARL Y SEASON DATES ARCHERY ONL Y SEASON DATES GENERAL SEA</t>
        </is>
      </c>
    </row>
    <row r="451">
      <c r="A451" s="4" t="inlineStr">
        <is>
          <t>404</t>
        </is>
      </c>
      <c r="B451" s="4" t="inlineStr">
        <is>
          <t>elk</t>
        </is>
      </c>
      <c r="C451" s="4" t="inlineStr">
        <is>
          <t>General Elk License</t>
        </is>
      </c>
      <c r="D451" s="13" t="inlineStr">
        <is>
          <t>General license</t>
        </is>
      </c>
      <c r="E451" s="4" t="inlineStr">
        <is>
          <t>Either-sex Elk</t>
        </is>
      </c>
      <c r="F451" s="4" t="inlineStr">
        <is>
          <t>Sep 05-Oct 18</t>
        </is>
      </c>
      <c r="G451" s="4" t="inlineStr">
        <is>
          <t>Oct 24-Nov 29</t>
        </is>
      </c>
      <c r="H451" s="4" t="inlineStr">
        <is>
          <t>Dec 12-Dec 20</t>
        </is>
      </c>
      <c r="I451" s="4" t="n"/>
      <c r="J451" s="4" t="n"/>
      <c r="K451" s="4" t="n"/>
      <c r="L451" s="4" t="n"/>
    </row>
    <row r="452">
      <c r="A452" s="4" t="inlineStr">
        <is>
          <t>404</t>
        </is>
      </c>
      <c r="B452" s="4" t="inlineStr">
        <is>
          <t>elk</t>
        </is>
      </c>
      <c r="C452" s="4" t="inlineStr">
        <is>
          <t>Elk B License: 004-00</t>
        </is>
      </c>
      <c r="D452" s="4" t="inlineStr">
        <is>
          <t>Over the counter</t>
        </is>
      </c>
      <c r="E452" s="4" t="inlineStr">
        <is>
          <t>Antlerless Elk</t>
        </is>
      </c>
      <c r="F452" s="4" t="inlineStr">
        <is>
          <t>Sep 05-Oct 18</t>
        </is>
      </c>
      <c r="G452" s="4" t="inlineStr">
        <is>
          <t>Oct 24-Nov 29</t>
        </is>
      </c>
      <c r="H452" s="4" t="inlineStr">
        <is>
          <t>Dec 12-Dec 20</t>
        </is>
      </c>
      <c r="I452" s="4" t="n"/>
      <c r="J452" s="4" t="inlineStr">
        <is>
          <t>OTC: Jun 15</t>
        </is>
      </c>
      <c r="K452" s="4" t="inlineStr">
        <is>
          <t>UNL</t>
        </is>
      </c>
      <c r="L452" s="4" t="inlineStr">
        <is>
          <t>Not valid on National Forest lands, FWP WMAs, or CMR Refuge. Valid in all Region 4 HDs except HDs 410 and 455 as listed under each HD.</t>
        </is>
      </c>
    </row>
    <row r="453">
      <c r="A453" s="4" t="inlineStr">
        <is>
          <t>405</t>
        </is>
      </c>
      <c r="B453" s="4" t="inlineStr">
        <is>
          <t>elk</t>
        </is>
      </c>
      <c r="C453" s="4" t="inlineStr">
        <is>
          <t>General Elk License</t>
        </is>
      </c>
      <c r="D453" s="13" t="inlineStr">
        <is>
          <t>General license</t>
        </is>
      </c>
      <c r="E453" s="4" t="inlineStr">
        <is>
          <t>Either-sex Elk</t>
        </is>
      </c>
      <c r="F453" s="4" t="inlineStr">
        <is>
          <t>Sep 05-Oct 18</t>
        </is>
      </c>
      <c r="G453" s="4" t="inlineStr">
        <is>
          <t>Oct 24-Nov 29</t>
        </is>
      </c>
      <c r="H453" s="4" t="inlineStr">
        <is>
          <t>Dec 12-Dec 20</t>
        </is>
      </c>
      <c r="I453" s="4" t="n"/>
      <c r="J453" s="4" t="n"/>
      <c r="K453" s="4" t="n"/>
      <c r="L453" s="4" t="n"/>
    </row>
    <row r="454">
      <c r="A454" s="4" t="inlineStr">
        <is>
          <t>405</t>
        </is>
      </c>
      <c r="B454" s="4" t="inlineStr">
        <is>
          <t>elk</t>
        </is>
      </c>
      <c r="C454" s="4" t="inlineStr">
        <is>
          <t>Elk B License: 004-00</t>
        </is>
      </c>
      <c r="D454" s="4" t="inlineStr">
        <is>
          <t>Over the counter</t>
        </is>
      </c>
      <c r="E454" s="4" t="inlineStr">
        <is>
          <t>Antlerless Elk</t>
        </is>
      </c>
      <c r="F454" s="4" t="inlineStr">
        <is>
          <t>Sep 05-Oct 18</t>
        </is>
      </c>
      <c r="G454" s="4" t="inlineStr">
        <is>
          <t>Oct 24-Nov 29</t>
        </is>
      </c>
      <c r="H454" s="4" t="inlineStr">
        <is>
          <t>Dec 12-Dec 20</t>
        </is>
      </c>
      <c r="I454" s="4" t="n"/>
      <c r="J454" s="4" t="inlineStr">
        <is>
          <t>OTC: Jun 15</t>
        </is>
      </c>
      <c r="K454" s="4" t="inlineStr">
        <is>
          <t>UNL</t>
        </is>
      </c>
      <c r="L454" s="4" t="inlineStr">
        <is>
          <t>Not valid on National Forest lands, FWP WMAs, or CMR Refuge. Valid in all Region 4 HDs except HDs 410 and 455 as listed under each HD.</t>
        </is>
      </c>
    </row>
    <row r="455">
      <c r="A455" s="4" t="inlineStr">
        <is>
          <t>406</t>
        </is>
      </c>
      <c r="B455" s="4" t="inlineStr">
        <is>
          <t>elk</t>
        </is>
      </c>
      <c r="C455" s="4" t="inlineStr">
        <is>
          <t>General Elk License</t>
        </is>
      </c>
      <c r="D455" s="13" t="inlineStr">
        <is>
          <t>General license</t>
        </is>
      </c>
      <c r="E455" s="4" t="inlineStr">
        <is>
          <t>Either-sex Elk</t>
        </is>
      </c>
      <c r="F455" s="4" t="inlineStr">
        <is>
          <t>Sep 05-Oct 18</t>
        </is>
      </c>
      <c r="G455" s="4" t="inlineStr">
        <is>
          <t>Oct 24-Nov 29</t>
        </is>
      </c>
      <c r="H455" s="4" t="inlineStr">
        <is>
          <t>Dec 12-Dec 20</t>
        </is>
      </c>
      <c r="I455" s="4" t="n"/>
      <c r="J455" s="4" t="n"/>
      <c r="K455" s="4" t="n"/>
      <c r="L455" s="4" t="n"/>
    </row>
    <row r="456">
      <c r="A456" s="4" t="inlineStr">
        <is>
          <t>406</t>
        </is>
      </c>
      <c r="B456" s="4" t="inlineStr">
        <is>
          <t>elk</t>
        </is>
      </c>
      <c r="C456" s="4" t="inlineStr">
        <is>
          <t>Elk B License: 004-00</t>
        </is>
      </c>
      <c r="D456" s="4" t="inlineStr">
        <is>
          <t>Over the counter</t>
        </is>
      </c>
      <c r="E456" s="4" t="inlineStr">
        <is>
          <t>Antlerless Elk</t>
        </is>
      </c>
      <c r="F456" s="4" t="inlineStr">
        <is>
          <t>Sep 05-Oct 18</t>
        </is>
      </c>
      <c r="G456" s="4" t="inlineStr">
        <is>
          <t>Oct 24-Nov 29</t>
        </is>
      </c>
      <c r="H456" s="4" t="inlineStr">
        <is>
          <t>Dec 12-Dec 20</t>
        </is>
      </c>
      <c r="I456" s="4" t="n"/>
      <c r="J456" s="4" t="inlineStr">
        <is>
          <t>OTC: Jun 15</t>
        </is>
      </c>
      <c r="K456" s="4" t="inlineStr">
        <is>
          <t>UNL</t>
        </is>
      </c>
      <c r="L456" s="4" t="inlineStr">
        <is>
          <t>Not valid on National Forest lands, FWP WMAs, or CMR Refuge. Valid in all Region 4 HDs except HDs 410 and 455 as listed under each HD.</t>
        </is>
      </c>
    </row>
    <row r="457">
      <c r="A457" s="4" t="inlineStr">
        <is>
          <t>410</t>
        </is>
      </c>
      <c r="B457" s="4" t="inlineStr">
        <is>
          <t>elk</t>
        </is>
      </c>
      <c r="C457" s="4" t="inlineStr">
        <is>
          <t>Elk B License: 410-00</t>
        </is>
      </c>
      <c r="D457" s="15" t="inlineStr">
        <is>
          <t>Drawing</t>
        </is>
      </c>
      <c r="E457" s="4" t="inlineStr">
        <is>
          <t>Antlerless Elk</t>
        </is>
      </c>
      <c r="F457" s="4" t="inlineStr">
        <is>
          <t>Sep 05-Oct 18</t>
        </is>
      </c>
      <c r="G457" s="4" t="inlineStr">
        <is>
          <t>Oct 24-Nov 29</t>
        </is>
      </c>
      <c r="H457" s="4" t="inlineStr">
        <is>
          <t>Dec 12-Dec 20</t>
        </is>
      </c>
      <c r="I457" s="4" t="n"/>
      <c r="J457" s="4" t="inlineStr">
        <is>
          <t>Jun 1</t>
        </is>
      </c>
      <c r="K457" s="4" t="inlineStr">
        <is>
          <t>50</t>
        </is>
      </c>
      <c r="L457" s="4" t="n"/>
    </row>
    <row r="458">
      <c r="A458" s="4" t="inlineStr">
        <is>
          <t>410</t>
        </is>
      </c>
      <c r="B458" s="4" t="inlineStr">
        <is>
          <t>elk</t>
        </is>
      </c>
      <c r="C458" s="4" t="inlineStr">
        <is>
          <t>Elk B License: 410-01</t>
        </is>
      </c>
      <c r="D458" s="15" t="inlineStr">
        <is>
          <t>Drawing</t>
        </is>
      </c>
      <c r="E458" s="4" t="inlineStr">
        <is>
          <t>Antlerless Elk</t>
        </is>
      </c>
      <c r="F458" s="4" t="inlineStr">
        <is>
          <t>Sep 05-Oct 18</t>
        </is>
      </c>
      <c r="G458" s="4" t="n"/>
      <c r="H458" s="4" t="n"/>
      <c r="I458" s="4" t="n"/>
      <c r="J458" s="4" t="inlineStr">
        <is>
          <t>Jun 1</t>
        </is>
      </c>
      <c r="K458" s="4" t="inlineStr">
        <is>
          <t>300</t>
        </is>
      </c>
      <c r="L458" s="4" t="inlineStr">
        <is>
          <t>Only valid in HD 410.</t>
        </is>
      </c>
    </row>
    <row r="459">
      <c r="A459" s="4" t="inlineStr">
        <is>
          <t>410</t>
        </is>
      </c>
      <c r="B459" s="4" t="inlineStr">
        <is>
          <t>elk</t>
        </is>
      </c>
      <c r="C459" s="4" t="inlineStr">
        <is>
          <t>Elk B License: 410-02</t>
        </is>
      </c>
      <c r="D459" s="15" t="inlineStr">
        <is>
          <t>Drawing</t>
        </is>
      </c>
      <c r="E459" s="4" t="inlineStr">
        <is>
          <t>Antlerless Elk</t>
        </is>
      </c>
      <c r="F459" s="4" t="inlineStr">
        <is>
          <t>Sep 05-Oct 18</t>
        </is>
      </c>
      <c r="G459" s="4" t="inlineStr">
        <is>
          <t>Oct 24-Nov 29</t>
        </is>
      </c>
      <c r="H459" s="4" t="n"/>
      <c r="I459" s="4" t="n"/>
      <c r="J459" s="4" t="inlineStr">
        <is>
          <t>Jun 1</t>
        </is>
      </c>
      <c r="K459" s="4" t="inlineStr">
        <is>
          <t>700</t>
        </is>
      </c>
      <c r="L459" s="4" t="inlineStr">
        <is>
          <t>Only valid south of Crooked Creek (Sacagawea River). Not valid on CMR Refuge.</t>
        </is>
      </c>
    </row>
    <row r="460">
      <c r="A460" s="4" t="inlineStr">
        <is>
          <t>410</t>
        </is>
      </c>
      <c r="B460" s="4" t="inlineStr">
        <is>
          <t>elk</t>
        </is>
      </c>
      <c r="C460" s="4" t="inlineStr">
        <is>
          <t>Elk Permit: 410-20</t>
        </is>
      </c>
      <c r="D460" s="15" t="inlineStr">
        <is>
          <t>Drawing</t>
        </is>
      </c>
      <c r="E460" s="4" t="inlineStr">
        <is>
          <t>Either-sex Elk</t>
        </is>
      </c>
      <c r="F460" s="4" t="inlineStr">
        <is>
          <t>Sep 05-Oct 18</t>
        </is>
      </c>
      <c r="G460" s="4" t="inlineStr">
        <is>
          <t>Oct 24-Nov 29</t>
        </is>
      </c>
      <c r="H460" s="4" t="inlineStr">
        <is>
          <t>Dec 12-Dec 20</t>
        </is>
      </c>
      <c r="I460" s="4" t="n"/>
      <c r="J460" s="4" t="inlineStr">
        <is>
          <t>April 1</t>
        </is>
      </c>
      <c r="K460" s="4" t="inlineStr">
        <is>
          <t>75</t>
        </is>
      </c>
      <c r="L460" s="4" t="inlineStr">
        <is>
          <t>Permit must be used with a valid General Elk License. Holders may not hunt Antlered Elk in any other HD during these described season dates.</t>
        </is>
      </c>
    </row>
    <row r="461">
      <c r="A461" s="4" t="inlineStr">
        <is>
          <t>410</t>
        </is>
      </c>
      <c r="B461" s="4" t="inlineStr">
        <is>
          <t>elk</t>
        </is>
      </c>
      <c r="C461" s="4" t="inlineStr">
        <is>
          <t>Elk Permit: 410-21</t>
        </is>
      </c>
      <c r="D461" s="15" t="inlineStr">
        <is>
          <t>Drawing</t>
        </is>
      </c>
      <c r="E461" s="4" t="inlineStr">
        <is>
          <t>Either-sex Elk</t>
        </is>
      </c>
      <c r="F461" s="4" t="inlineStr">
        <is>
          <t>Sep 05-Oct 18</t>
        </is>
      </c>
      <c r="G461" s="4" t="n"/>
      <c r="H461" s="4" t="n"/>
      <c r="I461" s="4" t="n"/>
      <c r="J461" s="4" t="inlineStr">
        <is>
          <t>April 1</t>
        </is>
      </c>
      <c r="K461" s="4" t="inlineStr">
        <is>
          <t>1,000</t>
        </is>
      </c>
      <c r="L461" s="4" t="inlineStr">
        <is>
          <t xml:space="preserve">1st and 2nd choice only. Only valid in HD 410. Permit must be used with a valid General Elk License. Holders may not hunt Antlered Elk in any other HD during these described season dates. 93 2026 Deer • Elk • Antelope Visit fwp.mt.gov LICENSE/PERMIT OPPORTUNITY APPL Y BY DATE QUOTA QUOTA RANGE EARL </t>
        </is>
      </c>
    </row>
    <row r="462">
      <c r="A462" s="4" t="inlineStr">
        <is>
          <t>411</t>
        </is>
      </c>
      <c r="B462" s="4" t="inlineStr">
        <is>
          <t>elk</t>
        </is>
      </c>
      <c r="C462" s="4" t="inlineStr">
        <is>
          <t>General Elk License</t>
        </is>
      </c>
      <c r="D462" s="13" t="inlineStr">
        <is>
          <t>General license</t>
        </is>
      </c>
      <c r="E462" s="4" t="inlineStr">
        <is>
          <t>Antlerless Elk</t>
        </is>
      </c>
      <c r="F462" s="4" t="n"/>
      <c r="G462" s="4" t="n"/>
      <c r="H462" s="4" t="n"/>
      <c r="I462" s="4" t="n"/>
      <c r="J462" s="4" t="n"/>
      <c r="K462" s="4" t="n"/>
      <c r="L462" s="4" t="inlineStr">
        <is>
          <t>Only valid on private land.</t>
        </is>
      </c>
    </row>
    <row r="463">
      <c r="A463" s="4" t="inlineStr">
        <is>
          <t>411</t>
        </is>
      </c>
      <c r="B463" s="4" t="inlineStr">
        <is>
          <t>elk</t>
        </is>
      </c>
      <c r="C463" s="4" t="inlineStr">
        <is>
          <t>General Elk License</t>
        </is>
      </c>
      <c r="D463" s="13" t="inlineStr">
        <is>
          <t>General license</t>
        </is>
      </c>
      <c r="E463" s="4" t="inlineStr">
        <is>
          <t>Spike Bull or Antlerless Elk</t>
        </is>
      </c>
      <c r="F463" s="4" t="inlineStr">
        <is>
          <t>Sep 05-Oct 18</t>
        </is>
      </c>
      <c r="G463" s="4" t="inlineStr">
        <is>
          <t>Oct 24-Nov 29</t>
        </is>
      </c>
      <c r="H463" s="4" t="inlineStr">
        <is>
          <t>Dec 12-Dec 20</t>
        </is>
      </c>
      <c r="I463" s="4" t="n"/>
      <c r="J463" s="4" t="n"/>
      <c r="K463" s="4" t="n"/>
      <c r="L463" s="4" t="n"/>
    </row>
    <row r="464">
      <c r="A464" s="4" t="inlineStr">
        <is>
          <t>411</t>
        </is>
      </c>
      <c r="B464" s="4" t="inlineStr">
        <is>
          <t>elk</t>
        </is>
      </c>
      <c r="C464" s="4" t="inlineStr">
        <is>
          <t>Elk B License: 004-00</t>
        </is>
      </c>
      <c r="D464" s="4" t="inlineStr">
        <is>
          <t>Over the counter</t>
        </is>
      </c>
      <c r="E464" s="4" t="inlineStr">
        <is>
          <t>Antlerless Elk</t>
        </is>
      </c>
      <c r="F464" s="4" t="n"/>
      <c r="G464" s="4" t="n"/>
      <c r="H464" s="4" t="n"/>
      <c r="I464" s="4" t="n"/>
      <c r="J464" s="4" t="inlineStr">
        <is>
          <t>OTC: Jun 15</t>
        </is>
      </c>
      <c r="K464" s="4" t="inlineStr">
        <is>
          <t>UNL</t>
        </is>
      </c>
      <c r="L464" s="4" t="inlineStr">
        <is>
          <t>Only valid on private land.</t>
        </is>
      </c>
    </row>
    <row r="465">
      <c r="A465" s="4" t="inlineStr">
        <is>
          <t>411</t>
        </is>
      </c>
      <c r="B465" s="4" t="inlineStr">
        <is>
          <t>elk</t>
        </is>
      </c>
      <c r="C465" s="4" t="inlineStr">
        <is>
          <t>Elk B License: 004-00</t>
        </is>
      </c>
      <c r="D465" s="4" t="inlineStr">
        <is>
          <t>Over the counter</t>
        </is>
      </c>
      <c r="E465" s="4" t="inlineStr">
        <is>
          <t>Antlerless Elk</t>
        </is>
      </c>
      <c r="F465" s="4" t="inlineStr">
        <is>
          <t>Sep 05-Oct 18</t>
        </is>
      </c>
      <c r="G465" s="4" t="inlineStr">
        <is>
          <t>Oct 24-Nov 29</t>
        </is>
      </c>
      <c r="H465" s="4" t="n"/>
      <c r="I465" s="4" t="inlineStr">
        <is>
          <t>Nov 30-Feb 15</t>
        </is>
      </c>
      <c r="J465" s="4" t="inlineStr">
        <is>
          <t>OTC: Jun 15</t>
        </is>
      </c>
      <c r="K465" s="4" t="inlineStr">
        <is>
          <t>UNL</t>
        </is>
      </c>
      <c r="L465" s="4" t="inlineStr">
        <is>
          <t>Not valid on National Forest lands, FWP WMAs, or CMR Refuge. Valid in all Region 4 HDs except HDs 410 and 455 as listed under each HD.</t>
        </is>
      </c>
    </row>
    <row r="466">
      <c r="A466" s="4" t="inlineStr">
        <is>
          <t>411</t>
        </is>
      </c>
      <c r="B466" s="4" t="inlineStr">
        <is>
          <t>elk</t>
        </is>
      </c>
      <c r="C466" s="4" t="inlineStr">
        <is>
          <t>Elk B License: 411-00</t>
        </is>
      </c>
      <c r="D466" s="15" t="inlineStr">
        <is>
          <t>Drawing</t>
        </is>
      </c>
      <c r="E466" s="4" t="inlineStr">
        <is>
          <t>Antlerless Elk</t>
        </is>
      </c>
      <c r="F466" s="4" t="n"/>
      <c r="G466" s="4" t="n"/>
      <c r="H466" s="4" t="n"/>
      <c r="I466" s="4" t="n"/>
      <c r="J466" s="4" t="inlineStr">
        <is>
          <t>Jun 1</t>
        </is>
      </c>
      <c r="K466" s="4" t="inlineStr">
        <is>
          <t>1,200</t>
        </is>
      </c>
      <c r="L466" s="4" t="inlineStr">
        <is>
          <t>Only valid on private land. Valid in HDs 411 and 535.</t>
        </is>
      </c>
    </row>
    <row r="467">
      <c r="A467" s="4" t="inlineStr">
        <is>
          <t>411</t>
        </is>
      </c>
      <c r="B467" s="4" t="inlineStr">
        <is>
          <t>elk</t>
        </is>
      </c>
      <c r="C467" s="4" t="inlineStr">
        <is>
          <t>Elk Permit: 411-20</t>
        </is>
      </c>
      <c r="D467" s="15" t="inlineStr">
        <is>
          <t>Drawing</t>
        </is>
      </c>
      <c r="E467" s="4" t="inlineStr">
        <is>
          <t>Either-sex Elk</t>
        </is>
      </c>
      <c r="F467" s="4" t="inlineStr">
        <is>
          <t>Sep 05-Oct 18</t>
        </is>
      </c>
      <c r="G467" s="4" t="inlineStr">
        <is>
          <t>Oct 24-Nov 29</t>
        </is>
      </c>
      <c r="H467" s="4" t="inlineStr">
        <is>
          <t>Dec 12-Dec 20</t>
        </is>
      </c>
      <c r="I467" s="4" t="n"/>
      <c r="J467" s="4" t="inlineStr">
        <is>
          <t>April 1</t>
        </is>
      </c>
      <c r="K467" s="4" t="inlineStr">
        <is>
          <t>350</t>
        </is>
      </c>
      <c r="L467" s="4" t="inlineStr">
        <is>
          <t>1st and only choice. Only valid in HDs 411 and 535.Permit must be used with a valid General Elk License. Holders may not hunt Antlered Elk in any other HD during these described season dates.</t>
        </is>
      </c>
    </row>
    <row r="468">
      <c r="A468" s="4" t="inlineStr">
        <is>
          <t>411</t>
        </is>
      </c>
      <c r="B468" s="4" t="inlineStr">
        <is>
          <t>elk</t>
        </is>
      </c>
      <c r="C468" s="4" t="inlineStr">
        <is>
          <t>Elk Permit: 411-21</t>
        </is>
      </c>
      <c r="D468" s="15" t="inlineStr">
        <is>
          <t>Drawing</t>
        </is>
      </c>
      <c r="E468" s="4" t="inlineStr">
        <is>
          <t>Either-sex Elk</t>
        </is>
      </c>
      <c r="F468" s="4" t="inlineStr">
        <is>
          <t>Sep 05-Oct 18</t>
        </is>
      </c>
      <c r="G468" s="4" t="n"/>
      <c r="H468" s="4" t="n"/>
      <c r="I468" s="4" t="n"/>
      <c r="J468" s="4" t="inlineStr">
        <is>
          <t>April 1</t>
        </is>
      </c>
      <c r="K468" s="4" t="inlineStr">
        <is>
          <t>1000</t>
        </is>
      </c>
      <c r="L468" s="4" t="inlineStr">
        <is>
          <t>1st and only choice. Valid in 411 and 412. Permit must be used with a valid General Elk License. Holders may not hunt Antlered Elk in any other HD during these described season dates.</t>
        </is>
      </c>
    </row>
    <row r="469">
      <c r="A469" s="4" t="inlineStr">
        <is>
          <t>412</t>
        </is>
      </c>
      <c r="B469" s="4" t="inlineStr">
        <is>
          <t>elk</t>
        </is>
      </c>
      <c r="C469" s="4" t="inlineStr">
        <is>
          <t>General Elk License</t>
        </is>
      </c>
      <c r="D469" s="13" t="inlineStr">
        <is>
          <t>General license</t>
        </is>
      </c>
      <c r="E469" s="4" t="inlineStr">
        <is>
          <t>Antlerless Elk</t>
        </is>
      </c>
      <c r="F469" s="4" t="n"/>
      <c r="G469" s="4" t="n"/>
      <c r="H469" s="4" t="n"/>
      <c r="I469" s="4" t="n"/>
      <c r="J469" s="4" t="n"/>
      <c r="K469" s="4" t="n"/>
      <c r="L469" s="4" t="inlineStr">
        <is>
          <t>Only valid on private land.</t>
        </is>
      </c>
    </row>
    <row r="470">
      <c r="A470" s="4" t="inlineStr">
        <is>
          <t>412</t>
        </is>
      </c>
      <c r="B470" s="4" t="inlineStr">
        <is>
          <t>elk</t>
        </is>
      </c>
      <c r="C470" s="4" t="inlineStr">
        <is>
          <t>General Elk License</t>
        </is>
      </c>
      <c r="D470" s="13" t="inlineStr">
        <is>
          <t>General license</t>
        </is>
      </c>
      <c r="E470" s="4" t="inlineStr">
        <is>
          <t>Spike Bull or Antlerless Elk</t>
        </is>
      </c>
      <c r="F470" s="4" t="inlineStr">
        <is>
          <t>Sep 05-Oct 18</t>
        </is>
      </c>
      <c r="G470" s="4" t="inlineStr">
        <is>
          <t>Oct 24-Nov 29</t>
        </is>
      </c>
      <c r="H470" s="4" t="inlineStr">
        <is>
          <t>Dec 12-Dec 20</t>
        </is>
      </c>
      <c r="I470" s="4" t="n"/>
      <c r="J470" s="4" t="n"/>
      <c r="K470" s="4" t="n"/>
      <c r="L470" s="4" t="n"/>
    </row>
    <row r="471">
      <c r="A471" s="4" t="inlineStr">
        <is>
          <t>412</t>
        </is>
      </c>
      <c r="B471" s="4" t="inlineStr">
        <is>
          <t>elk</t>
        </is>
      </c>
      <c r="C471" s="4" t="inlineStr">
        <is>
          <t>Elk B License: 004-00</t>
        </is>
      </c>
      <c r="D471" s="4" t="inlineStr">
        <is>
          <t>Over the counter</t>
        </is>
      </c>
      <c r="E471" s="4" t="inlineStr">
        <is>
          <t>Antlerless Elk</t>
        </is>
      </c>
      <c r="F471" s="4" t="n"/>
      <c r="G471" s="4" t="n"/>
      <c r="H471" s="4" t="n"/>
      <c r="I471" s="4" t="n"/>
      <c r="J471" s="4" t="inlineStr">
        <is>
          <t>OTC: Jun 15</t>
        </is>
      </c>
      <c r="K471" s="4" t="inlineStr">
        <is>
          <t>UNL</t>
        </is>
      </c>
      <c r="L471" s="4" t="inlineStr">
        <is>
          <t>Only valid on private land. Not valid on National Forest lands, FWP WMAs, or CMR Refuge. Valid in all Region 4 HDs except HDs 410 and 455 as listed under each HD.</t>
        </is>
      </c>
    </row>
    <row r="472">
      <c r="A472" s="4" t="inlineStr">
        <is>
          <t>412</t>
        </is>
      </c>
      <c r="B472" s="4" t="inlineStr">
        <is>
          <t>elk</t>
        </is>
      </c>
      <c r="C472" s="4" t="inlineStr">
        <is>
          <t>Elk Permit: 411-21</t>
        </is>
      </c>
      <c r="D472" s="15" t="inlineStr">
        <is>
          <t>Drawing</t>
        </is>
      </c>
      <c r="E472" s="4" t="inlineStr">
        <is>
          <t>Either-sex Elk</t>
        </is>
      </c>
      <c r="F472" s="4" t="inlineStr">
        <is>
          <t>Sep 05-Oct 18</t>
        </is>
      </c>
      <c r="G472" s="4" t="n"/>
      <c r="H472" s="4" t="n"/>
      <c r="I472" s="4" t="n"/>
      <c r="J472" s="4" t="inlineStr">
        <is>
          <t>April 1</t>
        </is>
      </c>
      <c r="K472" s="4" t="inlineStr">
        <is>
          <t>1000</t>
        </is>
      </c>
      <c r="L472" s="4" t="inlineStr">
        <is>
          <t>1st and only choice. Valid in HDs 411 and 412. Permit must be used with a valid General Elk License. Holders may not hunt Antlered Elk in any other HD during these described season dates.</t>
        </is>
      </c>
    </row>
    <row r="473">
      <c r="A473" s="4" t="inlineStr">
        <is>
          <t>412</t>
        </is>
      </c>
      <c r="B473" s="4" t="inlineStr">
        <is>
          <t>elk</t>
        </is>
      </c>
      <c r="C473" s="4" t="inlineStr">
        <is>
          <t>Elk Permit: 412-20</t>
        </is>
      </c>
      <c r="D473" s="15" t="inlineStr">
        <is>
          <t>Drawing</t>
        </is>
      </c>
      <c r="E473" s="4" t="inlineStr">
        <is>
          <t>Either-sex Elk</t>
        </is>
      </c>
      <c r="F473" s="4" t="inlineStr">
        <is>
          <t>Sep 05-Oct 18</t>
        </is>
      </c>
      <c r="G473" s="4" t="inlineStr">
        <is>
          <t>Oct 24-Nov 29</t>
        </is>
      </c>
      <c r="H473" s="4" t="inlineStr">
        <is>
          <t>Dec 12-Dec 20</t>
        </is>
      </c>
      <c r="I473" s="4" t="n"/>
      <c r="J473" s="4" t="inlineStr">
        <is>
          <t>April 1</t>
        </is>
      </c>
      <c r="K473" s="4" t="inlineStr">
        <is>
          <t>120</t>
        </is>
      </c>
      <c r="L473" s="4" t="inlineStr">
        <is>
          <t>Permit must be used with a valid General Elk License. Holders may not hunt Antlered Elk in any other HD during these described season dates.</t>
        </is>
      </c>
    </row>
    <row r="474">
      <c r="A474" s="4" t="inlineStr">
        <is>
          <t>413</t>
        </is>
      </c>
      <c r="B474" s="4" t="inlineStr">
        <is>
          <t>elk</t>
        </is>
      </c>
      <c r="C474" s="4" t="inlineStr">
        <is>
          <t>General Elk License</t>
        </is>
      </c>
      <c r="D474" s="13" t="inlineStr">
        <is>
          <t>General license</t>
        </is>
      </c>
      <c r="E474" s="4" t="inlineStr">
        <is>
          <t>Brow-tined Bull or Antlerless Elk</t>
        </is>
      </c>
      <c r="F474" s="4" t="inlineStr">
        <is>
          <t>Sep 05-Oct 18</t>
        </is>
      </c>
      <c r="G474" s="4" t="inlineStr">
        <is>
          <t>Oct 24-Nov 29</t>
        </is>
      </c>
      <c r="H474" s="4" t="inlineStr">
        <is>
          <t>Dec 12-Dec 20</t>
        </is>
      </c>
      <c r="I474" s="4" t="n"/>
      <c r="J474" s="4" t="n"/>
      <c r="K474" s="4" t="n"/>
      <c r="L474" s="4" t="n"/>
    </row>
    <row r="475">
      <c r="A475" s="4" t="inlineStr">
        <is>
          <t>413</t>
        </is>
      </c>
      <c r="B475" s="4" t="inlineStr">
        <is>
          <t>elk</t>
        </is>
      </c>
      <c r="C475" s="4" t="inlineStr">
        <is>
          <t>Elk B License: 004-00</t>
        </is>
      </c>
      <c r="D475" s="4" t="inlineStr">
        <is>
          <t>Over the counter</t>
        </is>
      </c>
      <c r="E475" s="4" t="inlineStr">
        <is>
          <t>Antlerless Elk</t>
        </is>
      </c>
      <c r="F475" s="4" t="inlineStr">
        <is>
          <t>Sep 05-Oct 18</t>
        </is>
      </c>
      <c r="G475" s="4" t="inlineStr">
        <is>
          <t>Oct 24-Nov 29</t>
        </is>
      </c>
      <c r="H475" s="4" t="inlineStr">
        <is>
          <t>Dec 12-Dec 20</t>
        </is>
      </c>
      <c r="I475" s="4" t="n"/>
      <c r="J475" s="4" t="inlineStr">
        <is>
          <t>OTC: Jun 15</t>
        </is>
      </c>
      <c r="K475" s="4" t="inlineStr">
        <is>
          <t>UNL</t>
        </is>
      </c>
      <c r="L475" s="4" t="inlineStr">
        <is>
          <t>Not valid on National Forest lands, FWP WMAs, or CMR Refuge. Valid in all Region 4 HDs except HDs 410 and 455 as listed under each HD. 95 2026 Deer • Elk • Antelope Visit fwp.mt.gov LICENSE/PERMIT OPPORTUNITY APPL Y BY DATE QUOTA QUOTA RANGE EARL Y SEASON DATES ARCHERY ONL Y SEASON DATES GENERAL SEA</t>
        </is>
      </c>
    </row>
    <row r="476">
      <c r="A476" s="4" t="inlineStr">
        <is>
          <t>415</t>
        </is>
      </c>
      <c r="B476" s="4" t="inlineStr">
        <is>
          <t>elk</t>
        </is>
      </c>
      <c r="C476" s="4" t="inlineStr">
        <is>
          <t>General Elk License</t>
        </is>
      </c>
      <c r="D476" s="13" t="inlineStr">
        <is>
          <t>General license</t>
        </is>
      </c>
      <c r="E476" s="4" t="inlineStr">
        <is>
          <t>Antlered Bull Elk</t>
        </is>
      </c>
      <c r="F476" s="4" t="inlineStr">
        <is>
          <t>Sep 05-Oct 18</t>
        </is>
      </c>
      <c r="G476" s="4" t="inlineStr">
        <is>
          <t>Oct 24-Nov 29</t>
        </is>
      </c>
      <c r="H476" s="4" t="inlineStr">
        <is>
          <t>Dec 12-Dec 20</t>
        </is>
      </c>
      <c r="I476" s="4" t="n"/>
      <c r="J476" s="4" t="n"/>
      <c r="K476" s="4" t="n"/>
      <c r="L476" s="4" t="n"/>
    </row>
    <row r="477">
      <c r="A477" s="4" t="inlineStr">
        <is>
          <t>415</t>
        </is>
      </c>
      <c r="B477" s="4" t="inlineStr">
        <is>
          <t>elk</t>
        </is>
      </c>
      <c r="C477" s="4" t="inlineStr">
        <is>
          <t>Elk B License: 004-00</t>
        </is>
      </c>
      <c r="D477" s="4" t="inlineStr">
        <is>
          <t>Over the counter</t>
        </is>
      </c>
      <c r="E477" s="4" t="inlineStr">
        <is>
          <t>Antlerless Elk</t>
        </is>
      </c>
      <c r="F477" s="4" t="inlineStr">
        <is>
          <t>Sep 05-Oct 18</t>
        </is>
      </c>
      <c r="G477" s="4" t="inlineStr">
        <is>
          <t>Oct 24-Nov 29</t>
        </is>
      </c>
      <c r="H477" s="4" t="inlineStr">
        <is>
          <t>Dec 12-Dec 20</t>
        </is>
      </c>
      <c r="I477" s="4" t="n"/>
      <c r="J477" s="4" t="inlineStr">
        <is>
          <t>OTC: Jun 15</t>
        </is>
      </c>
      <c r="K477" s="4" t="inlineStr">
        <is>
          <t>UNL</t>
        </is>
      </c>
      <c r="L477" s="4" t="inlineStr">
        <is>
          <t>Not valid on National Forest lands, FWP WMAs, or CMR Refuge. Valid in all Region 4 HDs except HDs 410 and 455 as listed under each HD.</t>
        </is>
      </c>
    </row>
    <row r="478">
      <c r="A478" s="4" t="inlineStr">
        <is>
          <t>416</t>
        </is>
      </c>
      <c r="B478" s="4" t="inlineStr">
        <is>
          <t>elk</t>
        </is>
      </c>
      <c r="C478" s="4" t="inlineStr">
        <is>
          <t>General Elk License</t>
        </is>
      </c>
      <c r="D478" s="13" t="inlineStr">
        <is>
          <t>General license</t>
        </is>
      </c>
      <c r="E478" s="4" t="inlineStr">
        <is>
          <t>Brow-tined Bull or Antlerless Elk</t>
        </is>
      </c>
      <c r="F478" s="4" t="inlineStr">
        <is>
          <t>Sep 05-Oct 18</t>
        </is>
      </c>
      <c r="G478" s="4" t="inlineStr">
        <is>
          <t>Oct 24-Nov 29</t>
        </is>
      </c>
      <c r="H478" s="4" t="inlineStr">
        <is>
          <t>Dec 12-Dec 20</t>
        </is>
      </c>
      <c r="I478" s="4" t="n"/>
      <c r="J478" s="4" t="n"/>
      <c r="K478" s="4" t="n"/>
      <c r="L478" s="4" t="n"/>
    </row>
    <row r="479">
      <c r="A479" s="4" t="inlineStr">
        <is>
          <t>416</t>
        </is>
      </c>
      <c r="B479" s="4" t="inlineStr">
        <is>
          <t>elk</t>
        </is>
      </c>
      <c r="C479" s="4" t="inlineStr">
        <is>
          <t>Elk B License: 004-00</t>
        </is>
      </c>
      <c r="D479" s="4" t="inlineStr">
        <is>
          <t>Over the counter</t>
        </is>
      </c>
      <c r="E479" s="4" t="inlineStr">
        <is>
          <t>Antlerless Elk</t>
        </is>
      </c>
      <c r="F479" s="4" t="inlineStr">
        <is>
          <t>Sep 05-Oct 18</t>
        </is>
      </c>
      <c r="G479" s="4" t="inlineStr">
        <is>
          <t>Oct 24-Nov 29</t>
        </is>
      </c>
      <c r="H479" s="4" t="inlineStr">
        <is>
          <t>Dec 12-Dec 20</t>
        </is>
      </c>
      <c r="I479" s="4" t="n"/>
      <c r="J479" s="4" t="inlineStr">
        <is>
          <t>OTC: Jun 15</t>
        </is>
      </c>
      <c r="K479" s="4" t="inlineStr">
        <is>
          <t>UNL</t>
        </is>
      </c>
      <c r="L479" s="4" t="inlineStr">
        <is>
          <t>Not valid on National Forest lands, FWP WMAs, or CMR Refuge. Valid in all Region 4 HDs except HDs 410 and 455 as listed under each HD. LICENSE/PERMIT OPPORTUNITY APPL Y BY DATE QUOTA QUOTA RANGE EARL Y SEASON DATES ARCHERY ONL Y SEASON DATES GENERAL SEASON DATES HERITAGE MUZZLELOADER SEASON DATES LA</t>
        </is>
      </c>
    </row>
    <row r="480">
      <c r="A480" s="4" t="inlineStr">
        <is>
          <t>417</t>
        </is>
      </c>
      <c r="B480" s="4" t="inlineStr">
        <is>
          <t>elk</t>
        </is>
      </c>
      <c r="C480" s="4" t="inlineStr">
        <is>
          <t>General Elk License</t>
        </is>
      </c>
      <c r="D480" s="13" t="inlineStr">
        <is>
          <t>General license</t>
        </is>
      </c>
      <c r="E480" s="4" t="inlineStr">
        <is>
          <t>Antlerless Elk</t>
        </is>
      </c>
      <c r="F480" s="4" t="inlineStr">
        <is>
          <t>Sep 05-Oct 18</t>
        </is>
      </c>
      <c r="G480" s="4" t="inlineStr">
        <is>
          <t>Oct 24-Nov 29</t>
        </is>
      </c>
      <c r="H480" s="4" t="n"/>
      <c r="I480" s="4" t="inlineStr">
        <is>
          <t>Nov 30-Feb 15</t>
        </is>
      </c>
      <c r="J480" s="4" t="n"/>
      <c r="K480" s="4" t="n"/>
      <c r="L480" s="4" t="inlineStr">
        <is>
          <t>Only valid south of D-Y Trail to intersection of Knox Ridge Road, then south of Knox Ridge Road thereafter. Not valid west of Staford Ferry Rd.</t>
        </is>
      </c>
    </row>
    <row r="481">
      <c r="A481" s="4" t="inlineStr">
        <is>
          <t>417</t>
        </is>
      </c>
      <c r="B481" s="4" t="inlineStr">
        <is>
          <t>elk</t>
        </is>
      </c>
      <c r="C481" s="4" t="inlineStr">
        <is>
          <t>Elk B License: 004-00</t>
        </is>
      </c>
      <c r="D481" s="15" t="inlineStr">
        <is>
          <t>Drawing</t>
        </is>
      </c>
      <c r="E481" s="4" t="inlineStr">
        <is>
          <t>Antlerless Elk</t>
        </is>
      </c>
      <c r="F481" s="4" t="inlineStr">
        <is>
          <t>Sep 05-Oct 18</t>
        </is>
      </c>
      <c r="G481" s="4" t="inlineStr">
        <is>
          <t>Oct 24-Nov 29</t>
        </is>
      </c>
      <c r="H481" s="4" t="n"/>
      <c r="I481" s="4" t="inlineStr">
        <is>
          <t>Nov 30-Feb 15</t>
        </is>
      </c>
      <c r="J481" s="4" t="inlineStr">
        <is>
          <t>Jun 1</t>
        </is>
      </c>
      <c r="K481" s="4" t="inlineStr">
        <is>
          <t>UNL</t>
        </is>
      </c>
      <c r="L481" s="4" t="inlineStr">
        <is>
          <t>Only valid south of D-Y Trail to intersection of Knox Ridge Road, then south of Knox Ridge Road thereafter. Not valid west of Staford Ferry Rd. Not valid on National Forest lands, FWP WMAs, or CMR Refuge. Valid in all Region 4 HDs except HDs 410 and 455 as listed under each HD.</t>
        </is>
      </c>
    </row>
    <row r="482">
      <c r="A482" s="4" t="inlineStr">
        <is>
          <t>417</t>
        </is>
      </c>
      <c r="B482" s="4" t="inlineStr">
        <is>
          <t>elk</t>
        </is>
      </c>
      <c r="C482" s="4" t="inlineStr">
        <is>
          <t>Elk B License: 417-02</t>
        </is>
      </c>
      <c r="D482" s="15" t="inlineStr">
        <is>
          <t>Drawing</t>
        </is>
      </c>
      <c r="E482" s="4" t="inlineStr">
        <is>
          <t>Antlerless Elk</t>
        </is>
      </c>
      <c r="F482" s="4" t="inlineStr">
        <is>
          <t>Sep 05-Oct 18</t>
        </is>
      </c>
      <c r="G482" s="4" t="inlineStr">
        <is>
          <t>Oct 24-Nov 29</t>
        </is>
      </c>
      <c r="H482" s="4" t="inlineStr">
        <is>
          <t>Dec 12-Dec 20</t>
        </is>
      </c>
      <c r="I482" s="4" t="n"/>
      <c r="J482" s="4" t="inlineStr">
        <is>
          <t>Jun 1</t>
        </is>
      </c>
      <c r="K482" s="4" t="inlineStr">
        <is>
          <t>50</t>
        </is>
      </c>
      <c r="L482" s="4" t="n"/>
    </row>
    <row r="483">
      <c r="A483" s="4" t="inlineStr">
        <is>
          <t>417</t>
        </is>
      </c>
      <c r="B483" s="4" t="inlineStr">
        <is>
          <t>elk</t>
        </is>
      </c>
      <c r="C483" s="4" t="inlineStr">
        <is>
          <t>Elk Permit: 417-20</t>
        </is>
      </c>
      <c r="D483" s="15" t="inlineStr">
        <is>
          <t>Drawing</t>
        </is>
      </c>
      <c r="E483" s="4" t="inlineStr">
        <is>
          <t>Either-sex Elk</t>
        </is>
      </c>
      <c r="F483" s="4" t="inlineStr">
        <is>
          <t>Sep 05-Oct 18</t>
        </is>
      </c>
      <c r="G483" s="4" t="inlineStr">
        <is>
          <t>Oct 24-Nov 29</t>
        </is>
      </c>
      <c r="H483" s="4" t="inlineStr">
        <is>
          <t>Dec 12-Dec 20</t>
        </is>
      </c>
      <c r="I483" s="4" t="n"/>
      <c r="J483" s="4" t="inlineStr">
        <is>
          <t>April 1</t>
        </is>
      </c>
      <c r="K483" s="4" t="inlineStr">
        <is>
          <t>225</t>
        </is>
      </c>
      <c r="L483" s="4" t="inlineStr">
        <is>
          <t>1st and only choice. Permit must be used with a valid General Elk License. Holders may not hunt Antlered Elk in any other HD during these described season dates.</t>
        </is>
      </c>
    </row>
    <row r="484">
      <c r="A484" s="4" t="inlineStr">
        <is>
          <t>417</t>
        </is>
      </c>
      <c r="B484" s="4" t="inlineStr">
        <is>
          <t>elk</t>
        </is>
      </c>
      <c r="C484" s="4" t="inlineStr">
        <is>
          <t>Elk Permit: 417-21</t>
        </is>
      </c>
      <c r="D484" s="15" t="inlineStr">
        <is>
          <t>Drawing</t>
        </is>
      </c>
      <c r="E484" s="4" t="inlineStr">
        <is>
          <t>Either-sex Elk</t>
        </is>
      </c>
      <c r="F484" s="4" t="inlineStr">
        <is>
          <t>Sep 05-Oct 18</t>
        </is>
      </c>
      <c r="G484" s="4" t="n"/>
      <c r="H484" s="4" t="n"/>
      <c r="I484" s="4" t="n"/>
      <c r="J484" s="4" t="inlineStr">
        <is>
          <t>April 1</t>
        </is>
      </c>
      <c r="K484" s="4" t="inlineStr">
        <is>
          <t>300</t>
        </is>
      </c>
      <c r="L484" s="4" t="inlineStr">
        <is>
          <t>1st and only choice. Only valid in HDs 417 and 426. Permit must be used with a valid General Elk License. Holders may not hunt Antlered Elk in any other HD during these described season dates.</t>
        </is>
      </c>
    </row>
    <row r="485">
      <c r="A485" s="4" t="inlineStr">
        <is>
          <t>418</t>
        </is>
      </c>
      <c r="B485" s="4" t="inlineStr">
        <is>
          <t>elk</t>
        </is>
      </c>
      <c r="C485" s="4" t="inlineStr">
        <is>
          <t>General Elk License</t>
        </is>
      </c>
      <c r="D485" s="13" t="inlineStr">
        <is>
          <t>General license</t>
        </is>
      </c>
      <c r="E485" s="4" t="inlineStr">
        <is>
          <t>Antlerless Elk</t>
        </is>
      </c>
      <c r="F485" s="4" t="n"/>
      <c r="G485" s="4" t="n"/>
      <c r="H485" s="4" t="n"/>
      <c r="I485" s="4" t="inlineStr">
        <is>
          <t>Nov 30-Feb 15</t>
        </is>
      </c>
      <c r="J485" s="4" t="n"/>
      <c r="K485" s="4" t="n"/>
      <c r="L485" s="4" t="inlineStr">
        <is>
          <t>Not valid on National Forest Lands.</t>
        </is>
      </c>
    </row>
    <row r="486">
      <c r="A486" s="4" t="inlineStr">
        <is>
          <t>418</t>
        </is>
      </c>
      <c r="B486" s="4" t="inlineStr">
        <is>
          <t>elk</t>
        </is>
      </c>
      <c r="C486" s="4" t="inlineStr">
        <is>
          <t>General Elk License</t>
        </is>
      </c>
      <c r="D486" s="13" t="inlineStr">
        <is>
          <t>General license</t>
        </is>
      </c>
      <c r="E486" s="4" t="inlineStr">
        <is>
          <t>Brow-tined Bull or Antlerless Elk</t>
        </is>
      </c>
      <c r="F486" s="4" t="inlineStr">
        <is>
          <t>Sep 05-Oct 18</t>
        </is>
      </c>
      <c r="G486" s="4" t="inlineStr">
        <is>
          <t>Oct 24-Nov 29</t>
        </is>
      </c>
      <c r="H486" s="4" t="inlineStr">
        <is>
          <t>Dec 12-Dec 20</t>
        </is>
      </c>
      <c r="I486" s="4" t="n"/>
      <c r="J486" s="4" t="n"/>
      <c r="K486" s="4" t="n"/>
      <c r="L486" s="4" t="n"/>
    </row>
    <row r="487">
      <c r="A487" s="4" t="inlineStr">
        <is>
          <t>418</t>
        </is>
      </c>
      <c r="B487" s="4" t="inlineStr">
        <is>
          <t>elk</t>
        </is>
      </c>
      <c r="C487" s="4" t="inlineStr">
        <is>
          <t>Elk B License: 004-00</t>
        </is>
      </c>
      <c r="D487" s="4" t="inlineStr">
        <is>
          <t>Over the counter</t>
        </is>
      </c>
      <c r="E487" s="4" t="inlineStr">
        <is>
          <t>Antlerless Elk</t>
        </is>
      </c>
      <c r="F487" s="4" t="inlineStr">
        <is>
          <t>Sep 05-Oct 18</t>
        </is>
      </c>
      <c r="G487" s="4" t="inlineStr">
        <is>
          <t>Oct 24-Nov 29</t>
        </is>
      </c>
      <c r="H487" s="4" t="inlineStr">
        <is>
          <t>Dec 12-Dec 20</t>
        </is>
      </c>
      <c r="I487" s="4" t="inlineStr">
        <is>
          <t>Nov 30-Feb 15</t>
        </is>
      </c>
      <c r="J487" s="4" t="inlineStr">
        <is>
          <t>OTC: Jun 15</t>
        </is>
      </c>
      <c r="K487" s="4" t="inlineStr">
        <is>
          <t>UNL</t>
        </is>
      </c>
      <c r="L487" s="4" t="inlineStr">
        <is>
          <t>Not valid on National Forest lands, FWP WMAs, or CMR Refuge. Valid in all Region 4 HDs except HDs 410 and 455 as listed under each HD.</t>
        </is>
      </c>
    </row>
    <row r="488">
      <c r="A488" s="4" t="inlineStr">
        <is>
          <t>419</t>
        </is>
      </c>
      <c r="B488" s="4" t="inlineStr">
        <is>
          <t>elk</t>
        </is>
      </c>
      <c r="C488" s="4" t="inlineStr">
        <is>
          <t>General Elk License</t>
        </is>
      </c>
      <c r="D488" s="13" t="inlineStr">
        <is>
          <t>General license</t>
        </is>
      </c>
      <c r="E488" s="4" t="inlineStr">
        <is>
          <t>Either-sex Elk</t>
        </is>
      </c>
      <c r="F488" s="4" t="inlineStr">
        <is>
          <t>Sep 05-Oct 18</t>
        </is>
      </c>
      <c r="G488" s="4" t="inlineStr">
        <is>
          <t>Oct 24-Nov 29</t>
        </is>
      </c>
      <c r="H488" s="4" t="inlineStr">
        <is>
          <t>Dec 12-Dec 20</t>
        </is>
      </c>
      <c r="I488" s="4" t="n"/>
      <c r="J488" s="4" t="n"/>
      <c r="K488" s="4" t="n"/>
      <c r="L488" s="4" t="n"/>
    </row>
    <row r="489">
      <c r="A489" s="4" t="inlineStr">
        <is>
          <t>419</t>
        </is>
      </c>
      <c r="B489" s="4" t="inlineStr">
        <is>
          <t>elk</t>
        </is>
      </c>
      <c r="C489" s="4" t="inlineStr">
        <is>
          <t>General Elk License</t>
        </is>
      </c>
      <c r="D489" s="13" t="inlineStr">
        <is>
          <t>General license</t>
        </is>
      </c>
      <c r="E489" s="4" t="inlineStr">
        <is>
          <t>Antlerless Elk</t>
        </is>
      </c>
      <c r="F489" s="4" t="n"/>
      <c r="G489" s="4" t="n"/>
      <c r="H489" s="4" t="n"/>
      <c r="I489" s="4" t="inlineStr">
        <is>
          <t>Nov 30-Feb 15</t>
        </is>
      </c>
      <c r="J489" s="4" t="n"/>
      <c r="K489" s="4" t="n"/>
      <c r="L489" s="4" t="n"/>
    </row>
    <row r="490">
      <c r="A490" s="4" t="inlineStr">
        <is>
          <t>419</t>
        </is>
      </c>
      <c r="B490" s="4" t="inlineStr">
        <is>
          <t>elk</t>
        </is>
      </c>
      <c r="C490" s="4" t="inlineStr">
        <is>
          <t>Elk B License: 004-00</t>
        </is>
      </c>
      <c r="D490" s="4" t="inlineStr">
        <is>
          <t>Over the counter</t>
        </is>
      </c>
      <c r="E490" s="4" t="inlineStr">
        <is>
          <t>Antlerless Elk</t>
        </is>
      </c>
      <c r="F490" s="4" t="inlineStr">
        <is>
          <t>Sep 05-Oct 18</t>
        </is>
      </c>
      <c r="G490" s="4" t="inlineStr">
        <is>
          <t>Oct 24-Nov 29</t>
        </is>
      </c>
      <c r="H490" s="4" t="n"/>
      <c r="I490" s="4" t="inlineStr">
        <is>
          <t>Nov 30-Feb 15</t>
        </is>
      </c>
      <c r="J490" s="4" t="inlineStr">
        <is>
          <t>OTC: Jun 15</t>
        </is>
      </c>
      <c r="K490" s="4" t="inlineStr">
        <is>
          <t>UNL</t>
        </is>
      </c>
      <c r="L490" s="4" t="inlineStr">
        <is>
          <t>Not valid on National Forest lands, FWP WMAs, or CMR Refuge. Valid in all Region 4 HDs except HDs 410 and 455 as listed under each HD.</t>
        </is>
      </c>
    </row>
    <row r="491">
      <c r="A491" s="4" t="inlineStr">
        <is>
          <t>420</t>
        </is>
      </c>
      <c r="B491" s="4" t="inlineStr">
        <is>
          <t>elk</t>
        </is>
      </c>
      <c r="C491" s="4" t="inlineStr">
        <is>
          <t>General Elk License</t>
        </is>
      </c>
      <c r="D491" s="13" t="inlineStr">
        <is>
          <t>General license</t>
        </is>
      </c>
      <c r="E491" s="4" t="inlineStr">
        <is>
          <t>Brow-tined Bull or Antlerless Elk</t>
        </is>
      </c>
      <c r="F491" s="4" t="inlineStr">
        <is>
          <t>Sep 05-Oct 18</t>
        </is>
      </c>
      <c r="G491" s="4" t="n"/>
      <c r="H491" s="4" t="n"/>
      <c r="I491" s="4" t="n"/>
      <c r="J491" s="4" t="n"/>
      <c r="K491" s="4" t="n"/>
      <c r="L491" s="4" t="n"/>
    </row>
    <row r="492">
      <c r="A492" s="4" t="inlineStr">
        <is>
          <t>420</t>
        </is>
      </c>
      <c r="B492" s="4" t="inlineStr">
        <is>
          <t>elk</t>
        </is>
      </c>
      <c r="C492" s="4" t="inlineStr">
        <is>
          <t>Elk B License: 004-00</t>
        </is>
      </c>
      <c r="D492" s="4" t="inlineStr">
        <is>
          <t>Over the counter</t>
        </is>
      </c>
      <c r="E492" s="4" t="inlineStr">
        <is>
          <t>Antlerless Elk</t>
        </is>
      </c>
      <c r="F492" s="4" t="inlineStr">
        <is>
          <t>Sep 05-Oct 18</t>
        </is>
      </c>
      <c r="G492" s="4" t="inlineStr">
        <is>
          <t>Oct 24-Nov 29</t>
        </is>
      </c>
      <c r="H492" s="4" t="inlineStr">
        <is>
          <t>Dec 12-Dec 20</t>
        </is>
      </c>
      <c r="I492" s="4" t="n"/>
      <c r="J492" s="4" t="inlineStr">
        <is>
          <t>OTC: Jun 15</t>
        </is>
      </c>
      <c r="K492" s="4" t="inlineStr">
        <is>
          <t>UNL</t>
        </is>
      </c>
      <c r="L492" s="4" t="inlineStr">
        <is>
          <t>Not valid on National Forest lands, FWP WMAs, or CMR Refuge. Valid in all Region 4 HDs except HDs 410 and 455 as listed under each HD.</t>
        </is>
      </c>
    </row>
    <row r="493">
      <c r="A493" s="4" t="inlineStr">
        <is>
          <t>420</t>
        </is>
      </c>
      <c r="B493" s="4" t="inlineStr">
        <is>
          <t>elk</t>
        </is>
      </c>
      <c r="C493" s="4" t="inlineStr">
        <is>
          <t>Elk B License: 448-00</t>
        </is>
      </c>
      <c r="D493" s="15" t="inlineStr">
        <is>
          <t>Drawing</t>
        </is>
      </c>
      <c r="E493" s="4" t="inlineStr">
        <is>
          <t>Antlerless Elk</t>
        </is>
      </c>
      <c r="F493" s="4" t="inlineStr">
        <is>
          <t>Sep 05-Oct 18</t>
        </is>
      </c>
      <c r="G493" s="4" t="inlineStr">
        <is>
          <t>Oct 24-Nov 29</t>
        </is>
      </c>
      <c r="H493" s="4" t="inlineStr">
        <is>
          <t>Dec 12-Dec 20</t>
        </is>
      </c>
      <c r="I493" s="4" t="n"/>
      <c r="J493" s="4" t="inlineStr">
        <is>
          <t>Jun 1</t>
        </is>
      </c>
      <c r="K493" s="4" t="inlineStr">
        <is>
          <t>150</t>
        </is>
      </c>
      <c r="L493" s="4" t="inlineStr">
        <is>
          <t>Only valid in HDs 420 and 448.</t>
        </is>
      </c>
    </row>
    <row r="494">
      <c r="A494" s="4" t="inlineStr">
        <is>
          <t>420</t>
        </is>
      </c>
      <c r="B494" s="4" t="inlineStr">
        <is>
          <t>elk</t>
        </is>
      </c>
      <c r="C494" s="4" t="inlineStr">
        <is>
          <t>Elk Permit: 420-20</t>
        </is>
      </c>
      <c r="D494" s="15" t="inlineStr">
        <is>
          <t>Drawing</t>
        </is>
      </c>
      <c r="E494" s="4" t="inlineStr">
        <is>
          <t>Brow-tined Bull or Antlerless Elk</t>
        </is>
      </c>
      <c r="F494" s="4" t="inlineStr">
        <is>
          <t>Sep 05-Oct 18</t>
        </is>
      </c>
      <c r="G494" s="4" t="inlineStr">
        <is>
          <t>Oct 24-Nov 29</t>
        </is>
      </c>
      <c r="H494" s="4" t="inlineStr">
        <is>
          <t>Dec 12-Dec 20</t>
        </is>
      </c>
      <c r="I494" s="4" t="n"/>
      <c r="J494" s="4" t="inlineStr">
        <is>
          <t>April 1</t>
        </is>
      </c>
      <c r="K494" s="4" t="inlineStr">
        <is>
          <t>80</t>
        </is>
      </c>
      <c r="L494" s="4" t="inlineStr">
        <is>
          <t>Permit must be used with a valid General Elk License. Holders may not hunt Antlered Elk in any other HD during these described season dates. LICENSE/PERMIT OPPORTUNITY APPL Y BY DATE QUOTA QUOTA RANGE EARL Y SEASON DATES ARCHERY ONL Y SEASON DATES GENERAL SEASON DATES HERITAGE MUZZLELOADER SEASON DA</t>
        </is>
      </c>
    </row>
    <row r="495">
      <c r="A495" s="4" t="inlineStr">
        <is>
          <t>421</t>
        </is>
      </c>
      <c r="B495" s="4" t="inlineStr">
        <is>
          <t>elk</t>
        </is>
      </c>
      <c r="C495" s="4" t="inlineStr">
        <is>
          <t>General Elk License</t>
        </is>
      </c>
      <c r="D495" s="13" t="inlineStr">
        <is>
          <t>General license</t>
        </is>
      </c>
      <c r="E495" s="4" t="inlineStr">
        <is>
          <t>Antlerless Elk</t>
        </is>
      </c>
      <c r="F495" s="4" t="n"/>
      <c r="G495" s="4" t="n"/>
      <c r="H495" s="4" t="n"/>
      <c r="I495" s="4" t="inlineStr">
        <is>
          <t>Jan 01-Feb 15</t>
        </is>
      </c>
      <c r="J495" s="4" t="n"/>
      <c r="K495" s="4" t="n"/>
      <c r="L495" s="4" t="inlineStr">
        <is>
          <t>Only valid outside National Forest boundary.</t>
        </is>
      </c>
    </row>
    <row r="496">
      <c r="A496" s="4" t="inlineStr">
        <is>
          <t>421</t>
        </is>
      </c>
      <c r="B496" s="4" t="inlineStr">
        <is>
          <t>elk</t>
        </is>
      </c>
      <c r="C496" s="4" t="inlineStr">
        <is>
          <t>General Elk License</t>
        </is>
      </c>
      <c r="D496" s="13" t="inlineStr">
        <is>
          <t>General license</t>
        </is>
      </c>
      <c r="E496" s="4" t="inlineStr">
        <is>
          <t>Either-sex Elk</t>
        </is>
      </c>
      <c r="F496" s="4" t="inlineStr">
        <is>
          <t>Sep 05-Oct 18</t>
        </is>
      </c>
      <c r="G496" s="4" t="inlineStr">
        <is>
          <t>Oct 24-Nov 29</t>
        </is>
      </c>
      <c r="H496" s="4" t="inlineStr">
        <is>
          <t>Dec 12-Dec 20</t>
        </is>
      </c>
      <c r="I496" s="4" t="n"/>
      <c r="J496" s="4" t="n"/>
      <c r="K496" s="4" t="n"/>
      <c r="L496" s="4" t="n"/>
    </row>
    <row r="497">
      <c r="A497" s="4" t="inlineStr">
        <is>
          <t>421</t>
        </is>
      </c>
      <c r="B497" s="4" t="inlineStr">
        <is>
          <t>elk</t>
        </is>
      </c>
      <c r="C497" s="4" t="inlineStr">
        <is>
          <t>Elk B License: 004-00</t>
        </is>
      </c>
      <c r="D497" s="4" t="inlineStr">
        <is>
          <t>Over the counter</t>
        </is>
      </c>
      <c r="E497" s="4" t="inlineStr">
        <is>
          <t>Antlerless Elk</t>
        </is>
      </c>
      <c r="F497" s="4" t="inlineStr">
        <is>
          <t>Sep 05-Oct 18</t>
        </is>
      </c>
      <c r="G497" s="4" t="inlineStr">
        <is>
          <t>Oct 24-Nov 29</t>
        </is>
      </c>
      <c r="H497" s="4" t="inlineStr">
        <is>
          <t>Dec 12-Dec 20</t>
        </is>
      </c>
      <c r="I497" s="4" t="inlineStr">
        <is>
          <t>Jan 01-Feb 15</t>
        </is>
      </c>
      <c r="J497" s="4" t="inlineStr">
        <is>
          <t>OTC: Jun 15</t>
        </is>
      </c>
      <c r="K497" s="4" t="inlineStr">
        <is>
          <t>UNL</t>
        </is>
      </c>
      <c r="L497" s="4" t="inlineStr">
        <is>
          <t>Not valid on National Forest lands, FWP WMAs, or CMR Refuge. Valid in all Region 4 HDs except HDs 410 and 455 as listed under each HD.</t>
        </is>
      </c>
    </row>
    <row r="498">
      <c r="A498" s="4" t="inlineStr">
        <is>
          <t>422</t>
        </is>
      </c>
      <c r="B498" s="4" t="inlineStr">
        <is>
          <t>elk</t>
        </is>
      </c>
      <c r="C498" s="4" t="inlineStr">
        <is>
          <t>General Elk License</t>
        </is>
      </c>
      <c r="D498" s="13" t="inlineStr">
        <is>
          <t>General license</t>
        </is>
      </c>
      <c r="E498" s="4" t="inlineStr">
        <is>
          <t>Antlerless Elk</t>
        </is>
      </c>
      <c r="F498" s="4" t="n"/>
      <c r="G498" s="4" t="n"/>
      <c r="H498" s="4" t="n"/>
      <c r="I498" s="4" t="inlineStr">
        <is>
          <t>Jan 01-Feb 15</t>
        </is>
      </c>
      <c r="J498" s="4" t="n"/>
      <c r="K498" s="4" t="n"/>
      <c r="L498" s="4" t="inlineStr">
        <is>
          <t>Not valid on National Forest Land.</t>
        </is>
      </c>
    </row>
    <row r="499">
      <c r="A499" s="4" t="inlineStr">
        <is>
          <t>422</t>
        </is>
      </c>
      <c r="B499" s="4" t="inlineStr">
        <is>
          <t>elk</t>
        </is>
      </c>
      <c r="C499" s="4" t="inlineStr">
        <is>
          <t>General Elk License</t>
        </is>
      </c>
      <c r="D499" s="13" t="inlineStr">
        <is>
          <t>General license</t>
        </is>
      </c>
      <c r="E499" s="4" t="inlineStr">
        <is>
          <t>Either-sex Elk</t>
        </is>
      </c>
      <c r="F499" s="4" t="inlineStr">
        <is>
          <t>Sep 05-Oct 18</t>
        </is>
      </c>
      <c r="G499" s="4" t="inlineStr">
        <is>
          <t>Oct 24-Nov 29</t>
        </is>
      </c>
      <c r="H499" s="4" t="inlineStr">
        <is>
          <t>Dec 12-Dec 20</t>
        </is>
      </c>
      <c r="I499" s="4" t="n"/>
      <c r="J499" s="4" t="n"/>
      <c r="K499" s="4" t="n"/>
      <c r="L499" s="4" t="n"/>
    </row>
    <row r="500">
      <c r="A500" s="4" t="inlineStr">
        <is>
          <t>422</t>
        </is>
      </c>
      <c r="B500" s="4" t="inlineStr">
        <is>
          <t>elk</t>
        </is>
      </c>
      <c r="C500" s="4" t="inlineStr">
        <is>
          <t>Elk B License: 004-00</t>
        </is>
      </c>
      <c r="D500" s="4" t="inlineStr">
        <is>
          <t>Over the counter</t>
        </is>
      </c>
      <c r="E500" s="4" t="inlineStr">
        <is>
          <t>Antlerless Elk</t>
        </is>
      </c>
      <c r="F500" s="4" t="inlineStr">
        <is>
          <t>Sep 05-Oct 18</t>
        </is>
      </c>
      <c r="G500" s="4" t="inlineStr">
        <is>
          <t>Oct 24-Nov 29</t>
        </is>
      </c>
      <c r="H500" s="4" t="inlineStr">
        <is>
          <t>Dec 12-Dec 20</t>
        </is>
      </c>
      <c r="I500" s="4" t="inlineStr">
        <is>
          <t>Jan 01-Feb 15</t>
        </is>
      </c>
      <c r="J500" s="4" t="inlineStr">
        <is>
          <t>OTC: Jun 15</t>
        </is>
      </c>
      <c r="K500" s="4" t="inlineStr">
        <is>
          <t>UNL</t>
        </is>
      </c>
      <c r="L500" s="4" t="inlineStr">
        <is>
          <t>Not valid on National Forest lands, FWP WMAs, or CMR Refuge. Valid in all Region 4 HDs except HDs 410 and 455 as listed under each HD.</t>
        </is>
      </c>
    </row>
    <row r="501">
      <c r="A501" s="4" t="inlineStr">
        <is>
          <t>422</t>
        </is>
      </c>
      <c r="B501" s="4" t="inlineStr">
        <is>
          <t>elk</t>
        </is>
      </c>
      <c r="C501" s="4" t="inlineStr">
        <is>
          <t>Elk B License: 422-00</t>
        </is>
      </c>
      <c r="D501" s="15" t="inlineStr">
        <is>
          <t>Drawing</t>
        </is>
      </c>
      <c r="E501" s="4" t="inlineStr">
        <is>
          <t>Antlerless Elk</t>
        </is>
      </c>
      <c r="F501" s="4" t="n"/>
      <c r="G501" s="4" t="n"/>
      <c r="H501" s="4" t="n"/>
      <c r="I501" s="4" t="inlineStr">
        <is>
          <t>Jan 01-Feb 15</t>
        </is>
      </c>
      <c r="J501" s="4" t="inlineStr">
        <is>
          <t>Jun 1</t>
        </is>
      </c>
      <c r="K501" s="4" t="inlineStr">
        <is>
          <t>200</t>
        </is>
      </c>
      <c r="L501" s="4" t="inlineStr">
        <is>
          <t>Not valid on National Forest Lands. 99 2026 Deer • Elk • Antelope Visit fwp.mt.gov LICENSE/PERMIT OPPORTUNITY APPL Y BY DATE QUOTA QUOTA RANGE EARL Y SEASON DATES ARCHERY ONL Y SEASON DATES GENERAL SEASON DATES HERITAGE MUZZLELOADER SEASON DATES LATE SEASON DATES OPPORTUNITY SPECIFIC DETAILS AND/ORR</t>
        </is>
      </c>
    </row>
    <row r="502">
      <c r="A502" s="4" t="inlineStr">
        <is>
          <t>424</t>
        </is>
      </c>
      <c r="B502" s="4" t="inlineStr">
        <is>
          <t>elk</t>
        </is>
      </c>
      <c r="C502" s="4" t="inlineStr">
        <is>
          <t>General Elk License</t>
        </is>
      </c>
      <c r="D502" s="13" t="inlineStr">
        <is>
          <t>General license</t>
        </is>
      </c>
      <c r="E502" s="4" t="inlineStr">
        <is>
          <t>Antlerless Elk</t>
        </is>
      </c>
      <c r="F502" s="4" t="n"/>
      <c r="G502" s="4" t="inlineStr">
        <is>
          <t>Oct 24-Oct 27</t>
        </is>
      </c>
      <c r="H502" s="4" t="n"/>
      <c r="I502" s="4" t="n"/>
      <c r="J502" s="4" t="n"/>
      <c r="K502" s="4" t="n"/>
      <c r="L502" s="4" t="n"/>
    </row>
    <row r="503">
      <c r="A503" s="4" t="inlineStr">
        <is>
          <t>424</t>
        </is>
      </c>
      <c r="B503" s="4" t="inlineStr">
        <is>
          <t>elk</t>
        </is>
      </c>
      <c r="C503" s="4" t="inlineStr">
        <is>
          <t>General Elk License</t>
        </is>
      </c>
      <c r="D503" s="13" t="inlineStr">
        <is>
          <t>General license</t>
        </is>
      </c>
      <c r="E503" s="4" t="inlineStr">
        <is>
          <t>Brow-tined Bull Elk</t>
        </is>
      </c>
      <c r="F503" s="4" t="inlineStr">
        <is>
          <t>Sep 05-Oct 18</t>
        </is>
      </c>
      <c r="G503" s="4" t="inlineStr">
        <is>
          <t>Oct 28-Nov 29</t>
        </is>
      </c>
      <c r="H503" s="4" t="inlineStr">
        <is>
          <t>Dec 12-Dec 20</t>
        </is>
      </c>
      <c r="I503" s="4" t="n"/>
      <c r="J503" s="4" t="n"/>
      <c r="K503" s="4" t="n"/>
      <c r="L503" s="4" t="n"/>
    </row>
    <row r="504">
      <c r="A504" s="4" t="inlineStr">
        <is>
          <t>424</t>
        </is>
      </c>
      <c r="B504" s="4" t="inlineStr">
        <is>
          <t>elk</t>
        </is>
      </c>
      <c r="C504" s="4" t="inlineStr">
        <is>
          <t>Elk B License: 004-00</t>
        </is>
      </c>
      <c r="D504" s="4" t="inlineStr">
        <is>
          <t>Over the counter</t>
        </is>
      </c>
      <c r="E504" s="4" t="inlineStr">
        <is>
          <t>Antlerless Elk</t>
        </is>
      </c>
      <c r="F504" s="4" t="inlineStr">
        <is>
          <t>Sep 05-Oct 18</t>
        </is>
      </c>
      <c r="G504" s="4" t="inlineStr">
        <is>
          <t>Oct 24-Nov 29</t>
        </is>
      </c>
      <c r="H504" s="4" t="inlineStr">
        <is>
          <t>Dec 12-Dec 20</t>
        </is>
      </c>
      <c r="I504" s="4" t="n"/>
      <c r="J504" s="4" t="inlineStr">
        <is>
          <t>OTC: Jun 15</t>
        </is>
      </c>
      <c r="K504" s="4" t="inlineStr">
        <is>
          <t>UNL</t>
        </is>
      </c>
      <c r="L504" s="4" t="inlineStr">
        <is>
          <t>Not valid on National Forest lands, FWP WMAs, or CMR Refuge. Valid in all Region 4 HDs except HDs 410 and 455 as listed under each HD.</t>
        </is>
      </c>
    </row>
    <row r="505">
      <c r="A505" s="4" t="inlineStr">
        <is>
          <t>425</t>
        </is>
      </c>
      <c r="B505" s="4" t="inlineStr">
        <is>
          <t>elk</t>
        </is>
      </c>
      <c r="C505" s="4" t="inlineStr">
        <is>
          <t>General Elk License</t>
        </is>
      </c>
      <c r="D505" s="13" t="inlineStr">
        <is>
          <t>General license</t>
        </is>
      </c>
      <c r="E505" s="4" t="inlineStr">
        <is>
          <t>Brow-tined Bull or Antlerless Elk</t>
        </is>
      </c>
      <c r="F505" s="4" t="inlineStr">
        <is>
          <t>Sep 05-Oct 18</t>
        </is>
      </c>
      <c r="G505" s="4" t="n"/>
      <c r="H505" s="4" t="n"/>
      <c r="I505" s="4" t="n"/>
      <c r="J505" s="4" t="n"/>
      <c r="K505" s="4" t="n"/>
      <c r="L505" s="4" t="n"/>
    </row>
    <row r="506">
      <c r="A506" s="4" t="inlineStr">
        <is>
          <t>425</t>
        </is>
      </c>
      <c r="B506" s="4" t="inlineStr">
        <is>
          <t>elk</t>
        </is>
      </c>
      <c r="C506" s="4" t="inlineStr">
        <is>
          <t>General Elk License</t>
        </is>
      </c>
      <c r="D506" s="13" t="inlineStr">
        <is>
          <t>General license</t>
        </is>
      </c>
      <c r="E506" s="4" t="inlineStr">
        <is>
          <t>Antlerless Elk</t>
        </is>
      </c>
      <c r="F506" s="4" t="n"/>
      <c r="G506" s="4" t="inlineStr">
        <is>
          <t>Oct 24-Nov 29</t>
        </is>
      </c>
      <c r="H506" s="4" t="inlineStr">
        <is>
          <t>Dec 12-Dec 20</t>
        </is>
      </c>
      <c r="I506" s="4" t="n"/>
      <c r="J506" s="4" t="n"/>
      <c r="K506" s="4" t="n"/>
      <c r="L506" s="4" t="inlineStr">
        <is>
          <t>Only valid outside the Sun River WMA.</t>
        </is>
      </c>
    </row>
    <row r="507">
      <c r="A507" s="4" t="inlineStr">
        <is>
          <t>425</t>
        </is>
      </c>
      <c r="B507" s="4" t="inlineStr">
        <is>
          <t>elk</t>
        </is>
      </c>
      <c r="C507" s="4" t="inlineStr">
        <is>
          <t>Elk B License: 004-00</t>
        </is>
      </c>
      <c r="D507" s="4" t="inlineStr">
        <is>
          <t>Over the counter</t>
        </is>
      </c>
      <c r="E507" s="4" t="inlineStr">
        <is>
          <t>Antlerless Elk</t>
        </is>
      </c>
      <c r="F507" s="4" t="inlineStr">
        <is>
          <t>Sep 05-Oct 18</t>
        </is>
      </c>
      <c r="G507" s="4" t="inlineStr">
        <is>
          <t>Oct 24-Nov 29</t>
        </is>
      </c>
      <c r="H507" s="4" t="inlineStr">
        <is>
          <t>Dec 12-Dec 20</t>
        </is>
      </c>
      <c r="I507" s="4" t="n"/>
      <c r="J507" s="4" t="inlineStr">
        <is>
          <t>OTC: Jun 15</t>
        </is>
      </c>
      <c r="K507" s="4" t="inlineStr">
        <is>
          <t>UNL</t>
        </is>
      </c>
      <c r="L507" s="4" t="inlineStr">
        <is>
          <t>Not valid on National Forest lands, FWP WMAs, or CMR Refuge. Valid in all Region 4 HDs except HDs 410 and 455 as listed under each HD.</t>
        </is>
      </c>
    </row>
    <row r="508">
      <c r="A508" s="4" t="inlineStr">
        <is>
          <t>425</t>
        </is>
      </c>
      <c r="B508" s="4" t="inlineStr">
        <is>
          <t>elk</t>
        </is>
      </c>
      <c r="C508" s="4" t="inlineStr">
        <is>
          <t>Elk B License: 425-00</t>
        </is>
      </c>
      <c r="D508" s="15" t="inlineStr">
        <is>
          <t>Drawing</t>
        </is>
      </c>
      <c r="E508" s="4" t="inlineStr">
        <is>
          <t>Antlerless Elk</t>
        </is>
      </c>
      <c r="F508" s="4" t="n"/>
      <c r="G508" s="4" t="inlineStr">
        <is>
          <t>Oct 19-Oct 25</t>
        </is>
      </c>
      <c r="H508" s="4" t="n"/>
      <c r="I508" s="4" t="n"/>
      <c r="J508" s="4" t="inlineStr">
        <is>
          <t>Jun 1</t>
        </is>
      </c>
      <c r="K508" s="4" t="inlineStr">
        <is>
          <t>30</t>
        </is>
      </c>
      <c r="L508" s="4" t="inlineStr">
        <is>
          <t>Valid entire HD including Sun River WMA.</t>
        </is>
      </c>
    </row>
    <row r="509">
      <c r="A509" s="4" t="inlineStr">
        <is>
          <t>425</t>
        </is>
      </c>
      <c r="B509" s="4" t="inlineStr">
        <is>
          <t>elk</t>
        </is>
      </c>
      <c r="C509" s="4" t="inlineStr">
        <is>
          <t>Elk B License: 425-01</t>
        </is>
      </c>
      <c r="D509" s="15" t="inlineStr">
        <is>
          <t>Drawing</t>
        </is>
      </c>
      <c r="E509" s="4" t="inlineStr">
        <is>
          <t>Antlerless Elk</t>
        </is>
      </c>
      <c r="F509" s="4" t="n"/>
      <c r="G509" s="4" t="inlineStr">
        <is>
          <t>Oct 26-Nov 01</t>
        </is>
      </c>
      <c r="H509" s="4" t="n"/>
      <c r="I509" s="4" t="n"/>
      <c r="J509" s="4" t="inlineStr">
        <is>
          <t>Jun 1</t>
        </is>
      </c>
      <c r="K509" s="4" t="inlineStr">
        <is>
          <t>25</t>
        </is>
      </c>
      <c r="L509" s="4" t="inlineStr">
        <is>
          <t>Valid entire HD including Sun River WMA.</t>
        </is>
      </c>
    </row>
    <row r="510">
      <c r="A510" s="4" t="inlineStr">
        <is>
          <t>425</t>
        </is>
      </c>
      <c r="B510" s="4" t="inlineStr">
        <is>
          <t>elk</t>
        </is>
      </c>
      <c r="C510" s="4" t="inlineStr">
        <is>
          <t>Elk B License: 425-02</t>
        </is>
      </c>
      <c r="D510" s="15" t="inlineStr">
        <is>
          <t>Drawing</t>
        </is>
      </c>
      <c r="E510" s="4" t="inlineStr">
        <is>
          <t>Antlerless Elk</t>
        </is>
      </c>
      <c r="F510" s="4" t="n"/>
      <c r="G510" s="4" t="inlineStr">
        <is>
          <t>Nov 02-Nov 08</t>
        </is>
      </c>
      <c r="H510" s="4" t="n"/>
      <c r="I510" s="4" t="n"/>
      <c r="J510" s="4" t="inlineStr">
        <is>
          <t>Jun 1</t>
        </is>
      </c>
      <c r="K510" s="4" t="inlineStr">
        <is>
          <t>20</t>
        </is>
      </c>
      <c r="L510" s="4" t="inlineStr">
        <is>
          <t>Valid entire HD including Sun River WMA.</t>
        </is>
      </c>
    </row>
    <row r="511">
      <c r="A511" s="4" t="inlineStr">
        <is>
          <t>425</t>
        </is>
      </c>
      <c r="B511" s="4" t="inlineStr">
        <is>
          <t>elk</t>
        </is>
      </c>
      <c r="C511" s="4" t="inlineStr">
        <is>
          <t>Elk Permit: 425-20</t>
        </is>
      </c>
      <c r="D511" s="15" t="inlineStr">
        <is>
          <t>Drawing</t>
        </is>
      </c>
      <c r="E511" s="4" t="inlineStr">
        <is>
          <t>Either-sex Elk</t>
        </is>
      </c>
      <c r="F511" s="4" t="n"/>
      <c r="G511" s="4" t="inlineStr">
        <is>
          <t>Oct 24-Nov 29</t>
        </is>
      </c>
      <c r="H511" s="4" t="inlineStr">
        <is>
          <t>Dec 12-Dec 20</t>
        </is>
      </c>
      <c r="I511" s="4" t="n"/>
      <c r="J511" s="4" t="inlineStr">
        <is>
          <t>April 1</t>
        </is>
      </c>
      <c r="K511" s="4" t="inlineStr">
        <is>
          <t>5</t>
        </is>
      </c>
      <c r="L511" s="4" t="inlineStr">
        <is>
          <t>Valid entire HD including Sun River WMA. Permit must be used with a valid General Elk License. Holders may not hunt Antlered Elk in any other HD during these described season dates. LICENSE/PERMIT OPPORTUNITY APPL Y BY DATE QUOTA QUOTA RANGE EARL Y SEASON DATES ARCHERY ONL Y SEASON DATES GENERAL SEA</t>
        </is>
      </c>
    </row>
    <row r="512">
      <c r="A512" s="4" t="inlineStr">
        <is>
          <t>426</t>
        </is>
      </c>
      <c r="B512" s="4" t="inlineStr">
        <is>
          <t>elk</t>
        </is>
      </c>
      <c r="C512" s="4" t="inlineStr">
        <is>
          <t>General Elk License</t>
        </is>
      </c>
      <c r="D512" s="13" t="inlineStr">
        <is>
          <t>General license</t>
        </is>
      </c>
      <c r="E512" s="4" t="inlineStr">
        <is>
          <t>Antlerless Elk</t>
        </is>
      </c>
      <c r="F512" s="4" t="inlineStr">
        <is>
          <t>Sep 05-Oct 18</t>
        </is>
      </c>
      <c r="G512" s="4" t="inlineStr">
        <is>
          <t>Oct 24-Nov 29</t>
        </is>
      </c>
      <c r="H512" s="4" t="inlineStr">
        <is>
          <t>Dec 12-Dec 20</t>
        </is>
      </c>
      <c r="I512" s="4" t="n"/>
      <c r="J512" s="4" t="n"/>
      <c r="K512" s="4" t="n"/>
      <c r="L512" s="4" t="n"/>
    </row>
    <row r="513">
      <c r="A513" s="4" t="inlineStr">
        <is>
          <t>426</t>
        </is>
      </c>
      <c r="B513" s="4" t="inlineStr">
        <is>
          <t>elk</t>
        </is>
      </c>
      <c r="C513" s="4" t="inlineStr">
        <is>
          <t>Elk B License: 004-00</t>
        </is>
      </c>
      <c r="D513" s="4" t="inlineStr">
        <is>
          <t>Over the counter</t>
        </is>
      </c>
      <c r="E513" s="4" t="inlineStr">
        <is>
          <t>Antlerless Elk</t>
        </is>
      </c>
      <c r="F513" s="4" t="inlineStr">
        <is>
          <t>Sep 05-Oct 18</t>
        </is>
      </c>
      <c r="G513" s="4" t="inlineStr">
        <is>
          <t>Oct 24-Nov 29</t>
        </is>
      </c>
      <c r="H513" s="4" t="inlineStr">
        <is>
          <t>Dec 12-Dec 20</t>
        </is>
      </c>
      <c r="I513" s="4" t="n"/>
      <c r="J513" s="4" t="inlineStr">
        <is>
          <t>OTC: Jun 15</t>
        </is>
      </c>
      <c r="K513" s="4" t="inlineStr">
        <is>
          <t>UNL</t>
        </is>
      </c>
      <c r="L513" s="4" t="inlineStr">
        <is>
          <t>Not valid on National Forest lands, FWP WMAs, or CMR Refuge. Valid in all Region 4 HDs except HDs 410 and 455 as listed under each HD.</t>
        </is>
      </c>
    </row>
    <row r="514">
      <c r="A514" s="4" t="inlineStr">
        <is>
          <t>426</t>
        </is>
      </c>
      <c r="B514" s="4" t="inlineStr">
        <is>
          <t>elk</t>
        </is>
      </c>
      <c r="C514" s="4" t="inlineStr">
        <is>
          <t>Elk Permit: 417-21</t>
        </is>
      </c>
      <c r="D514" s="15" t="inlineStr">
        <is>
          <t>Drawing</t>
        </is>
      </c>
      <c r="E514" s="4" t="inlineStr">
        <is>
          <t>Either-sex Elk</t>
        </is>
      </c>
      <c r="F514" s="4" t="inlineStr">
        <is>
          <t>Sep 05-Oct 18</t>
        </is>
      </c>
      <c r="G514" s="4" t="n"/>
      <c r="H514" s="4" t="n"/>
      <c r="I514" s="4" t="n"/>
      <c r="J514" s="4" t="inlineStr">
        <is>
          <t>April 1</t>
        </is>
      </c>
      <c r="K514" s="4" t="inlineStr">
        <is>
          <t>300</t>
        </is>
      </c>
      <c r="L514" s="4" t="inlineStr">
        <is>
          <t>1st and only choice. Only valid in HDs 417 and 426. Permit must be used with a valid General Elk License. Holders may not hunt Antlered Elk in any other HD during these described season dates.</t>
        </is>
      </c>
    </row>
    <row r="515">
      <c r="A515" s="4" t="inlineStr">
        <is>
          <t>426</t>
        </is>
      </c>
      <c r="B515" s="4" t="inlineStr">
        <is>
          <t>elk</t>
        </is>
      </c>
      <c r="C515" s="4" t="inlineStr">
        <is>
          <t>Elk Permit: 426-20</t>
        </is>
      </c>
      <c r="D515" s="15" t="inlineStr">
        <is>
          <t>Drawing</t>
        </is>
      </c>
      <c r="E515" s="4" t="inlineStr">
        <is>
          <t>Either-sex Elk</t>
        </is>
      </c>
      <c r="F515" s="4" t="inlineStr">
        <is>
          <t>Sep 05-Oct 18</t>
        </is>
      </c>
      <c r="G515" s="4" t="inlineStr">
        <is>
          <t>Oct 24-Nov 29</t>
        </is>
      </c>
      <c r="H515" s="4" t="inlineStr">
        <is>
          <t>Dec 12-Dec 20</t>
        </is>
      </c>
      <c r="I515" s="4" t="n"/>
      <c r="J515" s="4" t="inlineStr">
        <is>
          <t>April 1</t>
        </is>
      </c>
      <c r="K515" s="4" t="inlineStr">
        <is>
          <t>60</t>
        </is>
      </c>
      <c r="L515" s="4" t="inlineStr">
        <is>
          <t>1st and only choice. Permit must be used with a valid General Elk License. Holders may not hunt Antlered Elk in any other HD during these described season dates.</t>
        </is>
      </c>
    </row>
    <row r="516">
      <c r="A516" s="4" t="inlineStr">
        <is>
          <t>432</t>
        </is>
      </c>
      <c r="B516" s="4" t="inlineStr">
        <is>
          <t>elk</t>
        </is>
      </c>
      <c r="C516" s="4" t="inlineStr">
        <is>
          <t>General Elk License</t>
        </is>
      </c>
      <c r="D516" s="13" t="inlineStr">
        <is>
          <t>General license</t>
        </is>
      </c>
      <c r="E516" s="4" t="inlineStr">
        <is>
          <t>Brow-tined Bull or Antlerless Elk</t>
        </is>
      </c>
      <c r="F516" s="4" t="inlineStr">
        <is>
          <t>Sep 05-Oct 18</t>
        </is>
      </c>
      <c r="G516" s="4" t="inlineStr">
        <is>
          <t>Oct 24-Nov 29</t>
        </is>
      </c>
      <c r="H516" s="4" t="inlineStr">
        <is>
          <t>Dec 12-Dec 20</t>
        </is>
      </c>
      <c r="I516" s="4" t="n"/>
      <c r="J516" s="4" t="n"/>
      <c r="K516" s="4" t="n"/>
      <c r="L516" s="4" t="n"/>
    </row>
    <row r="517">
      <c r="A517" s="4" t="inlineStr">
        <is>
          <t>432</t>
        </is>
      </c>
      <c r="B517" s="4" t="inlineStr">
        <is>
          <t>elk</t>
        </is>
      </c>
      <c r="C517" s="4" t="inlineStr">
        <is>
          <t>General Elk License</t>
        </is>
      </c>
      <c r="D517" s="13" t="inlineStr">
        <is>
          <t>General license</t>
        </is>
      </c>
      <c r="E517" s="4" t="inlineStr">
        <is>
          <t>Antlerless Elk</t>
        </is>
      </c>
      <c r="F517" s="4" t="n"/>
      <c r="G517" s="4" t="n"/>
      <c r="H517" s="4" t="n"/>
      <c r="I517" s="4" t="inlineStr">
        <is>
          <t>Jan 01-Feb 15</t>
        </is>
      </c>
      <c r="J517" s="4" t="n"/>
      <c r="K517" s="4" t="n"/>
      <c r="L517" s="4" t="inlineStr">
        <is>
          <t>Not valid on National Forest lands.</t>
        </is>
      </c>
    </row>
    <row r="518">
      <c r="A518" s="4" t="inlineStr">
        <is>
          <t>432</t>
        </is>
      </c>
      <c r="B518" s="4" t="inlineStr">
        <is>
          <t>elk</t>
        </is>
      </c>
      <c r="C518" s="4" t="inlineStr">
        <is>
          <t>Elk B License: 004-00</t>
        </is>
      </c>
      <c r="D518" s="4" t="inlineStr">
        <is>
          <t>Over the counter</t>
        </is>
      </c>
      <c r="E518" s="4" t="inlineStr">
        <is>
          <t>Antlerless Elk</t>
        </is>
      </c>
      <c r="F518" s="4" t="inlineStr">
        <is>
          <t>Sep 05-Oct 18</t>
        </is>
      </c>
      <c r="G518" s="4" t="inlineStr">
        <is>
          <t>Oct 24-Nov 29</t>
        </is>
      </c>
      <c r="H518" s="4" t="inlineStr">
        <is>
          <t>Dec 12-Dec 20</t>
        </is>
      </c>
      <c r="I518" s="4" t="inlineStr">
        <is>
          <t>Jan 01-Feb 15</t>
        </is>
      </c>
      <c r="J518" s="4" t="inlineStr">
        <is>
          <t>OTC: Jun 15</t>
        </is>
      </c>
      <c r="K518" s="4" t="inlineStr">
        <is>
          <t>UNL</t>
        </is>
      </c>
      <c r="L518" s="4" t="inlineStr">
        <is>
          <t>Not valid on National Forest lands, FWP WMAs, or CMR Refuge. Valid in all Region 4 HDs except HDs 410 and 455 as listed under each HD. 101 2026 Deer • Elk • Antelope Visit fwp.mt.gov LICENSE/PERMIT OPPORTUNITY APPL Y BY DATE QUOTA QUOTA RANGE EARL Y SEASON DATES ARCHERY ONL Y SEASON DATES GENERAL SE</t>
        </is>
      </c>
    </row>
    <row r="519">
      <c r="A519" s="4" t="inlineStr">
        <is>
          <t>441</t>
        </is>
      </c>
      <c r="B519" s="4" t="inlineStr">
        <is>
          <t>elk</t>
        </is>
      </c>
      <c r="C519" s="4" t="inlineStr">
        <is>
          <t>General Elk License</t>
        </is>
      </c>
      <c r="D519" s="13" t="inlineStr">
        <is>
          <t>General license</t>
        </is>
      </c>
      <c r="E519" s="4" t="inlineStr">
        <is>
          <t>Antlerless Elk</t>
        </is>
      </c>
      <c r="F519" s="4" t="inlineStr">
        <is>
          <t>Sep 05-Oct 18</t>
        </is>
      </c>
      <c r="G519" s="4" t="inlineStr">
        <is>
          <t>Oct 24-Nov 29</t>
        </is>
      </c>
      <c r="H519" s="4" t="inlineStr">
        <is>
          <t>Dec 12-Dec 20</t>
        </is>
      </c>
      <c r="I519" s="4" t="n"/>
      <c r="J519" s="4" t="n"/>
      <c r="K519" s="4" t="n"/>
      <c r="L519" s="4" t="n"/>
    </row>
    <row r="520">
      <c r="A520" s="4" t="inlineStr">
        <is>
          <t>441</t>
        </is>
      </c>
      <c r="B520" s="4" t="inlineStr">
        <is>
          <t>elk</t>
        </is>
      </c>
      <c r="C520" s="4" t="inlineStr">
        <is>
          <t>General Elk License</t>
        </is>
      </c>
      <c r="D520" s="13" t="inlineStr">
        <is>
          <t>General license</t>
        </is>
      </c>
      <c r="E520" s="4" t="inlineStr">
        <is>
          <t>Brow-tined Bull or Antlerless Elk</t>
        </is>
      </c>
      <c r="F520" s="4" t="inlineStr">
        <is>
          <t>Sep 05-Oct 18</t>
        </is>
      </c>
      <c r="G520" s="4" t="inlineStr">
        <is>
          <t>Oct 24-Nov 29</t>
        </is>
      </c>
      <c r="H520" s="4" t="inlineStr">
        <is>
          <t>Dec 12-Dec 20</t>
        </is>
      </c>
      <c r="I520" s="4" t="n"/>
      <c r="J520" s="4" t="n"/>
      <c r="K520" s="4" t="n"/>
      <c r="L520" s="4" t="inlineStr">
        <is>
          <t>Only valid in Bob Marshall Wilderness.</t>
        </is>
      </c>
    </row>
    <row r="521">
      <c r="A521" s="4" t="inlineStr">
        <is>
          <t>441</t>
        </is>
      </c>
      <c r="B521" s="4" t="inlineStr">
        <is>
          <t>elk</t>
        </is>
      </c>
      <c r="C521" s="4" t="inlineStr">
        <is>
          <t>General Elk License</t>
        </is>
      </c>
      <c r="D521" s="13" t="inlineStr">
        <is>
          <t>General license</t>
        </is>
      </c>
      <c r="E521" s="4" t="inlineStr">
        <is>
          <t>Either-sex Elk</t>
        </is>
      </c>
      <c r="F521" s="4" t="inlineStr">
        <is>
          <t>Sep 05-Oct 18</t>
        </is>
      </c>
      <c r="G521" s="4" t="n"/>
      <c r="H521" s="4" t="n"/>
      <c r="I521" s="4" t="n"/>
      <c r="J521" s="4" t="n"/>
      <c r="K521" s="4" t="n"/>
      <c r="L521" s="4" t="inlineStr">
        <is>
          <t>Only valid outside the Bob Marshall Wilderness.</t>
        </is>
      </c>
    </row>
    <row r="522">
      <c r="A522" s="4" t="inlineStr">
        <is>
          <t>441</t>
        </is>
      </c>
      <c r="B522" s="4" t="inlineStr">
        <is>
          <t>elk</t>
        </is>
      </c>
      <c r="C522" s="4" t="inlineStr">
        <is>
          <t>General Elk License</t>
        </is>
      </c>
      <c r="D522" s="13" t="inlineStr">
        <is>
          <t>General license</t>
        </is>
      </c>
      <c r="E522" s="4" t="inlineStr">
        <is>
          <t>Antlerless Elk</t>
        </is>
      </c>
      <c r="F522" s="4" t="n"/>
      <c r="G522" s="4" t="n"/>
      <c r="H522" s="4" t="n"/>
      <c r="I522" s="4" t="inlineStr">
        <is>
          <t>Jan 01-Feb 15</t>
        </is>
      </c>
      <c r="J522" s="4" t="n"/>
      <c r="K522" s="4" t="n"/>
      <c r="L522" s="4" t="inlineStr">
        <is>
          <t>Not valid on National Forest Lands or FWP WMAs.</t>
        </is>
      </c>
    </row>
    <row r="523">
      <c r="A523" s="4" t="inlineStr">
        <is>
          <t>441</t>
        </is>
      </c>
      <c r="B523" s="4" t="inlineStr">
        <is>
          <t>elk</t>
        </is>
      </c>
      <c r="C523" s="4" t="inlineStr">
        <is>
          <t>Elk B License: 004-00</t>
        </is>
      </c>
      <c r="D523" s="4" t="inlineStr">
        <is>
          <t>Over the counter</t>
        </is>
      </c>
      <c r="E523" s="4" t="inlineStr">
        <is>
          <t>Antlerless Elk</t>
        </is>
      </c>
      <c r="F523" s="4" t="inlineStr">
        <is>
          <t>Sep 05-Oct 18</t>
        </is>
      </c>
      <c r="G523" s="4" t="n"/>
      <c r="H523" s="4" t="inlineStr">
        <is>
          <t>Dec 12-Dec 20</t>
        </is>
      </c>
      <c r="I523" s="4" t="inlineStr">
        <is>
          <t>Jan 01-Feb 15</t>
        </is>
      </c>
      <c r="J523" s="4" t="inlineStr">
        <is>
          <t>OTC: Jun 15</t>
        </is>
      </c>
      <c r="K523" s="4" t="inlineStr">
        <is>
          <t>UNL</t>
        </is>
      </c>
      <c r="L523" s="4" t="inlineStr">
        <is>
          <t>Not valid on National Forest lands, FWP WMAs, or CMR Refuge. Valid in all Region 4 HDs except HDs 410 and 455 as listed under each HD.</t>
        </is>
      </c>
    </row>
    <row r="524">
      <c r="A524" s="4" t="inlineStr">
        <is>
          <t>441</t>
        </is>
      </c>
      <c r="B524" s="4" t="inlineStr">
        <is>
          <t>elk</t>
        </is>
      </c>
      <c r="C524" s="4" t="inlineStr">
        <is>
          <t>Elk Permit: 441-20</t>
        </is>
      </c>
      <c r="D524" s="15" t="inlineStr">
        <is>
          <t>Drawing</t>
        </is>
      </c>
      <c r="E524" s="4" t="inlineStr">
        <is>
          <t>Either-sex Elk</t>
        </is>
      </c>
      <c r="F524" s="4" t="inlineStr">
        <is>
          <t>Sep 05-Oct 18</t>
        </is>
      </c>
      <c r="G524" s="4" t="inlineStr">
        <is>
          <t>Oct 24-Nov 29</t>
        </is>
      </c>
      <c r="H524" s="4" t="inlineStr">
        <is>
          <t>Dec 12-Dec 20</t>
        </is>
      </c>
      <c r="I524" s="4" t="n"/>
      <c r="J524" s="4" t="inlineStr">
        <is>
          <t>April 1</t>
        </is>
      </c>
      <c r="K524" s="4" t="inlineStr">
        <is>
          <t>35</t>
        </is>
      </c>
      <c r="L524" s="4" t="inlineStr">
        <is>
          <t>Permit must be used with a valid General Elk License. Holders may not hunt Antlered Elk in any other HD during these described season dates. LICENSE/PERMIT OPPORTUNITY APPL Y BY DATE QUOTA QUOTA RANGE EARL Y SEASON DATES ARCHERY ONL Y SEASON DATES GENERAL SEASON DATES HERITAGE MUZZLELOADER SEASON DA</t>
        </is>
      </c>
    </row>
    <row r="525">
      <c r="A525" s="4" t="inlineStr">
        <is>
          <t>442</t>
        </is>
      </c>
      <c r="B525" s="4" t="inlineStr">
        <is>
          <t>elk</t>
        </is>
      </c>
      <c r="C525" s="4" t="inlineStr">
        <is>
          <t>General Elk License</t>
        </is>
      </c>
      <c r="D525" s="13" t="inlineStr">
        <is>
          <t>General license</t>
        </is>
      </c>
      <c r="E525" s="4" t="inlineStr">
        <is>
          <t>Brow-tined Bull or Antlerless Elk</t>
        </is>
      </c>
      <c r="F525" s="4" t="inlineStr">
        <is>
          <t>Sep 05-Oct 18</t>
        </is>
      </c>
      <c r="G525" s="4" t="n"/>
      <c r="H525" s="4" t="n"/>
      <c r="I525" s="4" t="n"/>
      <c r="J525" s="4" t="n"/>
      <c r="K525" s="4" t="n"/>
      <c r="L525" s="4" t="n"/>
    </row>
    <row r="526">
      <c r="A526" s="4" t="inlineStr">
        <is>
          <t>442</t>
        </is>
      </c>
      <c r="B526" s="4" t="inlineStr">
        <is>
          <t>elk</t>
        </is>
      </c>
      <c r="C526" s="4" t="inlineStr">
        <is>
          <t>General Elk License</t>
        </is>
      </c>
      <c r="D526" s="13" t="inlineStr">
        <is>
          <t>General license</t>
        </is>
      </c>
      <c r="E526" s="4" t="inlineStr">
        <is>
          <t>Antlerless Elk</t>
        </is>
      </c>
      <c r="F526" s="4" t="n"/>
      <c r="G526" s="4" t="inlineStr">
        <is>
          <t>Oct 24-Oct 27</t>
        </is>
      </c>
      <c r="H526" s="4" t="n"/>
      <c r="I526" s="4" t="n"/>
      <c r="J526" s="4" t="n"/>
      <c r="K526" s="4" t="n"/>
      <c r="L526" s="4" t="n"/>
    </row>
    <row r="527">
      <c r="A527" s="4" t="inlineStr">
        <is>
          <t>442</t>
        </is>
      </c>
      <c r="B527" s="4" t="inlineStr">
        <is>
          <t>elk</t>
        </is>
      </c>
      <c r="C527" s="4" t="inlineStr">
        <is>
          <t>General Elk License</t>
        </is>
      </c>
      <c r="D527" s="13" t="inlineStr">
        <is>
          <t>General license</t>
        </is>
      </c>
      <c r="E527" s="4" t="inlineStr">
        <is>
          <t>Brow-tined Bull or Antlerless Elk</t>
        </is>
      </c>
      <c r="F527" s="4" t="n"/>
      <c r="G527" s="4" t="inlineStr">
        <is>
          <t>Oct 28-Nov 29</t>
        </is>
      </c>
      <c r="H527" s="4" t="inlineStr">
        <is>
          <t>Dec 12-Dec 20</t>
        </is>
      </c>
      <c r="I527" s="4" t="n"/>
      <c r="J527" s="4" t="n"/>
      <c r="K527" s="4" t="n"/>
      <c r="L527" s="4" t="inlineStr">
        <is>
          <t>Quota = 50 antlerless or brow-tined bull elk through the Augusta check station. If quota is reached, the antlerless elk season will close on 12-hour notice. The brow-tined bull season will remain open until the end of the general rife and heritage muzzleloader seasons.</t>
        </is>
      </c>
    </row>
    <row r="528">
      <c r="A528" s="4" t="inlineStr">
        <is>
          <t>442</t>
        </is>
      </c>
      <c r="B528" s="4" t="inlineStr">
        <is>
          <t>elk</t>
        </is>
      </c>
      <c r="C528" s="4" t="inlineStr">
        <is>
          <t>Elk B License: 004-00</t>
        </is>
      </c>
      <c r="D528" s="4" t="inlineStr">
        <is>
          <t>Over the counter</t>
        </is>
      </c>
      <c r="E528" s="4" t="inlineStr">
        <is>
          <t>Antlerless Elk</t>
        </is>
      </c>
      <c r="F528" s="4" t="inlineStr">
        <is>
          <t>Sep 05-Oct 18</t>
        </is>
      </c>
      <c r="G528" s="4" t="inlineStr">
        <is>
          <t>Oct 24-Nov 29</t>
        </is>
      </c>
      <c r="H528" s="4" t="inlineStr">
        <is>
          <t>Dec 12-Dec 20</t>
        </is>
      </c>
      <c r="I528" s="4" t="n"/>
      <c r="J528" s="4" t="inlineStr">
        <is>
          <t>OTC: Jun 15</t>
        </is>
      </c>
      <c r="K528" s="4" t="inlineStr">
        <is>
          <t>UNL</t>
        </is>
      </c>
      <c r="L528" s="4" t="inlineStr">
        <is>
          <t>Not valid on National Forest lands, FWP WMAs, or CMR Refuge. Valid in all Region 4 HDs except HDs 410 and 455 as listed under each HD.</t>
        </is>
      </c>
    </row>
    <row r="529">
      <c r="A529" s="4" t="inlineStr">
        <is>
          <t>442</t>
        </is>
      </c>
      <c r="B529" s="4" t="inlineStr">
        <is>
          <t>elk</t>
        </is>
      </c>
      <c r="C529" s="4" t="inlineStr">
        <is>
          <t>Elk B License: 442-00</t>
        </is>
      </c>
      <c r="D529" s="15" t="inlineStr">
        <is>
          <t>Drawing</t>
        </is>
      </c>
      <c r="E529" s="4" t="inlineStr">
        <is>
          <t>Antlerless Elk</t>
        </is>
      </c>
      <c r="F529" s="4" t="inlineStr">
        <is>
          <t>Sep 05-Oct 18</t>
        </is>
      </c>
      <c r="G529" s="4" t="n"/>
      <c r="H529" s="4" t="n"/>
      <c r="I529" s="4" t="n"/>
      <c r="J529" s="4" t="inlineStr">
        <is>
          <t>Jun 1</t>
        </is>
      </c>
      <c r="K529" s="4" t="inlineStr">
        <is>
          <t>25</t>
        </is>
      </c>
      <c r="L529" s="4" t="inlineStr">
        <is>
          <t>Valid in entire HD. Until closed but no later than the end of the general rife/ heritage muzzleloader seasons based on HD 442 elk quota.</t>
        </is>
      </c>
    </row>
    <row r="530">
      <c r="A530" s="4" t="inlineStr">
        <is>
          <t>444</t>
        </is>
      </c>
      <c r="B530" s="4" t="inlineStr">
        <is>
          <t>elk</t>
        </is>
      </c>
      <c r="C530" s="4" t="inlineStr">
        <is>
          <t>General Elk License</t>
        </is>
      </c>
      <c r="D530" s="13" t="inlineStr">
        <is>
          <t>General license</t>
        </is>
      </c>
      <c r="E530" s="4" t="inlineStr">
        <is>
          <t>Either-sex Elk</t>
        </is>
      </c>
      <c r="F530" s="4" t="inlineStr">
        <is>
          <t>Sep 05-Oct 18</t>
        </is>
      </c>
      <c r="G530" s="4" t="inlineStr">
        <is>
          <t>Oct 24-Nov 29</t>
        </is>
      </c>
      <c r="H530" s="4" t="inlineStr">
        <is>
          <t>Dec 12-Dec 20</t>
        </is>
      </c>
      <c r="I530" s="4" t="n"/>
      <c r="J530" s="4" t="n"/>
      <c r="K530" s="4" t="n"/>
      <c r="L530" s="4" t="n"/>
    </row>
    <row r="531">
      <c r="A531" s="4" t="inlineStr">
        <is>
          <t>444</t>
        </is>
      </c>
      <c r="B531" s="4" t="inlineStr">
        <is>
          <t>elk</t>
        </is>
      </c>
      <c r="C531" s="4" t="inlineStr">
        <is>
          <t>Elk B License: 004-00</t>
        </is>
      </c>
      <c r="D531" s="4" t="inlineStr">
        <is>
          <t>Over the counter</t>
        </is>
      </c>
      <c r="E531" s="4" t="inlineStr">
        <is>
          <t>Antlerless Elk</t>
        </is>
      </c>
      <c r="F531" s="4" t="inlineStr">
        <is>
          <t>Sep 05-Oct 18</t>
        </is>
      </c>
      <c r="G531" s="4" t="inlineStr">
        <is>
          <t>Oct 24-Nov 29</t>
        </is>
      </c>
      <c r="H531" s="4" t="inlineStr">
        <is>
          <t>Dec 12-Dec 20</t>
        </is>
      </c>
      <c r="I531" s="4" t="n"/>
      <c r="J531" s="4" t="inlineStr">
        <is>
          <t>OTC: Jun 15</t>
        </is>
      </c>
      <c r="K531" s="4" t="inlineStr">
        <is>
          <t>UNL</t>
        </is>
      </c>
      <c r="L531" s="4" t="inlineStr">
        <is>
          <t>Not valid on National Forest lands, FWP WMAs, or CMR Refuge. Valid in all Region 4 HDs except HDs 410 and 455 as listed under each HD. 103 2026 Deer • Elk • Antelope Visit fwp.mt.gov LICENSE/PERMIT OPPORTUNITY APPL Y BY DATE QUOTA QUOTA RANGE EARL Y SEASON DATES ARCHERY ONL Y SEASON DATES GENERAL SE</t>
        </is>
      </c>
    </row>
    <row r="532">
      <c r="A532" s="4" t="inlineStr">
        <is>
          <t>445</t>
        </is>
      </c>
      <c r="B532" s="4" t="inlineStr">
        <is>
          <t>elk</t>
        </is>
      </c>
      <c r="C532" s="4" t="inlineStr">
        <is>
          <t>General Elk License</t>
        </is>
      </c>
      <c r="D532" s="13" t="inlineStr">
        <is>
          <t>General license</t>
        </is>
      </c>
      <c r="E532" s="4" t="inlineStr">
        <is>
          <t>Antlerless Elk</t>
        </is>
      </c>
      <c r="F532" s="4" t="n"/>
      <c r="G532" s="4" t="inlineStr">
        <is>
          <t>Oct 19-Oct 23</t>
        </is>
      </c>
      <c r="H532" s="4" t="n"/>
      <c r="I532" s="4" t="inlineStr">
        <is>
          <t>Nov 30-Feb 15</t>
        </is>
      </c>
      <c r="J532" s="4" t="n"/>
      <c r="K532" s="4" t="n"/>
      <c r="L532" s="4" t="inlineStr">
        <is>
          <t>Not valid on Beartooth WMA.</t>
        </is>
      </c>
    </row>
    <row r="533">
      <c r="A533" s="4" t="inlineStr">
        <is>
          <t>445</t>
        </is>
      </c>
      <c r="B533" s="4" t="inlineStr">
        <is>
          <t>elk</t>
        </is>
      </c>
      <c r="C533" s="4" t="inlineStr">
        <is>
          <t>General Elk License</t>
        </is>
      </c>
      <c r="D533" s="13" t="inlineStr">
        <is>
          <t>General license</t>
        </is>
      </c>
      <c r="E533" s="4" t="inlineStr">
        <is>
          <t>Either-sex Elk</t>
        </is>
      </c>
      <c r="F533" s="4" t="inlineStr">
        <is>
          <t>Sep 05-Oct 18</t>
        </is>
      </c>
      <c r="G533" s="4" t="inlineStr">
        <is>
          <t>Oct 24-Nov 08</t>
        </is>
      </c>
      <c r="H533" s="4" t="n"/>
      <c r="I533" s="4" t="n"/>
      <c r="J533" s="4" t="n"/>
      <c r="K533" s="4" t="n"/>
      <c r="L533" s="4" t="n"/>
    </row>
    <row r="534">
      <c r="A534" s="4" t="inlineStr">
        <is>
          <t>445</t>
        </is>
      </c>
      <c r="B534" s="4" t="inlineStr">
        <is>
          <t>elk</t>
        </is>
      </c>
      <c r="C534" s="4" t="inlineStr">
        <is>
          <t>General Elk License</t>
        </is>
      </c>
      <c r="D534" s="13" t="inlineStr">
        <is>
          <t>General license</t>
        </is>
      </c>
      <c r="E534" s="4" t="inlineStr">
        <is>
          <t>Antlerless Elk</t>
        </is>
      </c>
      <c r="F534" s="4" t="n"/>
      <c r="G534" s="4" t="inlineStr">
        <is>
          <t>Nov 09-Nov 29</t>
        </is>
      </c>
      <c r="H534" s="4" t="n"/>
      <c r="I534" s="4" t="n"/>
      <c r="J534" s="4" t="n"/>
      <c r="K534" s="4" t="n"/>
      <c r="L534" s="4" t="n"/>
    </row>
    <row r="535">
      <c r="A535" s="4" t="inlineStr">
        <is>
          <t>445</t>
        </is>
      </c>
      <c r="B535" s="4" t="inlineStr">
        <is>
          <t>elk</t>
        </is>
      </c>
      <c r="C535" s="4" t="inlineStr">
        <is>
          <t>Elk B License: 004-00</t>
        </is>
      </c>
      <c r="D535" s="4" t="inlineStr">
        <is>
          <t>Over the counter</t>
        </is>
      </c>
      <c r="E535" s="4" t="inlineStr">
        <is>
          <t>Antlerless Elk</t>
        </is>
      </c>
      <c r="F535" s="4" t="inlineStr">
        <is>
          <t>Sep 05-Oct 18</t>
        </is>
      </c>
      <c r="G535" s="4" t="inlineStr">
        <is>
          <t>Oct 19-Nov 29</t>
        </is>
      </c>
      <c r="H535" s="4" t="n"/>
      <c r="I535" s="4" t="inlineStr">
        <is>
          <t>Nov 30-Feb 15</t>
        </is>
      </c>
      <c r="J535" s="4" t="inlineStr">
        <is>
          <t>OTC: Jun 15</t>
        </is>
      </c>
      <c r="K535" s="4" t="inlineStr">
        <is>
          <t>UNL</t>
        </is>
      </c>
      <c r="L535" s="4" t="inlineStr">
        <is>
          <t>Not valid on National Forest lands, FWP WMAs, or CMR Refuge. Valid in all Region 4 HDs except HDs 410 and 455 as listed under each HD.</t>
        </is>
      </c>
    </row>
    <row r="536">
      <c r="A536" s="4" t="inlineStr">
        <is>
          <t>445</t>
        </is>
      </c>
      <c r="B536" s="4" t="inlineStr">
        <is>
          <t>elk</t>
        </is>
      </c>
      <c r="C536" s="4" t="inlineStr">
        <is>
          <t>Elk Permit: 445-20</t>
        </is>
      </c>
      <c r="D536" s="15" t="inlineStr">
        <is>
          <t>Drawing</t>
        </is>
      </c>
      <c r="E536" s="4" t="inlineStr">
        <is>
          <t>Either-sex Elk</t>
        </is>
      </c>
      <c r="F536" s="4" t="n"/>
      <c r="G536" s="4" t="inlineStr">
        <is>
          <t>Nov 09-Nov 29</t>
        </is>
      </c>
      <c r="H536" s="4" t="inlineStr">
        <is>
          <t>Dec 12-Dec 20</t>
        </is>
      </c>
      <c r="I536" s="4" t="n"/>
      <c r="J536" s="4" t="inlineStr">
        <is>
          <t>April 1</t>
        </is>
      </c>
      <c r="K536" s="4" t="inlineStr">
        <is>
          <t>35</t>
        </is>
      </c>
      <c r="L536" s="4" t="inlineStr">
        <is>
          <t>Permit must be used with a valid General Elk License. Holders may not hunt Antlered Elk in any other HD during these described season dates.</t>
        </is>
      </c>
    </row>
    <row r="537">
      <c r="A537" s="4" t="inlineStr">
        <is>
          <t>446</t>
        </is>
      </c>
      <c r="B537" s="4" t="inlineStr">
        <is>
          <t>elk</t>
        </is>
      </c>
      <c r="C537" s="4" t="inlineStr">
        <is>
          <t>General Elk License</t>
        </is>
      </c>
      <c r="D537" s="13" t="inlineStr">
        <is>
          <t>General license</t>
        </is>
      </c>
      <c r="E537" s="4" t="inlineStr">
        <is>
          <t>Antlerless Elk</t>
        </is>
      </c>
      <c r="F537" s="4" t="n"/>
      <c r="G537" s="4" t="inlineStr">
        <is>
          <t>Oct 19-Oct 23</t>
        </is>
      </c>
      <c r="H537" s="4" t="n"/>
      <c r="I537" s="4" t="inlineStr">
        <is>
          <t>Nov 30-Feb 15</t>
        </is>
      </c>
      <c r="J537" s="4" t="n"/>
      <c r="K537" s="4" t="n"/>
      <c r="L537" s="4" t="inlineStr">
        <is>
          <t>Not valid on National Forest Land or FWP WMAs.</t>
        </is>
      </c>
    </row>
    <row r="538">
      <c r="A538" s="4" t="inlineStr">
        <is>
          <t>446</t>
        </is>
      </c>
      <c r="B538" s="4" t="inlineStr">
        <is>
          <t>elk</t>
        </is>
      </c>
      <c r="C538" s="4" t="inlineStr">
        <is>
          <t>General Elk License</t>
        </is>
      </c>
      <c r="D538" s="13" t="inlineStr">
        <is>
          <t>General license</t>
        </is>
      </c>
      <c r="E538" s="4" t="inlineStr">
        <is>
          <t>Brow-tined Bull or Antlerless Elk</t>
        </is>
      </c>
      <c r="F538" s="4" t="inlineStr">
        <is>
          <t>Sep 05-Oct 18</t>
        </is>
      </c>
      <c r="G538" s="4" t="inlineStr">
        <is>
          <t>Oct 24-Nov 29</t>
        </is>
      </c>
      <c r="H538" s="4" t="inlineStr">
        <is>
          <t>Dec 12-Dec 20</t>
        </is>
      </c>
      <c r="I538" s="4" t="n"/>
      <c r="J538" s="4" t="n"/>
      <c r="K538" s="4" t="n"/>
      <c r="L538" s="4" t="n"/>
    </row>
    <row r="539">
      <c r="A539" s="4" t="inlineStr">
        <is>
          <t>446</t>
        </is>
      </c>
      <c r="B539" s="4" t="inlineStr">
        <is>
          <t>elk</t>
        </is>
      </c>
      <c r="C539" s="4" t="inlineStr">
        <is>
          <t>Elk B License: 004-00</t>
        </is>
      </c>
      <c r="D539" s="4" t="inlineStr">
        <is>
          <t>Over the counter</t>
        </is>
      </c>
      <c r="E539" s="4" t="inlineStr">
        <is>
          <t>Antlerless Elk</t>
        </is>
      </c>
      <c r="F539" s="4" t="inlineStr">
        <is>
          <t>Sep 05-Oct 18</t>
        </is>
      </c>
      <c r="G539" s="4" t="inlineStr">
        <is>
          <t>Oct 19-Nov 29</t>
        </is>
      </c>
      <c r="H539" s="4" t="n"/>
      <c r="I539" s="4" t="inlineStr">
        <is>
          <t>Nov 30-Feb 15</t>
        </is>
      </c>
      <c r="J539" s="4" t="inlineStr">
        <is>
          <t>OTC: Jun 15</t>
        </is>
      </c>
      <c r="K539" s="4" t="inlineStr">
        <is>
          <t>UNL</t>
        </is>
      </c>
      <c r="L539" s="4" t="inlineStr">
        <is>
          <t>Not valid on National Forest lands, FWP WMAs, or CMR Refuge. Valid in all Region 4 HDs except HDs 410 and 455 as listed under each HD. LICENSE/PERMIT OPPORTUNITY APPL Y BY DATE QUOTA QUOTA RANGE EARL Y SEASON DATES ARCHERY ONL Y SEASON DATES GENERAL SEASON DATES HERITAGE MUZZLELOADER SEASON DATES LA</t>
        </is>
      </c>
    </row>
    <row r="540">
      <c r="A540" s="4" t="inlineStr">
        <is>
          <t>447</t>
        </is>
      </c>
      <c r="B540" s="4" t="inlineStr">
        <is>
          <t>elk</t>
        </is>
      </c>
      <c r="C540" s="4" t="inlineStr">
        <is>
          <t>General Elk License</t>
        </is>
      </c>
      <c r="D540" s="13" t="inlineStr">
        <is>
          <t>General license</t>
        </is>
      </c>
      <c r="E540" s="4" t="inlineStr">
        <is>
          <t>Antlerless Elk</t>
        </is>
      </c>
      <c r="F540" s="4" t="inlineStr">
        <is>
          <t>Sep 05-Oct 18</t>
        </is>
      </c>
      <c r="G540" s="4" t="inlineStr">
        <is>
          <t>Oct 24-Nov 29</t>
        </is>
      </c>
      <c r="H540" s="4" t="inlineStr">
        <is>
          <t>Dec 12-Dec 20</t>
        </is>
      </c>
      <c r="I540" s="4" t="inlineStr">
        <is>
          <t>Nov 30-Feb 15</t>
        </is>
      </c>
      <c r="J540" s="4" t="n"/>
      <c r="K540" s="4" t="n"/>
      <c r="L540" s="4" t="inlineStr">
        <is>
          <t>Not valid on National Forest lands.</t>
        </is>
      </c>
    </row>
    <row r="541">
      <c r="A541" s="4" t="inlineStr">
        <is>
          <t>447</t>
        </is>
      </c>
      <c r="B541" s="4" t="inlineStr">
        <is>
          <t>elk</t>
        </is>
      </c>
      <c r="C541" s="4" t="inlineStr">
        <is>
          <t>Elk B License: 004-00</t>
        </is>
      </c>
      <c r="D541" s="4" t="inlineStr">
        <is>
          <t>Over the counter</t>
        </is>
      </c>
      <c r="E541" s="4" t="inlineStr">
        <is>
          <t>Antlerless Elk</t>
        </is>
      </c>
      <c r="F541" s="4" t="inlineStr">
        <is>
          <t>Sep 05-Oct 18</t>
        </is>
      </c>
      <c r="G541" s="4" t="inlineStr">
        <is>
          <t>Oct 24-Nov 29</t>
        </is>
      </c>
      <c r="H541" s="4" t="n"/>
      <c r="I541" s="4" t="inlineStr">
        <is>
          <t>Nov 30-Feb 15</t>
        </is>
      </c>
      <c r="J541" s="4" t="inlineStr">
        <is>
          <t>OTC: Jun 15</t>
        </is>
      </c>
      <c r="K541" s="4" t="inlineStr">
        <is>
          <t>UNL</t>
        </is>
      </c>
      <c r="L541" s="4" t="inlineStr">
        <is>
          <t>Not valid on National Forest lands, FWP WMAs, or CMR Refuge. Valid in all Region 4 HDs except HDs 410 and 455 as listed under each HD.</t>
        </is>
      </c>
    </row>
    <row r="542">
      <c r="A542" s="4" t="inlineStr">
        <is>
          <t>447</t>
        </is>
      </c>
      <c r="B542" s="4" t="inlineStr">
        <is>
          <t>elk</t>
        </is>
      </c>
      <c r="C542" s="4" t="inlineStr">
        <is>
          <t>Elk B License: 447-00</t>
        </is>
      </c>
      <c r="D542" s="15" t="inlineStr">
        <is>
          <t>Drawing</t>
        </is>
      </c>
      <c r="E542" s="4" t="inlineStr">
        <is>
          <t>Antlerless Elk</t>
        </is>
      </c>
      <c r="F542" s="4" t="n"/>
      <c r="G542" s="4" t="n"/>
      <c r="H542" s="4" t="n"/>
      <c r="I542" s="4" t="inlineStr">
        <is>
          <t>Nov 30-Feb 15</t>
        </is>
      </c>
      <c r="J542" s="4" t="inlineStr">
        <is>
          <t>Jun 1</t>
        </is>
      </c>
      <c r="K542" s="4" t="inlineStr">
        <is>
          <t>50</t>
        </is>
      </c>
      <c r="L542" s="4" t="inlineStr">
        <is>
          <t>Not valid on National Forest lands.</t>
        </is>
      </c>
    </row>
    <row r="543">
      <c r="A543" s="4" t="inlineStr">
        <is>
          <t>447</t>
        </is>
      </c>
      <c r="B543" s="4" t="inlineStr">
        <is>
          <t>elk</t>
        </is>
      </c>
      <c r="C543" s="4" t="inlineStr">
        <is>
          <t>Elk Permit: 447-20</t>
        </is>
      </c>
      <c r="D543" s="15" t="inlineStr">
        <is>
          <t>Drawing</t>
        </is>
      </c>
      <c r="E543" s="4" t="inlineStr">
        <is>
          <t>Either-sex Elk</t>
        </is>
      </c>
      <c r="F543" s="4" t="inlineStr">
        <is>
          <t>Sep 05-Oct 18</t>
        </is>
      </c>
      <c r="G543" s="4" t="inlineStr">
        <is>
          <t>Oct 24-Nov 29</t>
        </is>
      </c>
      <c r="H543" s="4" t="inlineStr">
        <is>
          <t>Dec 12-Dec 20</t>
        </is>
      </c>
      <c r="I543" s="4" t="n"/>
      <c r="J543" s="4" t="inlineStr">
        <is>
          <t>April 1</t>
        </is>
      </c>
      <c r="K543" s="4" t="inlineStr">
        <is>
          <t>100</t>
        </is>
      </c>
      <c r="L543" s="4" t="inlineStr">
        <is>
          <t>Permit must be used with a valid General Elk License. Holders may not hunt Antlered Elk in any other HD during these described season dates.</t>
        </is>
      </c>
    </row>
    <row r="544">
      <c r="A544" s="4" t="inlineStr">
        <is>
          <t>447</t>
        </is>
      </c>
      <c r="B544" s="4" t="inlineStr">
        <is>
          <t>elk</t>
        </is>
      </c>
      <c r="C544" s="4" t="inlineStr">
        <is>
          <t>Elk Permit: 447-21</t>
        </is>
      </c>
      <c r="D544" s="15" t="inlineStr">
        <is>
          <t>Drawing</t>
        </is>
      </c>
      <c r="E544" s="4" t="inlineStr">
        <is>
          <t>Either-sex Elk</t>
        </is>
      </c>
      <c r="F544" s="4" t="inlineStr">
        <is>
          <t>Sep 05-Oct 18</t>
        </is>
      </c>
      <c r="G544" s="4" t="n"/>
      <c r="H544" s="4" t="n"/>
      <c r="I544" s="4" t="n"/>
      <c r="J544" s="4" t="inlineStr">
        <is>
          <t>April 1</t>
        </is>
      </c>
      <c r="K544" s="4" t="inlineStr">
        <is>
          <t>400</t>
        </is>
      </c>
      <c r="L544" s="4" t="inlineStr">
        <is>
          <t>1st and only choice. Permit must be used with a valid General Elk License. Holders may not hunt Antlered Elk in any other HD during these described season dates. 105 2026 Deer • Elk • Antelope Visit fwp.mt.gov LICENSE/PERMIT OPPORTUNITY APPL Y BY DATE QUOTA QUOTA RANGE EARL Y SEASON DATES ARCHERY ON</t>
        </is>
      </c>
    </row>
    <row r="545">
      <c r="A545" s="4" t="inlineStr">
        <is>
          <t>448</t>
        </is>
      </c>
      <c r="B545" s="4" t="inlineStr">
        <is>
          <t>elk</t>
        </is>
      </c>
      <c r="C545" s="4" t="inlineStr">
        <is>
          <t>General Elk License</t>
        </is>
      </c>
      <c r="D545" s="13" t="inlineStr">
        <is>
          <t>General license</t>
        </is>
      </c>
      <c r="E545" s="4" t="inlineStr">
        <is>
          <t>Brow-tined Bull or Antlerless Elk</t>
        </is>
      </c>
      <c r="F545" s="4" t="inlineStr">
        <is>
          <t>Sep 05-Oct 18</t>
        </is>
      </c>
      <c r="G545" s="4" t="inlineStr">
        <is>
          <t>Oct 24-Nov 29</t>
        </is>
      </c>
      <c r="H545" s="4" t="inlineStr">
        <is>
          <t>Dec 12-Dec 20</t>
        </is>
      </c>
      <c r="I545" s="4" t="n"/>
      <c r="J545" s="4" t="n"/>
      <c r="K545" s="4" t="n"/>
      <c r="L545" s="4" t="n"/>
    </row>
    <row r="546">
      <c r="A546" s="4" t="inlineStr">
        <is>
          <t>448</t>
        </is>
      </c>
      <c r="B546" s="4" t="inlineStr">
        <is>
          <t>elk</t>
        </is>
      </c>
      <c r="C546" s="4" t="inlineStr">
        <is>
          <t>Elk B License: 004-00</t>
        </is>
      </c>
      <c r="D546" s="4" t="inlineStr">
        <is>
          <t>Over the counter</t>
        </is>
      </c>
      <c r="E546" s="4" t="inlineStr">
        <is>
          <t>Antlerless Elk</t>
        </is>
      </c>
      <c r="F546" s="4" t="inlineStr">
        <is>
          <t>Sep 05-Oct 18</t>
        </is>
      </c>
      <c r="G546" s="4" t="inlineStr">
        <is>
          <t>Oct 24-Nov 29</t>
        </is>
      </c>
      <c r="H546" s="4" t="inlineStr">
        <is>
          <t>Dec 12-Dec 20</t>
        </is>
      </c>
      <c r="I546" s="4" t="n"/>
      <c r="J546" s="4" t="inlineStr">
        <is>
          <t>OTC: Jun 15</t>
        </is>
      </c>
      <c r="K546" s="4" t="inlineStr">
        <is>
          <t>UNL</t>
        </is>
      </c>
      <c r="L546" s="4" t="inlineStr">
        <is>
          <t>Not valid on National Forest lands, FWP WMAs, or CMR Refuge. Valid in all Region 4 HDs except HDs 410 and 455 as listed under each HD.</t>
        </is>
      </c>
    </row>
    <row r="547">
      <c r="A547" s="4" t="inlineStr">
        <is>
          <t>448</t>
        </is>
      </c>
      <c r="B547" s="4" t="inlineStr">
        <is>
          <t>elk</t>
        </is>
      </c>
      <c r="C547" s="4" t="inlineStr">
        <is>
          <t>Elk B License: 448-00</t>
        </is>
      </c>
      <c r="D547" s="15" t="inlineStr">
        <is>
          <t>Drawing</t>
        </is>
      </c>
      <c r="E547" s="4" t="inlineStr">
        <is>
          <t>Antlerless Elk</t>
        </is>
      </c>
      <c r="F547" s="4" t="inlineStr">
        <is>
          <t>Sep 05-Oct 18</t>
        </is>
      </c>
      <c r="G547" s="4" t="inlineStr">
        <is>
          <t>Oct 24-Nov 29</t>
        </is>
      </c>
      <c r="H547" s="4" t="inlineStr">
        <is>
          <t>Dec 12-Dec 20</t>
        </is>
      </c>
      <c r="I547" s="4" t="n"/>
      <c r="J547" s="4" t="inlineStr">
        <is>
          <t>Jun 1</t>
        </is>
      </c>
      <c r="K547" s="4" t="inlineStr">
        <is>
          <t>150</t>
        </is>
      </c>
      <c r="L547" s="4" t="inlineStr">
        <is>
          <t>Only valid in HDs 420 and 448.</t>
        </is>
      </c>
    </row>
    <row r="548">
      <c r="A548" s="4" t="inlineStr">
        <is>
          <t>450</t>
        </is>
      </c>
      <c r="B548" s="4" t="inlineStr">
        <is>
          <t>elk</t>
        </is>
      </c>
      <c r="C548" s="4" t="inlineStr">
        <is>
          <t>General Elk License</t>
        </is>
      </c>
      <c r="D548" s="13" t="inlineStr">
        <is>
          <t>General license</t>
        </is>
      </c>
      <c r="E548" s="4" t="inlineStr">
        <is>
          <t>Brow-tined Bull or Antlerless Elk</t>
        </is>
      </c>
      <c r="F548" s="4" t="inlineStr">
        <is>
          <t>Sep 05-Oct 18</t>
        </is>
      </c>
      <c r="G548" s="4" t="inlineStr">
        <is>
          <t>Oct 24-Nov 29</t>
        </is>
      </c>
      <c r="H548" s="4" t="inlineStr">
        <is>
          <t>Dec 12-Dec 20</t>
        </is>
      </c>
      <c r="I548" s="4" t="n"/>
      <c r="J548" s="4" t="n"/>
      <c r="K548" s="4" t="n"/>
      <c r="L548" s="4" t="n"/>
    </row>
    <row r="549">
      <c r="A549" s="4" t="inlineStr">
        <is>
          <t>450</t>
        </is>
      </c>
      <c r="B549" s="4" t="inlineStr">
        <is>
          <t>elk</t>
        </is>
      </c>
      <c r="C549" s="4" t="inlineStr">
        <is>
          <t>Elk B License: 004-00</t>
        </is>
      </c>
      <c r="D549" s="4" t="inlineStr">
        <is>
          <t>Over the counter</t>
        </is>
      </c>
      <c r="E549" s="4" t="inlineStr">
        <is>
          <t>Antlerless Elk</t>
        </is>
      </c>
      <c r="F549" s="4" t="inlineStr">
        <is>
          <t>Sep 05-Oct 18</t>
        </is>
      </c>
      <c r="G549" s="4" t="inlineStr">
        <is>
          <t>Oct 24-Nov 29</t>
        </is>
      </c>
      <c r="H549" s="4" t="inlineStr">
        <is>
          <t>Dec 12-Dec 20</t>
        </is>
      </c>
      <c r="I549" s="4" t="n"/>
      <c r="J549" s="4" t="inlineStr">
        <is>
          <t>OTC: Jun 15</t>
        </is>
      </c>
      <c r="K549" s="4" t="inlineStr">
        <is>
          <t>UNL</t>
        </is>
      </c>
      <c r="L549" s="4" t="inlineStr">
        <is>
          <t>Not valid on National Forest lands, FWP WMAs, or CMR Refuge. Valid in all Region 4 HDs except HDs 410 and 455 as listed under each HD.</t>
        </is>
      </c>
    </row>
    <row r="550">
      <c r="A550" s="4" t="inlineStr">
        <is>
          <t>451</t>
        </is>
      </c>
      <c r="B550" s="4" t="inlineStr">
        <is>
          <t>elk</t>
        </is>
      </c>
      <c r="C550" s="4" t="inlineStr">
        <is>
          <t>General Elk License</t>
        </is>
      </c>
      <c r="D550" s="13" t="inlineStr">
        <is>
          <t>General license</t>
        </is>
      </c>
      <c r="E550" s="4" t="inlineStr">
        <is>
          <t>Antlerless Elk</t>
        </is>
      </c>
      <c r="F550" s="4" t="n"/>
      <c r="G550" s="4" t="inlineStr">
        <is>
          <t>Oct 19-Oct 23</t>
        </is>
      </c>
      <c r="H550" s="4" t="n"/>
      <c r="I550" s="4" t="inlineStr">
        <is>
          <t>Nov 30-Feb 15</t>
        </is>
      </c>
      <c r="J550" s="4" t="n"/>
      <c r="K550" s="4" t="n"/>
      <c r="L550" s="4" t="inlineStr">
        <is>
          <t>Not valid on National Forest Land or FWP WMAs.</t>
        </is>
      </c>
    </row>
    <row r="551">
      <c r="A551" s="4" t="inlineStr">
        <is>
          <t>451</t>
        </is>
      </c>
      <c r="B551" s="4" t="inlineStr">
        <is>
          <t>elk</t>
        </is>
      </c>
      <c r="C551" s="4" t="inlineStr">
        <is>
          <t>General Elk License</t>
        </is>
      </c>
      <c r="D551" s="13" t="inlineStr">
        <is>
          <t>General license</t>
        </is>
      </c>
      <c r="E551" s="4" t="inlineStr">
        <is>
          <t>Brow-tined Bull or Antlerless Elk</t>
        </is>
      </c>
      <c r="F551" s="4" t="inlineStr">
        <is>
          <t>Sep 05-Oct 18</t>
        </is>
      </c>
      <c r="G551" s="4" t="inlineStr">
        <is>
          <t>Oct 24-Nov 29</t>
        </is>
      </c>
      <c r="H551" s="4" t="inlineStr">
        <is>
          <t>Dec 12-Dec 20</t>
        </is>
      </c>
      <c r="I551" s="4" t="n"/>
      <c r="J551" s="4" t="n"/>
      <c r="K551" s="4" t="n"/>
      <c r="L551" s="4" t="n"/>
    </row>
    <row r="552">
      <c r="A552" s="4" t="inlineStr">
        <is>
          <t>451</t>
        </is>
      </c>
      <c r="B552" s="4" t="inlineStr">
        <is>
          <t>elk</t>
        </is>
      </c>
      <c r="C552" s="4" t="inlineStr">
        <is>
          <t>Elk B License: 004-00</t>
        </is>
      </c>
      <c r="D552" s="4" t="inlineStr">
        <is>
          <t>Over the counter</t>
        </is>
      </c>
      <c r="E552" s="4" t="inlineStr">
        <is>
          <t>Antlerless Elk</t>
        </is>
      </c>
      <c r="F552" s="4" t="inlineStr">
        <is>
          <t>Sep 05-Oct 18</t>
        </is>
      </c>
      <c r="G552" s="4" t="inlineStr">
        <is>
          <t>Oct 19-Nov 29</t>
        </is>
      </c>
      <c r="H552" s="4" t="n"/>
      <c r="I552" s="4" t="inlineStr">
        <is>
          <t>Nov 30-Feb 15</t>
        </is>
      </c>
      <c r="J552" s="4" t="inlineStr">
        <is>
          <t>OTC: Jun 15</t>
        </is>
      </c>
      <c r="K552" s="4" t="inlineStr">
        <is>
          <t>UNL</t>
        </is>
      </c>
      <c r="L552" s="4" t="inlineStr">
        <is>
          <t>Not valid on National Forest lands, FWP WMAs, or CMR Refuge. Valid in all Region 4 HDs except HDs 410 and 455 as listed under each HD. LICENSE/PERMIT OPPORTUNITY APPL Y BY DATE QUOTA QUOTA RANGE EARL Y SEASON DATES ARCHERY ONL Y SEASON DATES GENERAL SEASON DATES HERITAGE MUZZLELOADER SEASON DATES LA</t>
        </is>
      </c>
    </row>
    <row r="553">
      <c r="A553" s="4" t="inlineStr">
        <is>
          <t>452</t>
        </is>
      </c>
      <c r="B553" s="4" t="inlineStr">
        <is>
          <t>elk</t>
        </is>
      </c>
      <c r="C553" s="4" t="inlineStr">
        <is>
          <t>General Elk License</t>
        </is>
      </c>
      <c r="D553" s="13" t="inlineStr">
        <is>
          <t>General license</t>
        </is>
      </c>
      <c r="E553" s="4" t="inlineStr">
        <is>
          <t>Antlerless Elk</t>
        </is>
      </c>
      <c r="F553" s="4" t="n"/>
      <c r="G553" s="4" t="inlineStr">
        <is>
          <t>Oct 19-Oct 23</t>
        </is>
      </c>
      <c r="H553" s="4" t="n"/>
      <c r="I553" s="4" t="inlineStr">
        <is>
          <t>Nov 30-Feb 15</t>
        </is>
      </c>
      <c r="J553" s="4" t="n"/>
      <c r="K553" s="4" t="n"/>
      <c r="L553" s="4" t="inlineStr">
        <is>
          <t>Not valid on National Forest lands or FWP WMAs.</t>
        </is>
      </c>
    </row>
    <row r="554">
      <c r="A554" s="4" t="inlineStr">
        <is>
          <t>452</t>
        </is>
      </c>
      <c r="B554" s="4" t="inlineStr">
        <is>
          <t>elk</t>
        </is>
      </c>
      <c r="C554" s="4" t="inlineStr">
        <is>
          <t>General Elk License</t>
        </is>
      </c>
      <c r="D554" s="13" t="inlineStr">
        <is>
          <t>General license</t>
        </is>
      </c>
      <c r="E554" s="4" t="inlineStr">
        <is>
          <t>Brow-tined Bull or Antlerless Elk</t>
        </is>
      </c>
      <c r="F554" s="4" t="inlineStr">
        <is>
          <t>Sep 05-Oct 18</t>
        </is>
      </c>
      <c r="G554" s="4" t="inlineStr">
        <is>
          <t>Oct 24-Nov 29</t>
        </is>
      </c>
      <c r="H554" s="4" t="inlineStr">
        <is>
          <t>Dec 12-Dec 20</t>
        </is>
      </c>
      <c r="I554" s="4" t="n"/>
      <c r="J554" s="4" t="n"/>
      <c r="K554" s="4" t="n"/>
      <c r="L554" s="4" t="n"/>
    </row>
    <row r="555">
      <c r="A555" s="4" t="inlineStr">
        <is>
          <t>452</t>
        </is>
      </c>
      <c r="B555" s="4" t="inlineStr">
        <is>
          <t>elk</t>
        </is>
      </c>
      <c r="C555" s="4" t="inlineStr">
        <is>
          <t>Elk B License: 004-00</t>
        </is>
      </c>
      <c r="D555" s="4" t="inlineStr">
        <is>
          <t>Over the counter</t>
        </is>
      </c>
      <c r="E555" s="4" t="inlineStr">
        <is>
          <t>Antlerless Elk</t>
        </is>
      </c>
      <c r="F555" s="4" t="inlineStr">
        <is>
          <t>Sep 05-Oct 18</t>
        </is>
      </c>
      <c r="G555" s="4" t="inlineStr">
        <is>
          <t>Oct 19-Nov 29</t>
        </is>
      </c>
      <c r="H555" s="4" t="n"/>
      <c r="I555" s="4" t="inlineStr">
        <is>
          <t>Nov 30-Feb 15</t>
        </is>
      </c>
      <c r="J555" s="4" t="inlineStr">
        <is>
          <t>OTC: Jun 15</t>
        </is>
      </c>
      <c r="K555" s="4" t="inlineStr">
        <is>
          <t>UNL</t>
        </is>
      </c>
      <c r="L555" s="4" t="inlineStr">
        <is>
          <t>Not valid on National Forest lands, FWP WMAs, or CMR Refuge. Valid in all Region 4 HDs except HDs 410 and 455 as listed under each HD.</t>
        </is>
      </c>
    </row>
    <row r="556">
      <c r="A556" s="4" t="inlineStr">
        <is>
          <t>455</t>
        </is>
      </c>
      <c r="B556" s="4" t="inlineStr">
        <is>
          <t>elk</t>
        </is>
      </c>
      <c r="C556" s="4" t="inlineStr">
        <is>
          <t>Elk B License: 455-00</t>
        </is>
      </c>
      <c r="D556" s="15" t="inlineStr">
        <is>
          <t>Drawing</t>
        </is>
      </c>
      <c r="E556" s="4" t="inlineStr">
        <is>
          <t>Antlerless Elk</t>
        </is>
      </c>
      <c r="F556" s="4" t="inlineStr">
        <is>
          <t>Sep 05-Oct 18</t>
        </is>
      </c>
      <c r="G556" s="4" t="inlineStr">
        <is>
          <t>Oct 24-Nov 29</t>
        </is>
      </c>
      <c r="H556" s="4" t="inlineStr">
        <is>
          <t>Dec 12-Dec 20</t>
        </is>
      </c>
      <c r="I556" s="4" t="n"/>
      <c r="J556" s="4" t="inlineStr">
        <is>
          <t>Jun 1</t>
        </is>
      </c>
      <c r="K556" s="4" t="inlineStr">
        <is>
          <t>250</t>
        </is>
      </c>
      <c r="L556" s="4" t="inlineStr">
        <is>
          <t>Successful 455-00 license holders may use General Elk License to harvest 2nd antlerless elk in HD 455.</t>
        </is>
      </c>
    </row>
    <row r="557">
      <c r="A557" s="4" t="inlineStr">
        <is>
          <t>455</t>
        </is>
      </c>
      <c r="B557" s="4" t="inlineStr">
        <is>
          <t>elk</t>
        </is>
      </c>
      <c r="C557" s="4" t="inlineStr">
        <is>
          <t>Elk Permit: 455-20</t>
        </is>
      </c>
      <c r="D557" s="15" t="inlineStr">
        <is>
          <t>Drawing</t>
        </is>
      </c>
      <c r="E557" s="4" t="inlineStr">
        <is>
          <t>Either-sex Elk</t>
        </is>
      </c>
      <c r="F557" s="4" t="inlineStr">
        <is>
          <t>Sep 05-Oct 18</t>
        </is>
      </c>
      <c r="G557" s="4" t="inlineStr">
        <is>
          <t>Oct 24-Nov 29</t>
        </is>
      </c>
      <c r="H557" s="4" t="inlineStr">
        <is>
          <t>Dec 12-Dec 20</t>
        </is>
      </c>
      <c r="I557" s="4" t="n"/>
      <c r="J557" s="4" t="inlineStr">
        <is>
          <t>April 1</t>
        </is>
      </c>
      <c r="K557" s="4" t="inlineStr">
        <is>
          <t>55</t>
        </is>
      </c>
      <c r="L557" s="4" t="inlineStr">
        <is>
          <t>Permit must be used with a valid General Elk License. Holders may not hunt Antlered Elk in any other HD during these described season dates.</t>
        </is>
      </c>
    </row>
    <row r="558">
      <c r="A558" s="4" t="inlineStr">
        <is>
          <t>455</t>
        </is>
      </c>
      <c r="B558" s="4" t="inlineStr">
        <is>
          <t>elk</t>
        </is>
      </c>
      <c r="C558" s="4" t="inlineStr">
        <is>
          <t>Elk Permit: 455-21</t>
        </is>
      </c>
      <c r="D558" s="15" t="inlineStr">
        <is>
          <t>Drawing</t>
        </is>
      </c>
      <c r="E558" s="4" t="inlineStr">
        <is>
          <t>Either-sex Elk</t>
        </is>
      </c>
      <c r="F558" s="4" t="inlineStr">
        <is>
          <t>Sep 05-Oct 18</t>
        </is>
      </c>
      <c r="G558" s="4" t="n"/>
      <c r="H558" s="4" t="n"/>
      <c r="I558" s="4" t="n"/>
      <c r="J558" s="4" t="inlineStr">
        <is>
          <t>April 1</t>
        </is>
      </c>
      <c r="K558" s="4" t="inlineStr">
        <is>
          <t>100</t>
        </is>
      </c>
      <c r="L558" s="4" t="inlineStr">
        <is>
          <t>Permit must be used with a valid General Elk License. Holders may not hunt Antlered Elk in any other HD during these described season dates. 107 2026 Deer • Elk • Antelope Visit fwp.mt.gov LICENSE/PERMIT OPPORTUNITY APPL Y BY DATE QUOTA QUOTA RANGE EARL Y SEASON DATES ARCHERY ONL Y SEASON DATES GENE</t>
        </is>
      </c>
    </row>
    <row r="559">
      <c r="A559" s="4" t="inlineStr">
        <is>
          <t>471</t>
        </is>
      </c>
      <c r="B559" s="4" t="inlineStr">
        <is>
          <t>elk</t>
        </is>
      </c>
      <c r="C559" s="4" t="inlineStr">
        <is>
          <t>General Elk License</t>
        </is>
      </c>
      <c r="D559" s="13" t="inlineStr">
        <is>
          <t>General license</t>
        </is>
      </c>
      <c r="E559" s="4" t="inlineStr">
        <is>
          <t>Either-sex Elk</t>
        </is>
      </c>
      <c r="F559" s="4" t="inlineStr">
        <is>
          <t>Sep 05-Oct 18</t>
        </is>
      </c>
      <c r="G559" s="4" t="inlineStr">
        <is>
          <t>Oct 24-Nov 29</t>
        </is>
      </c>
      <c r="H559" s="4" t="inlineStr">
        <is>
          <t>Dec 12-Dec 20</t>
        </is>
      </c>
      <c r="I559" s="4" t="n"/>
      <c r="J559" s="4" t="n"/>
      <c r="K559" s="4" t="n"/>
      <c r="L559" s="4" t="n"/>
    </row>
    <row r="560">
      <c r="A560" s="4" t="inlineStr">
        <is>
          <t>471</t>
        </is>
      </c>
      <c r="B560" s="4" t="inlineStr">
        <is>
          <t>elk</t>
        </is>
      </c>
      <c r="C560" s="4" t="inlineStr">
        <is>
          <t>Elk B License: 004-00</t>
        </is>
      </c>
      <c r="D560" s="4" t="inlineStr">
        <is>
          <t>Over the counter</t>
        </is>
      </c>
      <c r="E560" s="4" t="inlineStr">
        <is>
          <t>Antlerless Elk</t>
        </is>
      </c>
      <c r="F560" s="4" t="inlineStr">
        <is>
          <t>Sep 05-Oct 18</t>
        </is>
      </c>
      <c r="G560" s="4" t="inlineStr">
        <is>
          <t>Oct 24-Nov 29</t>
        </is>
      </c>
      <c r="H560" s="4" t="inlineStr">
        <is>
          <t>Dec 12-Dec 20</t>
        </is>
      </c>
      <c r="I560" s="4" t="n"/>
      <c r="J560" s="4" t="inlineStr">
        <is>
          <t>OTC: Jun 15</t>
        </is>
      </c>
      <c r="K560" s="4" t="inlineStr">
        <is>
          <t>UNL</t>
        </is>
      </c>
      <c r="L560" s="4" t="inlineStr">
        <is>
          <t>Not valid on National Forest lands, FWP WMAs, or CMR Refuge. Valid in all Region 4 HDs except HDs 410 and 455 as listed under each HD. Region</t>
        </is>
      </c>
    </row>
    <row r="561">
      <c r="A561" s="4" t="inlineStr">
        <is>
          <t>502</t>
        </is>
      </c>
      <c r="B561" s="4" t="inlineStr">
        <is>
          <t>elk</t>
        </is>
      </c>
      <c r="C561" s="4" t="inlineStr">
        <is>
          <t>General Elk License</t>
        </is>
      </c>
      <c r="D561" s="13" t="inlineStr">
        <is>
          <t>General license</t>
        </is>
      </c>
      <c r="E561" s="4" t="inlineStr">
        <is>
          <t>Antlerless Elk</t>
        </is>
      </c>
      <c r="F561" s="4" t="n"/>
      <c r="G561" s="4" t="n"/>
      <c r="H561" s="4" t="n"/>
      <c r="I561" s="4" t="n"/>
      <c r="J561" s="4" t="n"/>
      <c r="K561" s="4" t="n"/>
      <c r="L561" s="4" t="inlineStr">
        <is>
          <t>Only valid on private land.</t>
        </is>
      </c>
    </row>
    <row r="562">
      <c r="A562" s="4" t="inlineStr">
        <is>
          <t>502</t>
        </is>
      </c>
      <c r="B562" s="4" t="inlineStr">
        <is>
          <t>elk</t>
        </is>
      </c>
      <c r="C562" s="4" t="inlineStr">
        <is>
          <t>General Elk License</t>
        </is>
      </c>
      <c r="D562" s="13" t="inlineStr">
        <is>
          <t>General license</t>
        </is>
      </c>
      <c r="E562" s="4" t="inlineStr">
        <is>
          <t>Antlerless Elk</t>
        </is>
      </c>
      <c r="F562" s="4" t="inlineStr">
        <is>
          <t>Sep 05-Oct 18</t>
        </is>
      </c>
      <c r="G562" s="4" t="inlineStr">
        <is>
          <t>Oct 24-Nov 29</t>
        </is>
      </c>
      <c r="H562" s="4" t="n"/>
      <c r="I562" s="4" t="inlineStr">
        <is>
          <t>Nov 30-Feb 15</t>
        </is>
      </c>
      <c r="J562" s="4" t="n"/>
      <c r="K562" s="4" t="n"/>
      <c r="L562" s="4" t="n"/>
    </row>
    <row r="563">
      <c r="A563" s="4" t="inlineStr">
        <is>
          <t>502</t>
        </is>
      </c>
      <c r="B563" s="4" t="inlineStr">
        <is>
          <t>elk</t>
        </is>
      </c>
      <c r="C563" s="4" t="inlineStr">
        <is>
          <t>Elk B License: 005-00</t>
        </is>
      </c>
      <c r="D563" s="4" t="inlineStr">
        <is>
          <t>Over the counter</t>
        </is>
      </c>
      <c r="E563" s="4" t="inlineStr">
        <is>
          <t>Antlerless Elk</t>
        </is>
      </c>
      <c r="F563" s="4" t="n"/>
      <c r="G563" s="4" t="n"/>
      <c r="H563" s="4" t="n"/>
      <c r="I563" s="4" t="n"/>
      <c r="J563" s="4" t="inlineStr">
        <is>
          <t>OTC: Jun 15</t>
        </is>
      </c>
      <c r="K563" s="4" t="inlineStr">
        <is>
          <t>UNL</t>
        </is>
      </c>
      <c r="L563" s="4" t="inlineStr">
        <is>
          <t>Only valid on private land.</t>
        </is>
      </c>
    </row>
    <row r="564">
      <c r="A564" s="4" t="inlineStr">
        <is>
          <t>502</t>
        </is>
      </c>
      <c r="B564" s="4" t="inlineStr">
        <is>
          <t>elk</t>
        </is>
      </c>
      <c r="C564" s="4" t="inlineStr">
        <is>
          <t>Elk Permit: 502-20</t>
        </is>
      </c>
      <c r="D564" s="15" t="inlineStr">
        <is>
          <t>Drawing</t>
        </is>
      </c>
      <c r="E564" s="4" t="inlineStr">
        <is>
          <t>Either-sex Elk</t>
        </is>
      </c>
      <c r="F564" s="4" t="inlineStr">
        <is>
          <t>Sep 05-Oct 18</t>
        </is>
      </c>
      <c r="G564" s="4" t="inlineStr">
        <is>
          <t>Oct 24-Nov 29</t>
        </is>
      </c>
      <c r="H564" s="4" t="inlineStr">
        <is>
          <t>Dec 12-Dec 20</t>
        </is>
      </c>
      <c r="I564" s="4" t="n"/>
      <c r="J564" s="4" t="inlineStr">
        <is>
          <t>April 1</t>
        </is>
      </c>
      <c r="K564" s="4" t="inlineStr">
        <is>
          <t>5</t>
        </is>
      </c>
      <c r="L564" s="4" t="inlineStr">
        <is>
          <t>Permit must be used with a valid General Elk License. Holders may not hunt Antlered Elk in any other HD during these described season dates.</t>
        </is>
      </c>
    </row>
    <row r="565">
      <c r="A565" s="4" t="inlineStr">
        <is>
          <t>502</t>
        </is>
      </c>
      <c r="B565" s="4" t="inlineStr">
        <is>
          <t>elk</t>
        </is>
      </c>
      <c r="C565" s="4" t="inlineStr">
        <is>
          <t>Elk Permit: 595-21</t>
        </is>
      </c>
      <c r="D565" s="15" t="inlineStr">
        <is>
          <t>Drawing</t>
        </is>
      </c>
      <c r="E565" s="4" t="inlineStr">
        <is>
          <t>Either-sex Elk</t>
        </is>
      </c>
      <c r="F565" s="4" t="inlineStr">
        <is>
          <t>Sep 05-Oct 18</t>
        </is>
      </c>
      <c r="G565" s="4" t="n"/>
      <c r="H565" s="4" t="n"/>
      <c r="I565" s="4" t="n"/>
      <c r="J565" s="4" t="inlineStr">
        <is>
          <t>April 1</t>
        </is>
      </c>
      <c r="K565" s="4" t="inlineStr">
        <is>
          <t>1,800</t>
        </is>
      </c>
      <c r="L565" s="4" t="inlineStr">
        <is>
          <t>1st and only choice. Valid in HDs 502, 535, 555, 590, and a portion of HD 701 north of the Yellowstone River, south of Hwy 12, west of Sumatra- Hysham Rd. Permit must be used with a valid General Elk License. Holders may not hunt Antlered Elk in any other HD during these described season dates. LICE</t>
        </is>
      </c>
    </row>
    <row r="566">
      <c r="A566" s="4" t="inlineStr">
        <is>
          <t>515</t>
        </is>
      </c>
      <c r="B566" s="4" t="inlineStr">
        <is>
          <t>elk</t>
        </is>
      </c>
      <c r="C566" s="4" t="inlineStr">
        <is>
          <t>General Elk License</t>
        </is>
      </c>
      <c r="D566" s="13" t="inlineStr">
        <is>
          <t>General license</t>
        </is>
      </c>
      <c r="E566" s="4" t="inlineStr">
        <is>
          <t>Antlerless Elk</t>
        </is>
      </c>
      <c r="F566" s="4" t="n"/>
      <c r="G566" s="4" t="n"/>
      <c r="H566" s="4" t="n"/>
      <c r="I566" s="4" t="n"/>
      <c r="J566" s="4" t="n"/>
      <c r="K566" s="4" t="n"/>
      <c r="L566" s="4" t="inlineStr">
        <is>
          <t>Only valid on private land.</t>
        </is>
      </c>
    </row>
    <row r="567">
      <c r="A567" s="4" t="inlineStr">
        <is>
          <t>515</t>
        </is>
      </c>
      <c r="B567" s="4" t="inlineStr">
        <is>
          <t>elk</t>
        </is>
      </c>
      <c r="C567" s="4" t="inlineStr">
        <is>
          <t>General Elk License</t>
        </is>
      </c>
      <c r="D567" s="13" t="inlineStr">
        <is>
          <t>General license</t>
        </is>
      </c>
      <c r="E567" s="4" t="inlineStr">
        <is>
          <t>Either-sex Elk</t>
        </is>
      </c>
      <c r="F567" s="4" t="inlineStr">
        <is>
          <t>Sep 05-Oct 18</t>
        </is>
      </c>
      <c r="G567" s="4" t="inlineStr">
        <is>
          <t>Oct 24-Nov 29</t>
        </is>
      </c>
      <c r="H567" s="4" t="inlineStr">
        <is>
          <t>Dec 12-Dec 20</t>
        </is>
      </c>
      <c r="I567" s="4" t="n"/>
      <c r="J567" s="4" t="n"/>
      <c r="K567" s="4" t="n"/>
      <c r="L567" s="4" t="n"/>
    </row>
    <row r="568">
      <c r="A568" s="4" t="inlineStr">
        <is>
          <t>515</t>
        </is>
      </c>
      <c r="B568" s="4" t="inlineStr">
        <is>
          <t>elk</t>
        </is>
      </c>
      <c r="C568" s="4" t="inlineStr">
        <is>
          <t>Elk B License: 005-00</t>
        </is>
      </c>
      <c r="D568" s="4" t="inlineStr">
        <is>
          <t>Over the counter</t>
        </is>
      </c>
      <c r="E568" s="4" t="inlineStr">
        <is>
          <t>Antlerless Elk</t>
        </is>
      </c>
      <c r="F568" s="4" t="n"/>
      <c r="G568" s="4" t="n"/>
      <c r="H568" s="4" t="n"/>
      <c r="I568" s="4" t="n"/>
      <c r="J568" s="4" t="inlineStr">
        <is>
          <t>OTC: Jun 15</t>
        </is>
      </c>
      <c r="K568" s="4" t="inlineStr">
        <is>
          <t>UNL</t>
        </is>
      </c>
      <c r="L568" s="4" t="inlineStr">
        <is>
          <t>Only valid on private land.</t>
        </is>
      </c>
    </row>
    <row r="569">
      <c r="A569" s="4" t="inlineStr">
        <is>
          <t>525</t>
        </is>
      </c>
      <c r="B569" s="4" t="inlineStr">
        <is>
          <t>elk</t>
        </is>
      </c>
      <c r="C569" s="4" t="inlineStr">
        <is>
          <t>General Elk License</t>
        </is>
      </c>
      <c r="D569" s="13" t="inlineStr">
        <is>
          <t>General license</t>
        </is>
      </c>
      <c r="E569" s="4" t="inlineStr">
        <is>
          <t>Antlerless Elk</t>
        </is>
      </c>
      <c r="F569" s="4" t="n"/>
      <c r="G569" s="4" t="n"/>
      <c r="H569" s="4" t="n"/>
      <c r="I569" s="4" t="n"/>
      <c r="J569" s="4" t="n"/>
      <c r="K569" s="4" t="n"/>
      <c r="L569" s="4" t="inlineStr">
        <is>
          <t>Only valid on private land.</t>
        </is>
      </c>
    </row>
    <row r="570">
      <c r="A570" s="4" t="inlineStr">
        <is>
          <t>525</t>
        </is>
      </c>
      <c r="B570" s="4" t="inlineStr">
        <is>
          <t>elk</t>
        </is>
      </c>
      <c r="C570" s="4" t="inlineStr">
        <is>
          <t>General Elk License</t>
        </is>
      </c>
      <c r="D570" s="13" t="inlineStr">
        <is>
          <t>General license</t>
        </is>
      </c>
      <c r="E570" s="4" t="inlineStr">
        <is>
          <t>Either-sex Elk</t>
        </is>
      </c>
      <c r="F570" s="4" t="inlineStr">
        <is>
          <t>Sep 05-Oct 18</t>
        </is>
      </c>
      <c r="G570" s="4" t="inlineStr">
        <is>
          <t>Oct 24-Nov 29</t>
        </is>
      </c>
      <c r="H570" s="4" t="inlineStr">
        <is>
          <t>Dec 12-Dec 20</t>
        </is>
      </c>
      <c r="I570" s="4" t="n"/>
      <c r="J570" s="4" t="n"/>
      <c r="K570" s="4" t="n"/>
      <c r="L570" s="4" t="n"/>
    </row>
    <row r="571">
      <c r="A571" s="4" t="inlineStr">
        <is>
          <t>525</t>
        </is>
      </c>
      <c r="B571" s="4" t="inlineStr">
        <is>
          <t>elk</t>
        </is>
      </c>
      <c r="C571" s="4" t="inlineStr">
        <is>
          <t>Elk B License: 005-00</t>
        </is>
      </c>
      <c r="D571" s="4" t="inlineStr">
        <is>
          <t>Over the counter</t>
        </is>
      </c>
      <c r="E571" s="4" t="inlineStr">
        <is>
          <t>Antlerless Elk</t>
        </is>
      </c>
      <c r="F571" s="4" t="n"/>
      <c r="G571" s="4" t="n"/>
      <c r="H571" s="4" t="n"/>
      <c r="I571" s="4" t="n"/>
      <c r="J571" s="4" t="inlineStr">
        <is>
          <t>OTC: Jun 15</t>
        </is>
      </c>
      <c r="K571" s="4" t="inlineStr">
        <is>
          <t>UNL</t>
        </is>
      </c>
      <c r="L571" s="4" t="inlineStr">
        <is>
          <t>Only valid on private land. Not valid on National Forest Lands. Not valid on National Forest Land or FWP WMAs. 109 2026 Deer • Elk • Antelope Visit fwp.mt.gov LICENSE/PERMIT OPPORTUNITY APPL Y BY DATE QUOTA QUOTA RANGE EARL Y SEASON DATES ARCHERY ONL Y SEASON DATES GENERAL SEASON DATES HERITAGE MUZZ</t>
        </is>
      </c>
    </row>
    <row r="572">
      <c r="A572" s="4" t="inlineStr">
        <is>
          <t>535</t>
        </is>
      </c>
      <c r="B572" s="4" t="inlineStr">
        <is>
          <t>elk</t>
        </is>
      </c>
      <c r="C572" s="4" t="inlineStr">
        <is>
          <t>General Elk License</t>
        </is>
      </c>
      <c r="D572" s="13" t="inlineStr">
        <is>
          <t>General license</t>
        </is>
      </c>
      <c r="E572" s="4" t="inlineStr">
        <is>
          <t>Antlerless Elk</t>
        </is>
      </c>
      <c r="F572" s="4" t="n"/>
      <c r="G572" s="4" t="n"/>
      <c r="H572" s="4" t="n"/>
      <c r="I572" s="4" t="n"/>
      <c r="J572" s="4" t="n"/>
      <c r="K572" s="4" t="n"/>
      <c r="L572" s="4" t="inlineStr">
        <is>
          <t>Only valid on private land.</t>
        </is>
      </c>
    </row>
    <row r="573">
      <c r="A573" s="4" t="inlineStr">
        <is>
          <t>535</t>
        </is>
      </c>
      <c r="B573" s="4" t="inlineStr">
        <is>
          <t>elk</t>
        </is>
      </c>
      <c r="C573" s="4" t="inlineStr">
        <is>
          <t>General Elk License</t>
        </is>
      </c>
      <c r="D573" s="13" t="inlineStr">
        <is>
          <t>General license</t>
        </is>
      </c>
      <c r="E573" s="4" t="inlineStr">
        <is>
          <t>Spike Bull or Antlerless Elk</t>
        </is>
      </c>
      <c r="F573" s="4" t="inlineStr">
        <is>
          <t>Sep 05-Oct 18</t>
        </is>
      </c>
      <c r="G573" s="4" t="inlineStr">
        <is>
          <t>Oct 24-Nov 29</t>
        </is>
      </c>
      <c r="H573" s="4" t="inlineStr">
        <is>
          <t>Dec 12-Dec 20</t>
        </is>
      </c>
      <c r="I573" s="4" t="n"/>
      <c r="J573" s="4" t="n"/>
      <c r="K573" s="4" t="n"/>
      <c r="L573" s="4" t="n"/>
    </row>
    <row r="574">
      <c r="A574" s="4" t="inlineStr">
        <is>
          <t>535</t>
        </is>
      </c>
      <c r="B574" s="4" t="inlineStr">
        <is>
          <t>elk</t>
        </is>
      </c>
      <c r="C574" s="4" t="inlineStr">
        <is>
          <t>Elk B License: 005-00</t>
        </is>
      </c>
      <c r="D574" s="4" t="inlineStr">
        <is>
          <t>Over the counter</t>
        </is>
      </c>
      <c r="E574" s="4" t="inlineStr">
        <is>
          <t>Antlerless Elk</t>
        </is>
      </c>
      <c r="F574" s="4" t="n"/>
      <c r="G574" s="4" t="n"/>
      <c r="H574" s="4" t="n"/>
      <c r="I574" s="4" t="n"/>
      <c r="J574" s="4" t="inlineStr">
        <is>
          <t>OTC: Jun 15</t>
        </is>
      </c>
      <c r="K574" s="4" t="inlineStr">
        <is>
          <t>UNL</t>
        </is>
      </c>
      <c r="L574" s="4" t="inlineStr">
        <is>
          <t>Only valid on private land. Not valid on National Forest Lands. Not valid on National Forest lands or FWP WMAs.</t>
        </is>
      </c>
    </row>
    <row r="575">
      <c r="A575" s="4" t="inlineStr">
        <is>
          <t>535</t>
        </is>
      </c>
      <c r="B575" s="4" t="inlineStr">
        <is>
          <t>elk</t>
        </is>
      </c>
      <c r="C575" s="4" t="inlineStr">
        <is>
          <t>Elk B License: 411-00</t>
        </is>
      </c>
      <c r="D575" s="15" t="inlineStr">
        <is>
          <t>Drawing</t>
        </is>
      </c>
      <c r="E575" s="4" t="inlineStr">
        <is>
          <t>Antlerless Elk</t>
        </is>
      </c>
      <c r="F575" s="4" t="n"/>
      <c r="G575" s="4" t="n"/>
      <c r="H575" s="4" t="n"/>
      <c r="I575" s="4" t="n"/>
      <c r="J575" s="4" t="inlineStr">
        <is>
          <t>Jun 1</t>
        </is>
      </c>
      <c r="K575" s="4" t="inlineStr">
        <is>
          <t>1,200</t>
        </is>
      </c>
      <c r="L575" s="4" t="inlineStr">
        <is>
          <t>Only valid on private land in HDs 411 and 535. Valid in HDs 411 and 535. Valid in HDs 411 and 535. Not valid on FWP WMAs.</t>
        </is>
      </c>
    </row>
    <row r="576">
      <c r="A576" s="4" t="inlineStr">
        <is>
          <t>535</t>
        </is>
      </c>
      <c r="B576" s="4" t="inlineStr">
        <is>
          <t>elk</t>
        </is>
      </c>
      <c r="C576" s="4" t="inlineStr">
        <is>
          <t>Elk Permit: 411-20</t>
        </is>
      </c>
      <c r="D576" s="15" t="inlineStr">
        <is>
          <t>Drawing</t>
        </is>
      </c>
      <c r="E576" s="4" t="inlineStr">
        <is>
          <t>Either-sex Elk</t>
        </is>
      </c>
      <c r="F576" s="4" t="inlineStr">
        <is>
          <t>Sep 05-Oct 18</t>
        </is>
      </c>
      <c r="G576" s="4" t="inlineStr">
        <is>
          <t>Oct 24-Nov 29</t>
        </is>
      </c>
      <c r="H576" s="4" t="inlineStr">
        <is>
          <t>Dec 12-Dec 20</t>
        </is>
      </c>
      <c r="I576" s="4" t="n"/>
      <c r="J576" s="4" t="inlineStr">
        <is>
          <t>April 1</t>
        </is>
      </c>
      <c r="K576" s="4" t="inlineStr">
        <is>
          <t>350</t>
        </is>
      </c>
      <c r="L576" s="4" t="inlineStr">
        <is>
          <t>1st and only choice. Valid in HDs 411 and 535. Permit must be used with a valid General Elk License. Holders may not hunt Antlered Elk in any other HD during these described season dates.</t>
        </is>
      </c>
    </row>
    <row r="577">
      <c r="A577" s="4" t="inlineStr">
        <is>
          <t>535</t>
        </is>
      </c>
      <c r="B577" s="4" t="inlineStr">
        <is>
          <t>elk</t>
        </is>
      </c>
      <c r="C577" s="4" t="inlineStr">
        <is>
          <t>Elk Permit: 595-21</t>
        </is>
      </c>
      <c r="D577" s="15" t="inlineStr">
        <is>
          <t>Drawing</t>
        </is>
      </c>
      <c r="E577" s="4" t="inlineStr">
        <is>
          <t>Either-sex Elk</t>
        </is>
      </c>
      <c r="F577" s="4" t="inlineStr">
        <is>
          <t>Sep 05-Oct 18</t>
        </is>
      </c>
      <c r="G577" s="4" t="n"/>
      <c r="H577" s="4" t="n"/>
      <c r="I577" s="4" t="n"/>
      <c r="J577" s="4" t="inlineStr">
        <is>
          <t>April 1</t>
        </is>
      </c>
      <c r="K577" s="4" t="inlineStr">
        <is>
          <t>1,800</t>
        </is>
      </c>
      <c r="L577" s="4" t="inlineStr">
        <is>
          <t>1st and only choice. Valid in HDs 502, 535, 555, 590, and a portion of HD 701 north of the Yellowstone River, south of Hwy 12, west of Sumatra- Hysham Rd. Permit must be used with a valid General Elk License. Holders may not hunt Antlered Elk in any other HD during these described season dates. LICE</t>
        </is>
      </c>
    </row>
    <row r="578">
      <c r="A578" s="4" t="inlineStr">
        <is>
          <t>540</t>
        </is>
      </c>
      <c r="B578" s="4" t="inlineStr">
        <is>
          <t>elk</t>
        </is>
      </c>
      <c r="C578" s="4" t="inlineStr">
        <is>
          <t>General Elk License</t>
        </is>
      </c>
      <c r="D578" s="13" t="inlineStr">
        <is>
          <t>General license</t>
        </is>
      </c>
      <c r="E578" s="4" t="inlineStr">
        <is>
          <t>Antlerless Elk</t>
        </is>
      </c>
      <c r="F578" s="4" t="n"/>
      <c r="G578" s="4" t="n"/>
      <c r="H578" s="4" t="n"/>
      <c r="I578" s="4" t="n"/>
      <c r="J578" s="4" t="n"/>
      <c r="K578" s="4" t="n"/>
      <c r="L578" s="4" t="inlineStr">
        <is>
          <t>Only valid on private land.</t>
        </is>
      </c>
    </row>
    <row r="579">
      <c r="A579" s="4" t="inlineStr">
        <is>
          <t>540</t>
        </is>
      </c>
      <c r="B579" s="4" t="inlineStr">
        <is>
          <t>elk</t>
        </is>
      </c>
      <c r="C579" s="4" t="inlineStr">
        <is>
          <t>General Elk License</t>
        </is>
      </c>
      <c r="D579" s="13" t="inlineStr">
        <is>
          <t>General license</t>
        </is>
      </c>
      <c r="E579" s="4" t="inlineStr">
        <is>
          <t>Either-sex Elk</t>
        </is>
      </c>
      <c r="F579" s="4" t="inlineStr">
        <is>
          <t>Sep 05-Oct 18</t>
        </is>
      </c>
      <c r="G579" s="4" t="inlineStr">
        <is>
          <t>Oct 24-Nov 29</t>
        </is>
      </c>
      <c r="H579" s="4" t="inlineStr">
        <is>
          <t>Dec 12-Dec 20</t>
        </is>
      </c>
      <c r="I579" s="4" t="n"/>
      <c r="J579" s="4" t="n"/>
      <c r="K579" s="4" t="n"/>
      <c r="L579" s="4" t="n"/>
    </row>
    <row r="580">
      <c r="A580" s="4" t="inlineStr">
        <is>
          <t>540</t>
        </is>
      </c>
      <c r="B580" s="4" t="inlineStr">
        <is>
          <t>elk</t>
        </is>
      </c>
      <c r="C580" s="4" t="inlineStr">
        <is>
          <t>Elk B License: 005-00</t>
        </is>
      </c>
      <c r="D580" s="4" t="inlineStr">
        <is>
          <t>Over the counter</t>
        </is>
      </c>
      <c r="E580" s="4" t="inlineStr">
        <is>
          <t>Antlerless Elk</t>
        </is>
      </c>
      <c r="F580" s="4" t="n"/>
      <c r="G580" s="4" t="n"/>
      <c r="H580" s="4" t="n"/>
      <c r="I580" s="4" t="n"/>
      <c r="J580" s="4" t="inlineStr">
        <is>
          <t>OTC: Jun 15</t>
        </is>
      </c>
      <c r="K580" s="4" t="inlineStr">
        <is>
          <t>UNL</t>
        </is>
      </c>
      <c r="L580" s="4" t="inlineStr">
        <is>
          <t>Only valid on private land. Not valid on National Forest Lands.</t>
        </is>
      </c>
    </row>
    <row r="581">
      <c r="A581" s="4" t="inlineStr">
        <is>
          <t>555</t>
        </is>
      </c>
      <c r="B581" s="4" t="inlineStr">
        <is>
          <t>elk</t>
        </is>
      </c>
      <c r="C581" s="4" t="inlineStr">
        <is>
          <t>Elk B License: 005-00</t>
        </is>
      </c>
      <c r="D581" s="4" t="inlineStr">
        <is>
          <t>Over the counter</t>
        </is>
      </c>
      <c r="E581" s="4" t="inlineStr">
        <is>
          <t>Antlerless Elk</t>
        </is>
      </c>
      <c r="F581" s="4" t="inlineStr">
        <is>
          <t>Sep 05-Oct 18</t>
        </is>
      </c>
      <c r="G581" s="4" t="inlineStr">
        <is>
          <t>Oct 24-Nov 29</t>
        </is>
      </c>
      <c r="H581" s="4" t="inlineStr">
        <is>
          <t>Dec 12-Dec 20</t>
        </is>
      </c>
      <c r="I581" s="4" t="inlineStr">
        <is>
          <t>Nov 30-Feb 15</t>
        </is>
      </c>
      <c r="J581" s="4" t="inlineStr">
        <is>
          <t>OTC: Jun 15</t>
        </is>
      </c>
      <c r="K581" s="4" t="inlineStr">
        <is>
          <t>UNL</t>
        </is>
      </c>
      <c r="L581" s="4" t="inlineStr">
        <is>
          <t>Not Valid on National Forest Lands.</t>
        </is>
      </c>
    </row>
    <row r="582">
      <c r="A582" s="4" t="inlineStr">
        <is>
          <t>555</t>
        </is>
      </c>
      <c r="B582" s="4" t="inlineStr">
        <is>
          <t>elk</t>
        </is>
      </c>
      <c r="C582" s="4" t="inlineStr">
        <is>
          <t>Elk B License: 555-00</t>
        </is>
      </c>
      <c r="D582" s="15" t="inlineStr">
        <is>
          <t>Drawing</t>
        </is>
      </c>
      <c r="E582" s="4" t="inlineStr">
        <is>
          <t>Antlerless Elk</t>
        </is>
      </c>
      <c r="F582" s="4" t="inlineStr">
        <is>
          <t>Sep 05-Oct 18</t>
        </is>
      </c>
      <c r="G582" s="4" t="inlineStr">
        <is>
          <t>Oct 24-Nov 29</t>
        </is>
      </c>
      <c r="H582" s="4" t="inlineStr">
        <is>
          <t>Dec 12-Dec 20</t>
        </is>
      </c>
      <c r="I582" s="4" t="n"/>
      <c r="J582" s="4" t="inlineStr">
        <is>
          <t>Jun 1</t>
        </is>
      </c>
      <c r="K582" s="4" t="inlineStr">
        <is>
          <t>30</t>
        </is>
      </c>
      <c r="L582" s="4" t="n"/>
    </row>
    <row r="583">
      <c r="A583" s="4" t="inlineStr">
        <is>
          <t>555</t>
        </is>
      </c>
      <c r="B583" s="4" t="inlineStr">
        <is>
          <t>elk</t>
        </is>
      </c>
      <c r="C583" s="4" t="inlineStr">
        <is>
          <t>Elk Permit: 555-20</t>
        </is>
      </c>
      <c r="D583" s="15" t="inlineStr">
        <is>
          <t>Drawing</t>
        </is>
      </c>
      <c r="E583" s="4" t="inlineStr">
        <is>
          <t>Either-sex Elk</t>
        </is>
      </c>
      <c r="F583" s="4" t="inlineStr">
        <is>
          <t>Sep 05-Oct 18</t>
        </is>
      </c>
      <c r="G583" s="4" t="inlineStr">
        <is>
          <t>Oct 24-Nov 29</t>
        </is>
      </c>
      <c r="H583" s="4" t="inlineStr">
        <is>
          <t>Dec 12-Dec 20</t>
        </is>
      </c>
      <c r="I583" s="4" t="n"/>
      <c r="J583" s="4" t="inlineStr">
        <is>
          <t>April 1</t>
        </is>
      </c>
      <c r="K583" s="4" t="inlineStr">
        <is>
          <t>25</t>
        </is>
      </c>
      <c r="L583" s="4" t="inlineStr">
        <is>
          <t>Permit must be used with a valid General Elk License. Holders may not hunt Antlered Elk in any other HD during these described season dates.</t>
        </is>
      </c>
    </row>
    <row r="584">
      <c r="A584" s="4" t="inlineStr">
        <is>
          <t>555</t>
        </is>
      </c>
      <c r="B584" s="4" t="inlineStr">
        <is>
          <t>elk</t>
        </is>
      </c>
      <c r="C584" s="4" t="inlineStr">
        <is>
          <t>Elk Permit: 595-21</t>
        </is>
      </c>
      <c r="D584" s="15" t="inlineStr">
        <is>
          <t>Drawing</t>
        </is>
      </c>
      <c r="E584" s="4" t="inlineStr">
        <is>
          <t>Either-sex Elk</t>
        </is>
      </c>
      <c r="F584" s="4" t="inlineStr">
        <is>
          <t>Sep 05-Oct 18</t>
        </is>
      </c>
      <c r="G584" s="4" t="n"/>
      <c r="H584" s="4" t="n"/>
      <c r="I584" s="4" t="n"/>
      <c r="J584" s="4" t="inlineStr">
        <is>
          <t>April 1</t>
        </is>
      </c>
      <c r="K584" s="4" t="inlineStr">
        <is>
          <t>1,800</t>
        </is>
      </c>
      <c r="L584" s="4" t="inlineStr">
        <is>
          <t xml:space="preserve">1st and only choice. Valid in HDs 502, 535, 555, 590, and a portion of HD 701 north of the Yellowstone River, south of Hwy 12, west of Sumatra- Hysham Rd. Permit must be used with a valid General Elk License. Holders may not hunt Antlered Elk in any other HD during these described season dates. 111 </t>
        </is>
      </c>
    </row>
    <row r="585">
      <c r="A585" s="4" t="inlineStr">
        <is>
          <t>565</t>
        </is>
      </c>
      <c r="B585" s="4" t="inlineStr">
        <is>
          <t>elk</t>
        </is>
      </c>
      <c r="C585" s="4" t="inlineStr">
        <is>
          <t>General Elk License</t>
        </is>
      </c>
      <c r="D585" s="13" t="inlineStr">
        <is>
          <t>General license</t>
        </is>
      </c>
      <c r="E585" s="4" t="inlineStr">
        <is>
          <t>Either-sex Elk</t>
        </is>
      </c>
      <c r="F585" s="4" t="inlineStr">
        <is>
          <t>Sep 05-Oct 18</t>
        </is>
      </c>
      <c r="G585" s="4" t="n"/>
      <c r="H585" s="4" t="n"/>
      <c r="I585" s="4" t="n"/>
      <c r="J585" s="4" t="n"/>
      <c r="K585" s="4" t="n"/>
      <c r="L585" s="4" t="n"/>
    </row>
    <row r="586">
      <c r="A586" s="4" t="inlineStr">
        <is>
          <t>565</t>
        </is>
      </c>
      <c r="B586" s="4" t="inlineStr">
        <is>
          <t>elk</t>
        </is>
      </c>
      <c r="C586" s="4" t="inlineStr">
        <is>
          <t>General Elk License</t>
        </is>
      </c>
      <c r="D586" s="13" t="inlineStr">
        <is>
          <t>General license</t>
        </is>
      </c>
      <c r="E586" s="4" t="inlineStr">
        <is>
          <t>Antlered Bull Elk</t>
        </is>
      </c>
      <c r="F586" s="4" t="n"/>
      <c r="G586" s="4" t="inlineStr">
        <is>
          <t>Oct 24-Nov 29</t>
        </is>
      </c>
      <c r="H586" s="4" t="inlineStr">
        <is>
          <t>Dec 12-Dec 20</t>
        </is>
      </c>
      <c r="I586" s="4" t="n"/>
      <c r="J586" s="4" t="n"/>
      <c r="K586" s="4" t="n"/>
      <c r="L586" s="4" t="n"/>
    </row>
    <row r="587">
      <c r="A587" s="4" t="inlineStr">
        <is>
          <t>575</t>
        </is>
      </c>
      <c r="B587" s="4" t="inlineStr">
        <is>
          <t>elk</t>
        </is>
      </c>
      <c r="C587" s="4" t="inlineStr">
        <is>
          <t>General Elk License</t>
        </is>
      </c>
      <c r="D587" s="13" t="inlineStr">
        <is>
          <t>General license</t>
        </is>
      </c>
      <c r="E587" s="4" t="inlineStr">
        <is>
          <t>Antlerless Elk</t>
        </is>
      </c>
      <c r="F587" s="4" t="n"/>
      <c r="G587" s="4" t="n"/>
      <c r="H587" s="4" t="n"/>
      <c r="I587" s="4" t="n"/>
      <c r="J587" s="4" t="n"/>
      <c r="K587" s="4" t="n"/>
      <c r="L587" s="4" t="inlineStr">
        <is>
          <t>Only valid on private land.</t>
        </is>
      </c>
    </row>
    <row r="588">
      <c r="A588" s="4" t="inlineStr">
        <is>
          <t>575</t>
        </is>
      </c>
      <c r="B588" s="4" t="inlineStr">
        <is>
          <t>elk</t>
        </is>
      </c>
      <c r="C588" s="4" t="inlineStr">
        <is>
          <t>General Elk License</t>
        </is>
      </c>
      <c r="D588" s="13" t="inlineStr">
        <is>
          <t>General license</t>
        </is>
      </c>
      <c r="E588" s="4" t="inlineStr">
        <is>
          <t>Either-sex Elk</t>
        </is>
      </c>
      <c r="F588" s="4" t="inlineStr">
        <is>
          <t>Sep 05-Oct 18</t>
        </is>
      </c>
      <c r="G588" s="4" t="inlineStr">
        <is>
          <t>Oct 24-Nov 29</t>
        </is>
      </c>
      <c r="H588" s="4" t="inlineStr">
        <is>
          <t>Dec 12-Dec 20</t>
        </is>
      </c>
      <c r="I588" s="4" t="n"/>
      <c r="J588" s="4" t="n"/>
      <c r="K588" s="4" t="n"/>
      <c r="L588" s="4" t="n"/>
    </row>
    <row r="589">
      <c r="A589" s="4" t="inlineStr">
        <is>
          <t>575</t>
        </is>
      </c>
      <c r="B589" s="4" t="inlineStr">
        <is>
          <t>elk</t>
        </is>
      </c>
      <c r="C589" s="4" t="inlineStr">
        <is>
          <t>Elk B License: 005-00</t>
        </is>
      </c>
      <c r="D589" s="4" t="inlineStr">
        <is>
          <t>Over the counter</t>
        </is>
      </c>
      <c r="E589" s="4" t="inlineStr">
        <is>
          <t>Antlerless Elk</t>
        </is>
      </c>
      <c r="F589" s="4" t="n"/>
      <c r="G589" s="4" t="n"/>
      <c r="H589" s="4" t="n"/>
      <c r="I589" s="4" t="n"/>
      <c r="J589" s="4" t="inlineStr">
        <is>
          <t>OTC: Jun 15</t>
        </is>
      </c>
      <c r="K589" s="4" t="inlineStr">
        <is>
          <t>UNL</t>
        </is>
      </c>
      <c r="L589" s="4" t="inlineStr">
        <is>
          <t>Only valid on private land.</t>
        </is>
      </c>
    </row>
    <row r="590">
      <c r="A590" s="4" t="inlineStr">
        <is>
          <t>580</t>
        </is>
      </c>
      <c r="B590" s="4" t="inlineStr">
        <is>
          <t>elk</t>
        </is>
      </c>
      <c r="C590" s="4" t="inlineStr">
        <is>
          <t>General Elk License</t>
        </is>
      </c>
      <c r="D590" s="13" t="inlineStr">
        <is>
          <t>General license</t>
        </is>
      </c>
      <c r="E590" s="4" t="inlineStr">
        <is>
          <t>Antlerless Elk</t>
        </is>
      </c>
      <c r="F590" s="4" t="n"/>
      <c r="G590" s="4" t="n"/>
      <c r="H590" s="4" t="n"/>
      <c r="I590" s="4" t="n"/>
      <c r="J590" s="4" t="n"/>
      <c r="K590" s="4" t="n"/>
      <c r="L590" s="4" t="inlineStr">
        <is>
          <t>Only valid on private land.</t>
        </is>
      </c>
    </row>
    <row r="591">
      <c r="A591" s="4" t="inlineStr">
        <is>
          <t>580</t>
        </is>
      </c>
      <c r="B591" s="4" t="inlineStr">
        <is>
          <t>elk</t>
        </is>
      </c>
      <c r="C591" s="4" t="inlineStr">
        <is>
          <t>General Elk License</t>
        </is>
      </c>
      <c r="D591" s="13" t="inlineStr">
        <is>
          <t>General license</t>
        </is>
      </c>
      <c r="E591" s="4" t="inlineStr">
        <is>
          <t>Either-sex Elk</t>
        </is>
      </c>
      <c r="F591" s="4" t="inlineStr">
        <is>
          <t>Sep 05-Oct 18</t>
        </is>
      </c>
      <c r="G591" s="4" t="inlineStr">
        <is>
          <t>Oct 24-Nov 29</t>
        </is>
      </c>
      <c r="H591" s="4" t="inlineStr">
        <is>
          <t>Dec 12-Dec 20</t>
        </is>
      </c>
      <c r="I591" s="4" t="n"/>
      <c r="J591" s="4" t="n"/>
      <c r="K591" s="4" t="n"/>
      <c r="L591" s="4" t="n"/>
    </row>
    <row r="592">
      <c r="A592" s="4" t="inlineStr">
        <is>
          <t>580</t>
        </is>
      </c>
      <c r="B592" s="4" t="inlineStr">
        <is>
          <t>elk</t>
        </is>
      </c>
      <c r="C592" s="4" t="inlineStr">
        <is>
          <t>Elk B License: 005-00</t>
        </is>
      </c>
      <c r="D592" s="4" t="inlineStr">
        <is>
          <t>Over the counter</t>
        </is>
      </c>
      <c r="E592" s="4" t="inlineStr">
        <is>
          <t>Antlerless Elk</t>
        </is>
      </c>
      <c r="F592" s="4" t="n"/>
      <c r="G592" s="4" t="n"/>
      <c r="H592" s="4" t="n"/>
      <c r="I592" s="4" t="n"/>
      <c r="J592" s="4" t="inlineStr">
        <is>
          <t>OTC: Jun 15</t>
        </is>
      </c>
      <c r="K592" s="4" t="inlineStr">
        <is>
          <t>UNL</t>
        </is>
      </c>
      <c r="L592" s="4" t="inlineStr">
        <is>
          <t>Only valid on private land. Not valid on National Forest Lands. LICENSE/PERMIT OPPORTUNITY APPL Y BY DATE QUOTA QUOTA RANGE EARL Y SEASON DATES ARCHERY ONL Y SEASON DATES GENERAL SEASON DATES HERITAGE MUZZLELOADER SEASON DATES LATE SEASON DATES OPPORTUNITY SPECIFIC DETAILS AND/ORRESTRICTIONS</t>
        </is>
      </c>
    </row>
    <row r="593">
      <c r="A593" s="4" t="inlineStr">
        <is>
          <t>590</t>
        </is>
      </c>
      <c r="B593" s="4" t="inlineStr">
        <is>
          <t>elk</t>
        </is>
      </c>
      <c r="C593" s="4" t="inlineStr">
        <is>
          <t>General Elk License</t>
        </is>
      </c>
      <c r="D593" s="13" t="inlineStr">
        <is>
          <t>General license</t>
        </is>
      </c>
      <c r="E593" s="4" t="inlineStr">
        <is>
          <t>Antlerless Elk</t>
        </is>
      </c>
      <c r="F593" s="4" t="n"/>
      <c r="G593" s="4" t="n"/>
      <c r="H593" s="4" t="n"/>
      <c r="I593" s="4" t="n"/>
      <c r="J593" s="4" t="n"/>
      <c r="K593" s="4" t="n"/>
      <c r="L593" s="4" t="inlineStr">
        <is>
          <t>Only valid on private land.</t>
        </is>
      </c>
    </row>
    <row r="594">
      <c r="A594" s="4" t="inlineStr">
        <is>
          <t>590</t>
        </is>
      </c>
      <c r="B594" s="4" t="inlineStr">
        <is>
          <t>elk</t>
        </is>
      </c>
      <c r="C594" s="4" t="inlineStr">
        <is>
          <t>General Elk License</t>
        </is>
      </c>
      <c r="D594" s="13" t="inlineStr">
        <is>
          <t>General license</t>
        </is>
      </c>
      <c r="E594" s="4" t="inlineStr">
        <is>
          <t>Spike Bull or Antlerless Elk</t>
        </is>
      </c>
      <c r="F594" s="4" t="inlineStr">
        <is>
          <t>Sep 05-Oct 18</t>
        </is>
      </c>
      <c r="G594" s="4" t="inlineStr">
        <is>
          <t>Oct 24-Nov 29</t>
        </is>
      </c>
      <c r="H594" s="4" t="inlineStr">
        <is>
          <t>Dec 12-Dec 20</t>
        </is>
      </c>
      <c r="I594" s="4" t="n"/>
      <c r="J594" s="4" t="n"/>
      <c r="K594" s="4" t="n"/>
      <c r="L594" s="4" t="n"/>
    </row>
    <row r="595">
      <c r="A595" s="4" t="inlineStr">
        <is>
          <t>590</t>
        </is>
      </c>
      <c r="B595" s="4" t="inlineStr">
        <is>
          <t>elk</t>
        </is>
      </c>
      <c r="C595" s="4" t="inlineStr">
        <is>
          <t>Elk B License: 005-00</t>
        </is>
      </c>
      <c r="D595" s="4" t="inlineStr">
        <is>
          <t>Over the counter</t>
        </is>
      </c>
      <c r="E595" s="4" t="inlineStr">
        <is>
          <t>Antlerless Elk</t>
        </is>
      </c>
      <c r="F595" s="4" t="n"/>
      <c r="G595" s="4" t="n"/>
      <c r="H595" s="4" t="n"/>
      <c r="I595" s="4" t="n"/>
      <c r="J595" s="4" t="inlineStr">
        <is>
          <t>OTC: Jun 15</t>
        </is>
      </c>
      <c r="K595" s="4" t="inlineStr">
        <is>
          <t>UNL</t>
        </is>
      </c>
      <c r="L595" s="4" t="inlineStr">
        <is>
          <t>Only valid on private land. Valid in HD 590 and portion of HD 701 north of the Yellowstone River, south of Hwy 12, west of Sumatra-Hysham Rd. Valid in HD 590 and portion of HD 701 north of the Yellowstone River, south of Hwy 12, west of Sumatra-Hysham Rd.</t>
        </is>
      </c>
    </row>
    <row r="596">
      <c r="A596" s="4" t="inlineStr">
        <is>
          <t>590</t>
        </is>
      </c>
      <c r="B596" s="4" t="inlineStr">
        <is>
          <t>elk</t>
        </is>
      </c>
      <c r="C596" s="4" t="inlineStr">
        <is>
          <t>Elk Permit: 590-20</t>
        </is>
      </c>
      <c r="D596" s="15" t="inlineStr">
        <is>
          <t>Drawing</t>
        </is>
      </c>
      <c r="E596" s="4" t="inlineStr">
        <is>
          <t>Either-sex Elk</t>
        </is>
      </c>
      <c r="F596" s="4" t="inlineStr">
        <is>
          <t>Sep 05-Oct 18</t>
        </is>
      </c>
      <c r="G596" s="4" t="inlineStr">
        <is>
          <t>Oct 24-Nov 29</t>
        </is>
      </c>
      <c r="H596" s="4" t="inlineStr">
        <is>
          <t>Dec 12-Dec 20</t>
        </is>
      </c>
      <c r="I596" s="4" t="n"/>
      <c r="J596" s="4" t="inlineStr">
        <is>
          <t>April 1</t>
        </is>
      </c>
      <c r="K596" s="4" t="inlineStr">
        <is>
          <t>380</t>
        </is>
      </c>
      <c r="L596" s="4" t="inlineStr">
        <is>
          <t>Permit must be used with a valid General Elk License. Holders may not hunt Antlered Elk in any other HD during these described season dates. Valid in HD 590 and a portion of HD 701 north of the Yellowstone River, south of Hwy 12, west of Sumatra-Hysham Rd.</t>
        </is>
      </c>
    </row>
    <row r="597">
      <c r="A597" s="4" t="inlineStr">
        <is>
          <t>590</t>
        </is>
      </c>
      <c r="B597" s="4" t="inlineStr">
        <is>
          <t>elk</t>
        </is>
      </c>
      <c r="C597" s="4" t="inlineStr">
        <is>
          <t>Elk Permit: 595-21</t>
        </is>
      </c>
      <c r="D597" s="15" t="inlineStr">
        <is>
          <t>Drawing</t>
        </is>
      </c>
      <c r="E597" s="4" t="inlineStr">
        <is>
          <t>Either-sex Elk</t>
        </is>
      </c>
      <c r="F597" s="4" t="inlineStr">
        <is>
          <t>Sep 05-Oct 18</t>
        </is>
      </c>
      <c r="G597" s="4" t="n"/>
      <c r="H597" s="4" t="n"/>
      <c r="I597" s="4" t="n"/>
      <c r="J597" s="4" t="inlineStr">
        <is>
          <t>April 1</t>
        </is>
      </c>
      <c r="K597" s="4" t="inlineStr">
        <is>
          <t>1,800</t>
        </is>
      </c>
      <c r="L597" s="4" t="inlineStr">
        <is>
          <t xml:space="preserve">1st and only choice. Valid in HDs 502, 535, 555, 590, and a portion of HD 701 north of the Yellowstone River, south of Hwy 12, west of Sumatra- Hysham Rd. Permit must be used with a valid General Elk License. Holders may not hunt Antlered Elk in any other HD during these described season dates. 113 </t>
        </is>
      </c>
    </row>
    <row r="598">
      <c r="A598" s="4" t="inlineStr">
        <is>
          <t>600</t>
        </is>
      </c>
      <c r="B598" s="4" t="inlineStr">
        <is>
          <t>elk</t>
        </is>
      </c>
      <c r="C598" s="4" t="inlineStr">
        <is>
          <t>General Elk License</t>
        </is>
      </c>
      <c r="D598" s="13" t="inlineStr">
        <is>
          <t>General license</t>
        </is>
      </c>
      <c r="E598" s="4" t="inlineStr">
        <is>
          <t>Either-sex Elk</t>
        </is>
      </c>
      <c r="F598" s="4" t="inlineStr">
        <is>
          <t>Sep 05-Oct 18</t>
        </is>
      </c>
      <c r="G598" s="4" t="inlineStr">
        <is>
          <t>Oct 24-Nov 29</t>
        </is>
      </c>
      <c r="H598" s="4" t="inlineStr">
        <is>
          <t>Dec 12-Dec 20</t>
        </is>
      </c>
      <c r="I598" s="4" t="n"/>
      <c r="J598" s="4" t="n"/>
      <c r="K598" s="4" t="n"/>
      <c r="L598" s="4" t="n"/>
    </row>
    <row r="599">
      <c r="A599" s="4" t="inlineStr">
        <is>
          <t>620</t>
        </is>
      </c>
      <c r="B599" s="4" t="inlineStr">
        <is>
          <t>elk</t>
        </is>
      </c>
      <c r="C599" s="4" t="inlineStr">
        <is>
          <t>Elk B License: 621-01</t>
        </is>
      </c>
      <c r="D599" s="15" t="inlineStr">
        <is>
          <t>Drawing</t>
        </is>
      </c>
      <c r="E599" s="4" t="inlineStr">
        <is>
          <t>Antlerless Elk</t>
        </is>
      </c>
      <c r="F599" s="4" t="inlineStr">
        <is>
          <t>Sep 05-Oct 18</t>
        </is>
      </c>
      <c r="G599" s="4" t="inlineStr">
        <is>
          <t>Oct 24-Nov 29</t>
        </is>
      </c>
      <c r="H599" s="4" t="inlineStr">
        <is>
          <t>Dec 12-Dec 20</t>
        </is>
      </c>
      <c r="I599" s="4" t="n"/>
      <c r="J599" s="4" t="inlineStr">
        <is>
          <t>Jun 1</t>
        </is>
      </c>
      <c r="K599" s="4" t="inlineStr">
        <is>
          <t>100</t>
        </is>
      </c>
      <c r="L599" s="4" t="inlineStr">
        <is>
          <t>Only valid in HD 620 and HD 621.</t>
        </is>
      </c>
    </row>
    <row r="600">
      <c r="A600" s="4" t="inlineStr">
        <is>
          <t>620</t>
        </is>
      </c>
      <c r="B600" s="4" t="inlineStr">
        <is>
          <t>elk</t>
        </is>
      </c>
      <c r="C600" s="4" t="inlineStr">
        <is>
          <t>Elk B License: 622-00</t>
        </is>
      </c>
      <c r="D600" s="15" t="inlineStr">
        <is>
          <t>Drawing</t>
        </is>
      </c>
      <c r="E600" s="4" t="inlineStr">
        <is>
          <t>Antlerless Elk</t>
        </is>
      </c>
      <c r="F600" s="4" t="inlineStr">
        <is>
          <t>Sep 05-Oct 18</t>
        </is>
      </c>
      <c r="G600" s="4" t="inlineStr">
        <is>
          <t>Oct 24-Nov 29</t>
        </is>
      </c>
      <c r="H600" s="4" t="inlineStr">
        <is>
          <t>Dec 12-Dec 20</t>
        </is>
      </c>
      <c r="I600" s="4" t="n"/>
      <c r="J600" s="4" t="inlineStr">
        <is>
          <t>Jun 1</t>
        </is>
      </c>
      <c r="K600" s="4" t="inlineStr">
        <is>
          <t>50</t>
        </is>
      </c>
      <c r="L600" s="4" t="inlineStr">
        <is>
          <t>Only valid in HDs 620 and 622.</t>
        </is>
      </c>
    </row>
    <row r="601">
      <c r="A601" s="4" t="inlineStr">
        <is>
          <t>620</t>
        </is>
      </c>
      <c r="B601" s="4" t="inlineStr">
        <is>
          <t>elk</t>
        </is>
      </c>
      <c r="C601" s="4" t="inlineStr">
        <is>
          <t>Elk B License: 698-00</t>
        </is>
      </c>
      <c r="D601" s="15" t="inlineStr">
        <is>
          <t>Drawing</t>
        </is>
      </c>
      <c r="E601" s="4" t="inlineStr">
        <is>
          <t>Antlerless Elk</t>
        </is>
      </c>
      <c r="F601" s="4" t="inlineStr">
        <is>
          <t>Sep 05-Oct 18</t>
        </is>
      </c>
      <c r="G601" s="4" t="inlineStr">
        <is>
          <t>Oct 24-Nov 29</t>
        </is>
      </c>
      <c r="H601" s="4" t="inlineStr">
        <is>
          <t>Dec 12-Dec 20</t>
        </is>
      </c>
      <c r="I601" s="4" t="n"/>
      <c r="J601" s="4" t="inlineStr">
        <is>
          <t>Jun 1</t>
        </is>
      </c>
      <c r="K601" s="4" t="inlineStr">
        <is>
          <t>100</t>
        </is>
      </c>
      <c r="L601" s="4" t="inlineStr">
        <is>
          <t>Valid in HDs 620, 621, 622. Not valid on CMR Refuge.</t>
        </is>
      </c>
    </row>
    <row r="602">
      <c r="A602" s="4" t="inlineStr">
        <is>
          <t>620</t>
        </is>
      </c>
      <c r="B602" s="4" t="inlineStr">
        <is>
          <t>elk</t>
        </is>
      </c>
      <c r="C602" s="4" t="inlineStr">
        <is>
          <t>Elk B License: 699-01</t>
        </is>
      </c>
      <c r="D602" s="15" t="inlineStr">
        <is>
          <t>Drawing</t>
        </is>
      </c>
      <c r="E602" s="4" t="inlineStr">
        <is>
          <t>Antlerless Elk</t>
        </is>
      </c>
      <c r="F602" s="4" t="n"/>
      <c r="G602" s="4" t="inlineStr">
        <is>
          <t>Oct 22-Nov 29</t>
        </is>
      </c>
      <c r="H602" s="4" t="inlineStr">
        <is>
          <t>Dec 12-Dec 20</t>
        </is>
      </c>
      <c r="I602" s="4" t="n"/>
      <c r="J602" s="4" t="inlineStr">
        <is>
          <t>Jun 1</t>
        </is>
      </c>
      <c r="K602" s="4" t="inlineStr">
        <is>
          <t>150</t>
        </is>
      </c>
      <c r="L602" s="4" t="inlineStr">
        <is>
          <t>Only youth ages 12-15. Only valid in HDs 620, 621, 622, 630, and 690.</t>
        </is>
      </c>
    </row>
    <row r="603">
      <c r="A603" s="4" t="inlineStr">
        <is>
          <t>620</t>
        </is>
      </c>
      <c r="B603" s="4" t="inlineStr">
        <is>
          <t>elk</t>
        </is>
      </c>
      <c r="C603" s="4" t="inlineStr">
        <is>
          <t>Elk Permit: 620-20</t>
        </is>
      </c>
      <c r="D603" s="15" t="inlineStr">
        <is>
          <t>Drawing</t>
        </is>
      </c>
      <c r="E603" s="4" t="inlineStr">
        <is>
          <t>Either-sex Elk</t>
        </is>
      </c>
      <c r="F603" s="4" t="n"/>
      <c r="G603" s="4" t="inlineStr">
        <is>
          <t>Oct 24-Nov 29</t>
        </is>
      </c>
      <c r="H603" s="4" t="inlineStr">
        <is>
          <t>Dec 12-Dec 20</t>
        </is>
      </c>
      <c r="I603" s="4" t="n"/>
      <c r="J603" s="4" t="inlineStr">
        <is>
          <t>April 1</t>
        </is>
      </c>
      <c r="K603" s="4" t="inlineStr">
        <is>
          <t>70</t>
        </is>
      </c>
      <c r="L603" s="4" t="inlineStr">
        <is>
          <t>Only valid in HDs 620, 621, and 622. Not valid on CMR refuge. Permit must be used with a valid General Elk License. Holders may not hunt Antlered Elk in any other HD during these described season dates.</t>
        </is>
      </c>
    </row>
    <row r="604">
      <c r="A604" s="4" t="inlineStr">
        <is>
          <t>620</t>
        </is>
      </c>
      <c r="B604" s="4" t="inlineStr">
        <is>
          <t>elk</t>
        </is>
      </c>
      <c r="C604" s="4" t="inlineStr">
        <is>
          <t>Elk Permit: 620-21</t>
        </is>
      </c>
      <c r="D604" s="15" t="inlineStr">
        <is>
          <t>Drawing</t>
        </is>
      </c>
      <c r="E604" s="4" t="inlineStr">
        <is>
          <t>Either-sex Elk</t>
        </is>
      </c>
      <c r="F604" s="4" t="inlineStr">
        <is>
          <t>Sep 05-Oct 18</t>
        </is>
      </c>
      <c r="G604" s="4" t="n"/>
      <c r="H604" s="4" t="n"/>
      <c r="I604" s="4" t="n"/>
      <c r="J604" s="4" t="inlineStr">
        <is>
          <t>April 1</t>
        </is>
      </c>
      <c r="K604" s="4" t="inlineStr">
        <is>
          <t>1,000</t>
        </is>
      </c>
      <c r="L604" s="4" t="inlineStr">
        <is>
          <t>1st and 2nd choice only. Only valid in HDs 620, 621, and 622. Permit must be used with a valid General Elk License. Holders may not hunt Antlered Elk in any other HD during these described season dates. 2026 Deer • Elk • Antelope Visit fwp.mt.gov LICENSE/PERMIT OPPORTUNITY APPL Y BY DATE QUOTA QUOTA</t>
        </is>
      </c>
    </row>
    <row r="605">
      <c r="A605" s="4" t="inlineStr">
        <is>
          <t>621</t>
        </is>
      </c>
      <c r="B605" s="4" t="inlineStr">
        <is>
          <t>elk</t>
        </is>
      </c>
      <c r="C605" s="4" t="inlineStr">
        <is>
          <t>Elk B License: 621-01</t>
        </is>
      </c>
      <c r="D605" s="15" t="inlineStr">
        <is>
          <t>Drawing</t>
        </is>
      </c>
      <c r="E605" s="4" t="inlineStr">
        <is>
          <t>Antlerless Elk</t>
        </is>
      </c>
      <c r="F605" s="4" t="inlineStr">
        <is>
          <t>Sep 05-Oct 18</t>
        </is>
      </c>
      <c r="G605" s="4" t="inlineStr">
        <is>
          <t>Oct 24-Nov 29</t>
        </is>
      </c>
      <c r="H605" s="4" t="inlineStr">
        <is>
          <t>Dec 12-Dec 20</t>
        </is>
      </c>
      <c r="I605" s="4" t="n"/>
      <c r="J605" s="4" t="inlineStr">
        <is>
          <t>Jun 1</t>
        </is>
      </c>
      <c r="K605" s="4" t="inlineStr">
        <is>
          <t>100</t>
        </is>
      </c>
      <c r="L605" s="4" t="inlineStr">
        <is>
          <t>Only valid in HD 620 and HD 621.</t>
        </is>
      </c>
    </row>
    <row r="606">
      <c r="A606" s="4" t="inlineStr">
        <is>
          <t>621</t>
        </is>
      </c>
      <c r="B606" s="4" t="inlineStr">
        <is>
          <t>elk</t>
        </is>
      </c>
      <c r="C606" s="4" t="inlineStr">
        <is>
          <t>Elk B License: 698-00</t>
        </is>
      </c>
      <c r="D606" s="15" t="inlineStr">
        <is>
          <t>Drawing</t>
        </is>
      </c>
      <c r="E606" s="4" t="inlineStr">
        <is>
          <t>Antlerless Elk</t>
        </is>
      </c>
      <c r="F606" s="4" t="inlineStr">
        <is>
          <t>Sep 05-Oct 18</t>
        </is>
      </c>
      <c r="G606" s="4" t="inlineStr">
        <is>
          <t>Oct 24-Nov 29</t>
        </is>
      </c>
      <c r="H606" s="4" t="inlineStr">
        <is>
          <t>Dec 12-Dec 20</t>
        </is>
      </c>
      <c r="I606" s="4" t="n"/>
      <c r="J606" s="4" t="inlineStr">
        <is>
          <t>Jun 1</t>
        </is>
      </c>
      <c r="K606" s="4" t="inlineStr">
        <is>
          <t>100</t>
        </is>
      </c>
      <c r="L606" s="4" t="inlineStr">
        <is>
          <t>Valid in HDs 620, 621, 622. Not valid on CMR Refuge.</t>
        </is>
      </c>
    </row>
    <row r="607">
      <c r="A607" s="4" t="inlineStr">
        <is>
          <t>621</t>
        </is>
      </c>
      <c r="B607" s="4" t="inlineStr">
        <is>
          <t>elk</t>
        </is>
      </c>
      <c r="C607" s="4" t="inlineStr">
        <is>
          <t>Elk B License: 699-01</t>
        </is>
      </c>
      <c r="D607" s="15" t="inlineStr">
        <is>
          <t>Drawing</t>
        </is>
      </c>
      <c r="E607" s="4" t="inlineStr">
        <is>
          <t>Antlerless Elk</t>
        </is>
      </c>
      <c r="F607" s="4" t="n"/>
      <c r="G607" s="4" t="inlineStr">
        <is>
          <t>Oct 22-Nov 29</t>
        </is>
      </c>
      <c r="H607" s="4" t="inlineStr">
        <is>
          <t>Dec 12-Dec 20</t>
        </is>
      </c>
      <c r="I607" s="4" t="n"/>
      <c r="J607" s="4" t="inlineStr">
        <is>
          <t>Jun 1</t>
        </is>
      </c>
      <c r="K607" s="4" t="inlineStr">
        <is>
          <t>150</t>
        </is>
      </c>
      <c r="L607" s="4" t="inlineStr">
        <is>
          <t>Only youth ages 12-15. Only valid in HDs 620, 621, 622, 630, and 690.</t>
        </is>
      </c>
    </row>
    <row r="608">
      <c r="A608" s="4" t="inlineStr">
        <is>
          <t>621</t>
        </is>
      </c>
      <c r="B608" s="4" t="inlineStr">
        <is>
          <t>elk</t>
        </is>
      </c>
      <c r="C608" s="4" t="inlineStr">
        <is>
          <t>Elk Permit: 620-20</t>
        </is>
      </c>
      <c r="D608" s="15" t="inlineStr">
        <is>
          <t>Drawing</t>
        </is>
      </c>
      <c r="E608" s="4" t="inlineStr">
        <is>
          <t>Either-sex Elk</t>
        </is>
      </c>
      <c r="F608" s="4" t="n"/>
      <c r="G608" s="4" t="inlineStr">
        <is>
          <t>Oct 24-Nov 29</t>
        </is>
      </c>
      <c r="H608" s="4" t="inlineStr">
        <is>
          <t>Dec 12-Dec 20</t>
        </is>
      </c>
      <c r="I608" s="4" t="n"/>
      <c r="J608" s="4" t="inlineStr">
        <is>
          <t>April 1</t>
        </is>
      </c>
      <c r="K608" s="4" t="inlineStr">
        <is>
          <t>70</t>
        </is>
      </c>
      <c r="L608" s="4" t="inlineStr">
        <is>
          <t>Only valid in HDs 620, 621, and 622. Not valid on CMR refuge. Permit must be used with a valid General Elk License. Holders may not hunt Antlered Elk in any other HD during these described season dates.</t>
        </is>
      </c>
    </row>
    <row r="609">
      <c r="A609" s="4" t="inlineStr">
        <is>
          <t>621</t>
        </is>
      </c>
      <c r="B609" s="4" t="inlineStr">
        <is>
          <t>elk</t>
        </is>
      </c>
      <c r="C609" s="4" t="inlineStr">
        <is>
          <t>Elk Permit: 620-21</t>
        </is>
      </c>
      <c r="D609" s="15" t="inlineStr">
        <is>
          <t>Drawing</t>
        </is>
      </c>
      <c r="E609" s="4" t="inlineStr">
        <is>
          <t>Either-sex Elk</t>
        </is>
      </c>
      <c r="F609" s="4" t="inlineStr">
        <is>
          <t>Sep 05-Oct 18</t>
        </is>
      </c>
      <c r="G609" s="4" t="n"/>
      <c r="H609" s="4" t="n"/>
      <c r="I609" s="4" t="n"/>
      <c r="J609" s="4" t="inlineStr">
        <is>
          <t>April 1</t>
        </is>
      </c>
      <c r="K609" s="4" t="inlineStr">
        <is>
          <t>1,000</t>
        </is>
      </c>
      <c r="L609" s="4" t="inlineStr">
        <is>
          <t>1st and 2nd choice only. Only valid in HDs 620, 621, and 622. Permit must be used with a valid General Elk License. Holders may not hunt Antlered Elk in any other HD during these described season dates.</t>
        </is>
      </c>
    </row>
    <row r="610">
      <c r="A610" s="4" t="inlineStr">
        <is>
          <t>621</t>
        </is>
      </c>
      <c r="B610" s="4" t="inlineStr">
        <is>
          <t>elk</t>
        </is>
      </c>
      <c r="C610" s="4" t="inlineStr">
        <is>
          <t>Elk Permit: 621-20</t>
        </is>
      </c>
      <c r="D610" s="15" t="inlineStr">
        <is>
          <t>Drawing</t>
        </is>
      </c>
      <c r="E610" s="4" t="inlineStr">
        <is>
          <t>Either-sex Elk</t>
        </is>
      </c>
      <c r="F610" s="4" t="n"/>
      <c r="G610" s="4" t="inlineStr">
        <is>
          <t>Oct 24-Nov 29</t>
        </is>
      </c>
      <c r="H610" s="4" t="inlineStr">
        <is>
          <t>Dec 12-Dec 20</t>
        </is>
      </c>
      <c r="I610" s="4" t="n"/>
      <c r="J610" s="4" t="inlineStr">
        <is>
          <t>April 1</t>
        </is>
      </c>
      <c r="K610" s="4" t="inlineStr">
        <is>
          <t>50</t>
        </is>
      </c>
      <c r="L610" s="4" t="inlineStr">
        <is>
          <t>Permit must be used with a valid General Elk License. Holders may not hunt Antlered Elk in any other HD during these described season dates.</t>
        </is>
      </c>
    </row>
    <row r="611">
      <c r="A611" s="4" t="inlineStr">
        <is>
          <t>622</t>
        </is>
      </c>
      <c r="B611" s="4" t="inlineStr">
        <is>
          <t>elk</t>
        </is>
      </c>
      <c r="C611" s="4" t="inlineStr">
        <is>
          <t>Elk B License: 622-00</t>
        </is>
      </c>
      <c r="D611" s="15" t="inlineStr">
        <is>
          <t>Drawing</t>
        </is>
      </c>
      <c r="E611" s="4" t="inlineStr">
        <is>
          <t>Antlerless Elk</t>
        </is>
      </c>
      <c r="F611" s="4" t="inlineStr">
        <is>
          <t>Sep 05-Oct 18</t>
        </is>
      </c>
      <c r="G611" s="4" t="inlineStr">
        <is>
          <t>Oct 24-Nov 29</t>
        </is>
      </c>
      <c r="H611" s="4" t="inlineStr">
        <is>
          <t>Dec 12-Dec 20</t>
        </is>
      </c>
      <c r="I611" s="4" t="n"/>
      <c r="J611" s="4" t="inlineStr">
        <is>
          <t>Jun 1</t>
        </is>
      </c>
      <c r="K611" s="4" t="inlineStr">
        <is>
          <t>50</t>
        </is>
      </c>
      <c r="L611" s="4" t="inlineStr">
        <is>
          <t>Only valid in HDs 620 and 622.</t>
        </is>
      </c>
    </row>
    <row r="612">
      <c r="A612" s="4" t="inlineStr">
        <is>
          <t>622</t>
        </is>
      </c>
      <c r="B612" s="4" t="inlineStr">
        <is>
          <t>elk</t>
        </is>
      </c>
      <c r="C612" s="4" t="inlineStr">
        <is>
          <t>Elk B License: 698-00</t>
        </is>
      </c>
      <c r="D612" s="15" t="inlineStr">
        <is>
          <t>Drawing</t>
        </is>
      </c>
      <c r="E612" s="4" t="inlineStr">
        <is>
          <t>Antlerless Elk</t>
        </is>
      </c>
      <c r="F612" s="4" t="inlineStr">
        <is>
          <t>Sep 05-Oct 18</t>
        </is>
      </c>
      <c r="G612" s="4" t="inlineStr">
        <is>
          <t>Oct 24-Nov 29</t>
        </is>
      </c>
      <c r="H612" s="4" t="inlineStr">
        <is>
          <t>Dec 12-Dec 20</t>
        </is>
      </c>
      <c r="I612" s="4" t="n"/>
      <c r="J612" s="4" t="inlineStr">
        <is>
          <t>Jun 1</t>
        </is>
      </c>
      <c r="K612" s="4" t="inlineStr">
        <is>
          <t>100</t>
        </is>
      </c>
      <c r="L612" s="4" t="inlineStr">
        <is>
          <t>Valid in HDs 620, 621, 622. Not valid on CMR Refuge.</t>
        </is>
      </c>
    </row>
    <row r="613">
      <c r="A613" s="4" t="inlineStr">
        <is>
          <t>622</t>
        </is>
      </c>
      <c r="B613" s="4" t="inlineStr">
        <is>
          <t>elk</t>
        </is>
      </c>
      <c r="C613" s="4" t="inlineStr">
        <is>
          <t>Elk B License: 699-01</t>
        </is>
      </c>
      <c r="D613" s="15" t="inlineStr">
        <is>
          <t>Drawing</t>
        </is>
      </c>
      <c r="E613" s="4" t="inlineStr">
        <is>
          <t>Antlerless Elk</t>
        </is>
      </c>
      <c r="F613" s="4" t="n"/>
      <c r="G613" s="4" t="inlineStr">
        <is>
          <t>Oct 22-Nov 29</t>
        </is>
      </c>
      <c r="H613" s="4" t="inlineStr">
        <is>
          <t>Dec 12-Dec 20</t>
        </is>
      </c>
      <c r="I613" s="4" t="n"/>
      <c r="J613" s="4" t="inlineStr">
        <is>
          <t>Jun 1</t>
        </is>
      </c>
      <c r="K613" s="4" t="inlineStr">
        <is>
          <t>150</t>
        </is>
      </c>
      <c r="L613" s="4" t="inlineStr">
        <is>
          <t>Only youth ages 12-15. Only valid in HDs 620, 621, 622, 630, and 690.</t>
        </is>
      </c>
    </row>
    <row r="614">
      <c r="A614" s="4" t="inlineStr">
        <is>
          <t>622</t>
        </is>
      </c>
      <c r="B614" s="4" t="inlineStr">
        <is>
          <t>elk</t>
        </is>
      </c>
      <c r="C614" s="4" t="inlineStr">
        <is>
          <t>Elk Permit: 620-20</t>
        </is>
      </c>
      <c r="D614" s="15" t="inlineStr">
        <is>
          <t>Drawing</t>
        </is>
      </c>
      <c r="E614" s="4" t="inlineStr">
        <is>
          <t>Either-sex Elk</t>
        </is>
      </c>
      <c r="F614" s="4" t="n"/>
      <c r="G614" s="4" t="inlineStr">
        <is>
          <t>Oct 24-Nov 29</t>
        </is>
      </c>
      <c r="H614" s="4" t="inlineStr">
        <is>
          <t>Dec 12-Dec 20</t>
        </is>
      </c>
      <c r="I614" s="4" t="n"/>
      <c r="J614" s="4" t="inlineStr">
        <is>
          <t>April 1</t>
        </is>
      </c>
      <c r="K614" s="4" t="inlineStr">
        <is>
          <t>70</t>
        </is>
      </c>
      <c r="L614" s="4" t="inlineStr">
        <is>
          <t>Only valid in HDs 620, 621, and 622. Not valid on CMR refuge. Permit must be used with a valid General Elk License. Holders may not hunt Antlered Elk in any other HD during these described season dates.</t>
        </is>
      </c>
    </row>
    <row r="615">
      <c r="A615" s="4" t="inlineStr">
        <is>
          <t>622</t>
        </is>
      </c>
      <c r="B615" s="4" t="inlineStr">
        <is>
          <t>elk</t>
        </is>
      </c>
      <c r="C615" s="4" t="inlineStr">
        <is>
          <t>Elk Permit: 620-21</t>
        </is>
      </c>
      <c r="D615" s="15" t="inlineStr">
        <is>
          <t>Drawing</t>
        </is>
      </c>
      <c r="E615" s="4" t="inlineStr">
        <is>
          <t>Either-sex Elk</t>
        </is>
      </c>
      <c r="F615" s="4" t="inlineStr">
        <is>
          <t>Sep 05-Oct 18</t>
        </is>
      </c>
      <c r="G615" s="4" t="n"/>
      <c r="H615" s="4" t="n"/>
      <c r="I615" s="4" t="n"/>
      <c r="J615" s="4" t="inlineStr">
        <is>
          <t>April 1</t>
        </is>
      </c>
      <c r="K615" s="4" t="inlineStr">
        <is>
          <t>1,000</t>
        </is>
      </c>
      <c r="L615" s="4" t="inlineStr">
        <is>
          <t>1st and 2nd choice only. Only valid in HDs 620, 621, and 622. Permit must be used with a valid General Elk License. Holders may not hunt Antlered Elk in any other HD during these described season dates.</t>
        </is>
      </c>
    </row>
    <row r="616">
      <c r="A616" s="4" t="inlineStr">
        <is>
          <t>622</t>
        </is>
      </c>
      <c r="B616" s="4" t="inlineStr">
        <is>
          <t>elk</t>
        </is>
      </c>
      <c r="C616" s="4" t="inlineStr">
        <is>
          <t>Elk Permit: 622-20</t>
        </is>
      </c>
      <c r="D616" s="15" t="inlineStr">
        <is>
          <t>Drawing</t>
        </is>
      </c>
      <c r="E616" s="4" t="inlineStr">
        <is>
          <t>Either-sex Elk</t>
        </is>
      </c>
      <c r="F616" s="4" t="n"/>
      <c r="G616" s="4" t="inlineStr">
        <is>
          <t>Oct 24-Nov 29</t>
        </is>
      </c>
      <c r="H616" s="4" t="inlineStr">
        <is>
          <t>Dec 12-Dec 20</t>
        </is>
      </c>
      <c r="I616" s="4" t="n"/>
      <c r="J616" s="4" t="inlineStr">
        <is>
          <t>April 1</t>
        </is>
      </c>
      <c r="K616" s="4" t="inlineStr">
        <is>
          <t>60</t>
        </is>
      </c>
      <c r="L616" s="4" t="inlineStr">
        <is>
          <t>Permit must be used with a valid General Elk License. Holders may not hunt Antlered Elk in any other HD during these described season dates.</t>
        </is>
      </c>
    </row>
    <row r="617">
      <c r="A617" s="4" t="inlineStr">
        <is>
          <t>630</t>
        </is>
      </c>
      <c r="B617" s="4" t="inlineStr">
        <is>
          <t>elk</t>
        </is>
      </c>
      <c r="C617" s="4" t="inlineStr">
        <is>
          <t>Elk B License: 630-00</t>
        </is>
      </c>
      <c r="D617" s="15" t="inlineStr">
        <is>
          <t>Drawing</t>
        </is>
      </c>
      <c r="E617" s="4" t="inlineStr">
        <is>
          <t>Antlerless Elk</t>
        </is>
      </c>
      <c r="F617" s="4" t="inlineStr">
        <is>
          <t>Sep 05-Oct 18</t>
        </is>
      </c>
      <c r="G617" s="4" t="inlineStr">
        <is>
          <t>Oct 24-Nov 29</t>
        </is>
      </c>
      <c r="H617" s="4" t="inlineStr">
        <is>
          <t>Dec 12-Dec 20</t>
        </is>
      </c>
      <c r="I617" s="4" t="n"/>
      <c r="J617" s="4" t="inlineStr">
        <is>
          <t>Jun 1</t>
        </is>
      </c>
      <c r="K617" s="4" t="inlineStr">
        <is>
          <t>50</t>
        </is>
      </c>
      <c r="L617" s="4" t="n"/>
    </row>
    <row r="618">
      <c r="A618" s="4" t="inlineStr">
        <is>
          <t>630</t>
        </is>
      </c>
      <c r="B618" s="4" t="inlineStr">
        <is>
          <t>elk</t>
        </is>
      </c>
      <c r="C618" s="4" t="inlineStr">
        <is>
          <t>Elk B License: 699-01</t>
        </is>
      </c>
      <c r="D618" s="15" t="inlineStr">
        <is>
          <t>Drawing</t>
        </is>
      </c>
      <c r="E618" s="4" t="inlineStr">
        <is>
          <t>Antlerless Elk</t>
        </is>
      </c>
      <c r="F618" s="4" t="n"/>
      <c r="G618" s="4" t="inlineStr">
        <is>
          <t>Oct 22-Nov 29</t>
        </is>
      </c>
      <c r="H618" s="4" t="inlineStr">
        <is>
          <t>Dec 12-Dec 20</t>
        </is>
      </c>
      <c r="I618" s="4" t="n"/>
      <c r="J618" s="4" t="inlineStr">
        <is>
          <t>Jun 1</t>
        </is>
      </c>
      <c r="K618" s="4" t="inlineStr">
        <is>
          <t>150</t>
        </is>
      </c>
      <c r="L618" s="4" t="inlineStr">
        <is>
          <t>Only youth ages 12-15. Only valid in HDs 620, 621, 622, 630, and 690.</t>
        </is>
      </c>
    </row>
    <row r="619">
      <c r="A619" s="4" t="inlineStr">
        <is>
          <t>630</t>
        </is>
      </c>
      <c r="B619" s="4" t="inlineStr">
        <is>
          <t>elk</t>
        </is>
      </c>
      <c r="C619" s="4" t="inlineStr">
        <is>
          <t>Elk Permit: 630-20</t>
        </is>
      </c>
      <c r="D619" s="15" t="inlineStr">
        <is>
          <t>Drawing</t>
        </is>
      </c>
      <c r="E619" s="4" t="inlineStr">
        <is>
          <t>Either-sex Elk</t>
        </is>
      </c>
      <c r="F619" s="4" t="n"/>
      <c r="G619" s="4" t="inlineStr">
        <is>
          <t>Oct 24-Nov 29</t>
        </is>
      </c>
      <c r="H619" s="4" t="inlineStr">
        <is>
          <t>Dec 12-Dec 20</t>
        </is>
      </c>
      <c r="I619" s="4" t="n"/>
      <c r="J619" s="4" t="inlineStr">
        <is>
          <t>April 1</t>
        </is>
      </c>
      <c r="K619" s="4" t="inlineStr">
        <is>
          <t>25</t>
        </is>
      </c>
      <c r="L619" s="4" t="inlineStr">
        <is>
          <t>Permit must be used with a valid General Elk License. Holders may not hunt Antlered Elk in any other HD during these described season dates.</t>
        </is>
      </c>
    </row>
    <row r="620">
      <c r="A620" s="4" t="inlineStr">
        <is>
          <t>630</t>
        </is>
      </c>
      <c r="B620" s="4" t="inlineStr">
        <is>
          <t>elk</t>
        </is>
      </c>
      <c r="C620" s="4" t="inlineStr">
        <is>
          <t>Elk Permit: 630-21</t>
        </is>
      </c>
      <c r="D620" s="15" t="inlineStr">
        <is>
          <t>Drawing</t>
        </is>
      </c>
      <c r="E620" s="4" t="inlineStr">
        <is>
          <t>Either-sex Elk</t>
        </is>
      </c>
      <c r="F620" s="4" t="inlineStr">
        <is>
          <t>Sep 05-Oct 18</t>
        </is>
      </c>
      <c r="G620" s="4" t="n"/>
      <c r="H620" s="4" t="n"/>
      <c r="I620" s="4" t="n"/>
      <c r="J620" s="4" t="inlineStr">
        <is>
          <t>April 1</t>
        </is>
      </c>
      <c r="K620" s="4" t="inlineStr">
        <is>
          <t>100</t>
        </is>
      </c>
      <c r="L620" s="4" t="inlineStr">
        <is>
          <t xml:space="preserve">Permit must be used with a valid General Elk License. Holders may not hunt Antlered Elk in any other HD during these described season dates. 2026 Deer • Elk • Antelope Visit fwp.mt.gov LICENSE/PERMIT OPPORTUNITY APPL Y BY DATE QUOTA QUOTA RANGE EARL Y SEASON DATES ARCHERY ONL Y SEASON DATES GENERAL </t>
        </is>
      </c>
    </row>
    <row r="621">
      <c r="A621" s="4" t="inlineStr">
        <is>
          <t>640</t>
        </is>
      </c>
      <c r="B621" s="4" t="inlineStr">
        <is>
          <t>elk</t>
        </is>
      </c>
      <c r="C621" s="4" t="inlineStr">
        <is>
          <t>General Elk License</t>
        </is>
      </c>
      <c r="D621" s="13" t="inlineStr">
        <is>
          <t>General license</t>
        </is>
      </c>
      <c r="E621" s="4" t="inlineStr">
        <is>
          <t>Either-sex Elk</t>
        </is>
      </c>
      <c r="F621" s="4" t="inlineStr">
        <is>
          <t>Sep 05-Oct 18</t>
        </is>
      </c>
      <c r="G621" s="4" t="inlineStr">
        <is>
          <t>Oct 24-Nov 29</t>
        </is>
      </c>
      <c r="H621" s="4" t="inlineStr">
        <is>
          <t>Dec 12-Dec 20</t>
        </is>
      </c>
      <c r="I621" s="4" t="n"/>
      <c r="J621" s="4" t="n"/>
      <c r="K621" s="4" t="n"/>
      <c r="L621" s="4" t="n"/>
    </row>
    <row r="622">
      <c r="A622" s="4" t="inlineStr">
        <is>
          <t>650</t>
        </is>
      </c>
      <c r="B622" s="4" t="inlineStr">
        <is>
          <t>elk</t>
        </is>
      </c>
      <c r="C622" s="4" t="inlineStr">
        <is>
          <t>General Elk License</t>
        </is>
      </c>
      <c r="D622" s="13" t="inlineStr">
        <is>
          <t>General license</t>
        </is>
      </c>
      <c r="E622" s="4" t="inlineStr">
        <is>
          <t>Either-sex Elk</t>
        </is>
      </c>
      <c r="F622" s="4" t="inlineStr">
        <is>
          <t>Sep 05-Oct 18</t>
        </is>
      </c>
      <c r="G622" s="4" t="inlineStr">
        <is>
          <t>Oct 24-Nov 29</t>
        </is>
      </c>
      <c r="H622" s="4" t="inlineStr">
        <is>
          <t>Dec 12-Dec 20</t>
        </is>
      </c>
      <c r="I622" s="4" t="n"/>
      <c r="J622" s="4" t="n"/>
      <c r="K622" s="4" t="n"/>
      <c r="L622" s="4" t="n"/>
    </row>
    <row r="623">
      <c r="A623" s="4" t="inlineStr">
        <is>
          <t>652</t>
        </is>
      </c>
      <c r="B623" s="4" t="inlineStr">
        <is>
          <t>elk</t>
        </is>
      </c>
      <c r="C623" s="4" t="inlineStr">
        <is>
          <t>General Elk License</t>
        </is>
      </c>
      <c r="D623" s="13" t="inlineStr">
        <is>
          <t>General license</t>
        </is>
      </c>
      <c r="E623" s="4" t="inlineStr">
        <is>
          <t>Either-sex Elk</t>
        </is>
      </c>
      <c r="F623" s="4" t="inlineStr">
        <is>
          <t>Sep 05-Oct 18</t>
        </is>
      </c>
      <c r="G623" s="4" t="inlineStr">
        <is>
          <t>Oct 24-Nov 29</t>
        </is>
      </c>
      <c r="H623" s="4" t="inlineStr">
        <is>
          <t>Dec 12-Dec 20</t>
        </is>
      </c>
      <c r="I623" s="4" t="n"/>
      <c r="J623" s="4" t="n"/>
      <c r="K623" s="4" t="n"/>
      <c r="L623" s="4" t="inlineStr">
        <is>
          <t>117 LICENSE/PERMIT OPPORTUNITY APPL Y BY DATE QUOTA QUOTA RANGE EARL Y SEASON DATES ARCHERY ONL Y SEASON DATES GENERAL SEASON DATES HERITAGE MUZZLELOADER SEASON DATES LATE SEASON DATES OPPORTUNITY SPECIFIC DETAILS AND/ORRESTRICTIONS</t>
        </is>
      </c>
    </row>
    <row r="624">
      <c r="A624" s="4" t="inlineStr">
        <is>
          <t>670</t>
        </is>
      </c>
      <c r="B624" s="4" t="inlineStr">
        <is>
          <t>elk</t>
        </is>
      </c>
      <c r="C624" s="4" t="inlineStr">
        <is>
          <t>General Elk License</t>
        </is>
      </c>
      <c r="D624" s="13" t="inlineStr">
        <is>
          <t>General license</t>
        </is>
      </c>
      <c r="E624" s="4" t="inlineStr">
        <is>
          <t>Either-sex Elk</t>
        </is>
      </c>
      <c r="F624" s="4" t="inlineStr">
        <is>
          <t>Sep 05-Oct 18</t>
        </is>
      </c>
      <c r="G624" s="4" t="inlineStr">
        <is>
          <t>Oct 24-Nov 29</t>
        </is>
      </c>
      <c r="H624" s="4" t="inlineStr">
        <is>
          <t>Dec 12-Dec 20</t>
        </is>
      </c>
      <c r="I624" s="4" t="n"/>
      <c r="J624" s="4" t="n"/>
      <c r="K624" s="4" t="n"/>
      <c r="L624" s="4" t="n"/>
    </row>
    <row r="625">
      <c r="A625" s="4" t="inlineStr">
        <is>
          <t>690</t>
        </is>
      </c>
      <c r="B625" s="4" t="inlineStr">
        <is>
          <t>elk</t>
        </is>
      </c>
      <c r="C625" s="4" t="inlineStr">
        <is>
          <t>General Elk License</t>
        </is>
      </c>
      <c r="D625" s="13" t="inlineStr">
        <is>
          <t>General license</t>
        </is>
      </c>
      <c r="E625" s="4" t="inlineStr">
        <is>
          <t>Antlerless Elk</t>
        </is>
      </c>
      <c r="F625" s="4" t="n"/>
      <c r="G625" s="4" t="inlineStr">
        <is>
          <t>Oct 24-Nov 29</t>
        </is>
      </c>
      <c r="H625" s="4" t="inlineStr">
        <is>
          <t>Dec 12-Dec 20</t>
        </is>
      </c>
      <c r="I625" s="4" t="n"/>
      <c r="J625" s="4" t="n"/>
      <c r="K625" s="4" t="n"/>
      <c r="L625" s="4" t="n"/>
    </row>
    <row r="626">
      <c r="A626" s="4" t="inlineStr">
        <is>
          <t>690</t>
        </is>
      </c>
      <c r="B626" s="4" t="inlineStr">
        <is>
          <t>elk</t>
        </is>
      </c>
      <c r="C626" s="4" t="inlineStr">
        <is>
          <t>Elk B License: 690-01</t>
        </is>
      </c>
      <c r="D626" s="15" t="inlineStr">
        <is>
          <t>Drawing</t>
        </is>
      </c>
      <c r="E626" s="4" t="inlineStr">
        <is>
          <t>Antlerless Elk</t>
        </is>
      </c>
      <c r="F626" s="4" t="n"/>
      <c r="G626" s="4" t="inlineStr">
        <is>
          <t>Oct 24-Nov 29</t>
        </is>
      </c>
      <c r="H626" s="4" t="inlineStr">
        <is>
          <t>Dec 12-Dec 20</t>
        </is>
      </c>
      <c r="I626" s="4" t="inlineStr">
        <is>
          <t>Dec 06-Jan 31</t>
        </is>
      </c>
      <c r="J626" s="4" t="inlineStr">
        <is>
          <t>Jun 1</t>
        </is>
      </c>
      <c r="K626" s="4" t="inlineStr">
        <is>
          <t>450</t>
        </is>
      </c>
      <c r="L626" s="4" t="inlineStr">
        <is>
          <t>690-01 license holders may use General Elk License to harvest 2nd antlerless elk in the same area and for the same duration the 690-01 is valid.</t>
        </is>
      </c>
    </row>
    <row r="627">
      <c r="A627" s="4" t="inlineStr">
        <is>
          <t>690</t>
        </is>
      </c>
      <c r="B627" s="4" t="inlineStr">
        <is>
          <t>elk</t>
        </is>
      </c>
      <c r="C627" s="4" t="inlineStr">
        <is>
          <t>Elk B License: 699-01</t>
        </is>
      </c>
      <c r="D627" s="15" t="inlineStr">
        <is>
          <t>Drawing</t>
        </is>
      </c>
      <c r="E627" s="4" t="inlineStr">
        <is>
          <t>Antlerless Elk</t>
        </is>
      </c>
      <c r="F627" s="4" t="n"/>
      <c r="G627" s="4" t="inlineStr">
        <is>
          <t>Oct 22-Nov 29</t>
        </is>
      </c>
      <c r="H627" s="4" t="inlineStr">
        <is>
          <t>Dec 12-Dec 20</t>
        </is>
      </c>
      <c r="I627" s="4" t="n"/>
      <c r="J627" s="4" t="inlineStr">
        <is>
          <t>Jun 1</t>
        </is>
      </c>
      <c r="K627" s="4" t="inlineStr">
        <is>
          <t>150</t>
        </is>
      </c>
      <c r="L627" s="4" t="inlineStr">
        <is>
          <t>Only youth ages 12-15. Only valid in HDs 620, 621, 622, 630 and 690.</t>
        </is>
      </c>
    </row>
    <row r="628">
      <c r="A628" s="4" t="inlineStr">
        <is>
          <t>690</t>
        </is>
      </c>
      <c r="B628" s="4" t="inlineStr">
        <is>
          <t>elk</t>
        </is>
      </c>
      <c r="C628" s="4" t="inlineStr">
        <is>
          <t>Elk Permit: 690-20</t>
        </is>
      </c>
      <c r="D628" s="15" t="inlineStr">
        <is>
          <t>Drawing</t>
        </is>
      </c>
      <c r="E628" s="4" t="inlineStr">
        <is>
          <t>Either-sex Elk</t>
        </is>
      </c>
      <c r="F628" s="4" t="n"/>
      <c r="G628" s="4" t="inlineStr">
        <is>
          <t>Oct 24-Nov 29</t>
        </is>
      </c>
      <c r="H628" s="4" t="inlineStr">
        <is>
          <t>Dec 12-Dec 20</t>
        </is>
      </c>
      <c r="I628" s="4" t="n"/>
      <c r="J628" s="4" t="inlineStr">
        <is>
          <t>April 1</t>
        </is>
      </c>
      <c r="K628" s="4" t="inlineStr">
        <is>
          <t>50</t>
        </is>
      </c>
      <c r="L628" s="4" t="inlineStr">
        <is>
          <t>Permit must be used with a valid General Elk License. Holders may not hunt Antlered Elk in any other HD during these described season dates.</t>
        </is>
      </c>
    </row>
    <row r="629">
      <c r="A629" s="4" t="inlineStr">
        <is>
          <t>690</t>
        </is>
      </c>
      <c r="B629" s="4" t="inlineStr">
        <is>
          <t>elk</t>
        </is>
      </c>
      <c r="C629" s="4" t="inlineStr">
        <is>
          <t>Elk Permit: 690-21</t>
        </is>
      </c>
      <c r="D629" s="15" t="inlineStr">
        <is>
          <t>Drawing</t>
        </is>
      </c>
      <c r="E629" s="4" t="inlineStr">
        <is>
          <t>Either-sex Elk</t>
        </is>
      </c>
      <c r="F629" s="4" t="inlineStr">
        <is>
          <t>Sep 05-Oct 18</t>
        </is>
      </c>
      <c r="G629" s="4" t="n"/>
      <c r="H629" s="4" t="n"/>
      <c r="I629" s="4" t="n"/>
      <c r="J629" s="4" t="inlineStr">
        <is>
          <t>April 1</t>
        </is>
      </c>
      <c r="K629" s="4" t="inlineStr">
        <is>
          <t>50</t>
        </is>
      </c>
      <c r="L629" s="4" t="inlineStr">
        <is>
          <t xml:space="preserve">Permit must be used with a valid General Elk License. Holders may not hunt Antlered Elk in any other HD during these described season dates. 2026 Deer • Elk • Antelope Visit fwp.mt.gov LICENSE/PERMIT OPPORTUNITY APPL Y BY DATE QUOTA QUOTA RANGE EARL Y SEASON DATES ARCHERY ONL Y SEASON DATES GENERAL </t>
        </is>
      </c>
    </row>
    <row r="630">
      <c r="A630" s="4" t="inlineStr">
        <is>
          <t>700</t>
        </is>
      </c>
      <c r="B630" s="4" t="inlineStr">
        <is>
          <t>elk</t>
        </is>
      </c>
      <c r="C630" s="4" t="inlineStr">
        <is>
          <t>Elk B License: 007-00</t>
        </is>
      </c>
      <c r="D630" s="15" t="inlineStr">
        <is>
          <t>Drawing</t>
        </is>
      </c>
      <c r="E630" s="4" t="inlineStr">
        <is>
          <t>Antlerless Elk</t>
        </is>
      </c>
      <c r="F630" s="4" t="inlineStr">
        <is>
          <t>Sep 05-Oct 18</t>
        </is>
      </c>
      <c r="G630" s="4" t="n"/>
      <c r="H630" s="4" t="n"/>
      <c r="I630" s="4" t="n"/>
      <c r="J630" s="4" t="inlineStr">
        <is>
          <t>Jun 1</t>
        </is>
      </c>
      <c r="K630" s="4" t="inlineStr">
        <is>
          <t>800</t>
        </is>
      </c>
      <c r="L630" s="4" t="inlineStr">
        <is>
          <t>Valid in all Region 7 HDs. Not valid on National Forest lands or CMR Refuge. Valid in all Region 7 HDs.</t>
        </is>
      </c>
    </row>
    <row r="631">
      <c r="A631" s="4" t="inlineStr">
        <is>
          <t>700</t>
        </is>
      </c>
      <c r="B631" s="4" t="inlineStr">
        <is>
          <t>elk</t>
        </is>
      </c>
      <c r="C631" s="4" t="inlineStr">
        <is>
          <t>Elk B License: 700-00</t>
        </is>
      </c>
      <c r="D631" s="15" t="inlineStr">
        <is>
          <t>Drawing</t>
        </is>
      </c>
      <c r="E631" s="4" t="inlineStr">
        <is>
          <t>Antlerless Elk</t>
        </is>
      </c>
      <c r="F631" s="4" t="inlineStr">
        <is>
          <t>Sep 05-Oct 18</t>
        </is>
      </c>
      <c r="G631" s="4" t="inlineStr">
        <is>
          <t>Oct 24-Nov 29</t>
        </is>
      </c>
      <c r="H631" s="4" t="inlineStr">
        <is>
          <t>Dec 12-Dec 20</t>
        </is>
      </c>
      <c r="I631" s="4" t="n"/>
      <c r="J631" s="4" t="inlineStr">
        <is>
          <t>Jun 1</t>
        </is>
      </c>
      <c r="K631" s="4" t="inlineStr">
        <is>
          <t>700</t>
        </is>
      </c>
      <c r="L631" s="4" t="n"/>
    </row>
    <row r="632">
      <c r="A632" s="4" t="inlineStr">
        <is>
          <t>700</t>
        </is>
      </c>
      <c r="B632" s="4" t="inlineStr">
        <is>
          <t>elk</t>
        </is>
      </c>
      <c r="C632" s="4" t="inlineStr">
        <is>
          <t>Elk Permit: 700-20</t>
        </is>
      </c>
      <c r="D632" s="15" t="inlineStr">
        <is>
          <t>Drawing</t>
        </is>
      </c>
      <c r="E632" s="4" t="inlineStr">
        <is>
          <t>Either-sex Elk</t>
        </is>
      </c>
      <c r="F632" s="4" t="inlineStr">
        <is>
          <t>Sep 05-Oct 18</t>
        </is>
      </c>
      <c r="G632" s="4" t="inlineStr">
        <is>
          <t>Oct 24-Nov 29</t>
        </is>
      </c>
      <c r="H632" s="4" t="inlineStr">
        <is>
          <t>Dec 12-Dec 20</t>
        </is>
      </c>
      <c r="I632" s="4" t="n"/>
      <c r="J632" s="4" t="inlineStr">
        <is>
          <t>April 1</t>
        </is>
      </c>
      <c r="K632" s="4" t="inlineStr">
        <is>
          <t>250</t>
        </is>
      </c>
      <c r="L632" s="4" t="inlineStr">
        <is>
          <t>Permit must be used with a valid General Elk License. Holders may not hunt Antlered Elk in any other HD during these described season dates.</t>
        </is>
      </c>
    </row>
    <row r="633">
      <c r="A633" s="4" t="inlineStr">
        <is>
          <t>700</t>
        </is>
      </c>
      <c r="B633" s="4" t="inlineStr">
        <is>
          <t>elk</t>
        </is>
      </c>
      <c r="C633" s="4" t="inlineStr">
        <is>
          <t>Elk Permit: 700-21</t>
        </is>
      </c>
      <c r="D633" s="15" t="inlineStr">
        <is>
          <t>Drawing</t>
        </is>
      </c>
      <c r="E633" s="4" t="inlineStr">
        <is>
          <t>Either-sex Elk</t>
        </is>
      </c>
      <c r="F633" s="4" t="inlineStr">
        <is>
          <t>Sep 05-Oct 18</t>
        </is>
      </c>
      <c r="G633" s="4" t="n"/>
      <c r="H633" s="4" t="n"/>
      <c r="I633" s="4" t="n"/>
      <c r="J633" s="4" t="inlineStr">
        <is>
          <t>April 1</t>
        </is>
      </c>
      <c r="K633" s="4" t="inlineStr">
        <is>
          <t>800</t>
        </is>
      </c>
      <c r="L633" s="4" t="inlineStr">
        <is>
          <t>1st and 2nd choice only. Permit must be used with a valid General Elk License. Holders may not hunt Antlered Elk in any other HD during these described season dates.</t>
        </is>
      </c>
    </row>
    <row r="634">
      <c r="A634" s="4" t="inlineStr">
        <is>
          <t>701</t>
        </is>
      </c>
      <c r="B634" s="4" t="inlineStr">
        <is>
          <t>elk</t>
        </is>
      </c>
      <c r="C634" s="4" t="inlineStr">
        <is>
          <t>General Elk License</t>
        </is>
      </c>
      <c r="D634" s="13" t="inlineStr">
        <is>
          <t>General license</t>
        </is>
      </c>
      <c r="E634" s="4" t="inlineStr">
        <is>
          <t>Antlerless Elk</t>
        </is>
      </c>
      <c r="F634" s="4" t="n"/>
      <c r="G634" s="4" t="n"/>
      <c r="H634" s="4" t="n"/>
      <c r="I634" s="4" t="n"/>
      <c r="J634" s="4" t="n"/>
      <c r="K634" s="4" t="n"/>
      <c r="L634" s="4" t="inlineStr">
        <is>
          <t>Valid in portion of HD 701 north of the Yellowstone River, south of Hwy 12 and west of Sumatra- Hysham Rd. Only valid on private land.</t>
        </is>
      </c>
    </row>
    <row r="635">
      <c r="A635" s="4" t="inlineStr">
        <is>
          <t>701</t>
        </is>
      </c>
      <c r="B635" s="4" t="inlineStr">
        <is>
          <t>elk</t>
        </is>
      </c>
      <c r="C635" s="4" t="inlineStr">
        <is>
          <t>General Elk License</t>
        </is>
      </c>
      <c r="D635" s="13" t="inlineStr">
        <is>
          <t>General license</t>
        </is>
      </c>
      <c r="E635" s="4" t="inlineStr">
        <is>
          <t>Either-sex Elk</t>
        </is>
      </c>
      <c r="F635" s="4" t="inlineStr">
        <is>
          <t>Sep 05-Oct 18</t>
        </is>
      </c>
      <c r="G635" s="4" t="inlineStr">
        <is>
          <t>Oct 24-Nov 29</t>
        </is>
      </c>
      <c r="H635" s="4" t="inlineStr">
        <is>
          <t>Dec 12-Dec 20</t>
        </is>
      </c>
      <c r="I635" s="4" t="n"/>
      <c r="J635" s="4" t="n"/>
      <c r="K635" s="4" t="n"/>
      <c r="L635" s="4" t="inlineStr">
        <is>
          <t>Only valid outside the portion of HD 701 north of Yellowstone River, south of Hwy 12 and west of Sumatra-Hysham Rd.</t>
        </is>
      </c>
    </row>
    <row r="636">
      <c r="A636" s="4" t="inlineStr">
        <is>
          <t>701</t>
        </is>
      </c>
      <c r="B636" s="4" t="inlineStr">
        <is>
          <t>elk</t>
        </is>
      </c>
      <c r="C636" s="4" t="inlineStr">
        <is>
          <t>General Elk License</t>
        </is>
      </c>
      <c r="D636" s="13" t="inlineStr">
        <is>
          <t>General license</t>
        </is>
      </c>
      <c r="E636" s="4" t="inlineStr">
        <is>
          <t>Spike Bull or Antlerless Elk</t>
        </is>
      </c>
      <c r="F636" s="4" t="inlineStr">
        <is>
          <t>Sep 05-Oct 18</t>
        </is>
      </c>
      <c r="G636" s="4" t="inlineStr">
        <is>
          <t>Oct 24-Nov 29</t>
        </is>
      </c>
      <c r="H636" s="4" t="inlineStr">
        <is>
          <t>Dec 12-Dec 20</t>
        </is>
      </c>
      <c r="I636" s="4" t="n"/>
      <c r="J636" s="4" t="n"/>
      <c r="K636" s="4" t="n"/>
      <c r="L636" s="4" t="inlineStr">
        <is>
          <t>Valid in portion of HD 701 north of the Yellowstone River, south of Hwy 12 and west of Sumatra- Hysham Rd.</t>
        </is>
      </c>
    </row>
    <row r="637">
      <c r="A637" s="4" t="inlineStr">
        <is>
          <t>701</t>
        </is>
      </c>
      <c r="B637" s="4" t="inlineStr">
        <is>
          <t>elk</t>
        </is>
      </c>
      <c r="C637" s="4" t="inlineStr">
        <is>
          <t>Elk B License: 007-00</t>
        </is>
      </c>
      <c r="D637" s="15" t="inlineStr">
        <is>
          <t>Drawing</t>
        </is>
      </c>
      <c r="E637" s="4" t="inlineStr">
        <is>
          <t>Antlerless Elk</t>
        </is>
      </c>
      <c r="F637" s="4" t="inlineStr">
        <is>
          <t>Sep 05-Oct 18</t>
        </is>
      </c>
      <c r="G637" s="4" t="n"/>
      <c r="H637" s="4" t="n"/>
      <c r="I637" s="4" t="n"/>
      <c r="J637" s="4" t="inlineStr">
        <is>
          <t>Jun 1</t>
        </is>
      </c>
      <c r="K637" s="4" t="inlineStr">
        <is>
          <t>800</t>
        </is>
      </c>
      <c r="L637" s="4" t="inlineStr">
        <is>
          <t>Valid in all Region 7 HDs. Not valid on National Forest lands or CMR Refuge. Valid in all Region 7 HDs.</t>
        </is>
      </c>
    </row>
    <row r="638">
      <c r="A638" s="4" t="inlineStr">
        <is>
          <t>701</t>
        </is>
      </c>
      <c r="B638" s="4" t="inlineStr">
        <is>
          <t>elk</t>
        </is>
      </c>
      <c r="C638" s="4" t="inlineStr">
        <is>
          <t>Elk Permit: 590-20</t>
        </is>
      </c>
      <c r="D638" s="15" t="inlineStr">
        <is>
          <t>Drawing</t>
        </is>
      </c>
      <c r="E638" s="4" t="inlineStr">
        <is>
          <t>Either-sex Elk</t>
        </is>
      </c>
      <c r="F638" s="4" t="inlineStr">
        <is>
          <t>Sep 05-Oct 18</t>
        </is>
      </c>
      <c r="G638" s="4" t="inlineStr">
        <is>
          <t>Oct 24-Nov 29</t>
        </is>
      </c>
      <c r="H638" s="4" t="inlineStr">
        <is>
          <t>Dec 12-Dec 20</t>
        </is>
      </c>
      <c r="I638" s="4" t="n"/>
      <c r="J638" s="4" t="inlineStr">
        <is>
          <t>April 1</t>
        </is>
      </c>
      <c r="K638" s="4" t="inlineStr">
        <is>
          <t>380</t>
        </is>
      </c>
      <c r="L638" s="4" t="inlineStr">
        <is>
          <t>Valid in HD 590 and portion of HD 701 north of the Yellowstone River, south of Hwy 12 and west of Sumatra-Hysham Rd. Permit must be used with a valid General Elk License. Holders may not hunt Antlered Elk in any other HD during these described season dates.</t>
        </is>
      </c>
    </row>
    <row r="639">
      <c r="A639" s="4" t="inlineStr">
        <is>
          <t>701</t>
        </is>
      </c>
      <c r="B639" s="4" t="inlineStr">
        <is>
          <t>elk</t>
        </is>
      </c>
      <c r="C639" s="4" t="inlineStr">
        <is>
          <t>Elk Permit: 595-21</t>
        </is>
      </c>
      <c r="D639" s="15" t="inlineStr">
        <is>
          <t>Drawing</t>
        </is>
      </c>
      <c r="E639" s="4" t="inlineStr">
        <is>
          <t>Either-sex Elk</t>
        </is>
      </c>
      <c r="F639" s="4" t="inlineStr">
        <is>
          <t>Sep 05-Oct 18</t>
        </is>
      </c>
      <c r="G639" s="4" t="n"/>
      <c r="H639" s="4" t="n"/>
      <c r="I639" s="4" t="n"/>
      <c r="J639" s="4" t="inlineStr">
        <is>
          <t>April 1</t>
        </is>
      </c>
      <c r="K639" s="4" t="inlineStr">
        <is>
          <t>1,800</t>
        </is>
      </c>
      <c r="L639" s="4" t="inlineStr">
        <is>
          <t>1st and only choice. Valid in HDs 502, 535, 555, 590 and a portion of HD 701 north of the Yellowstone River, south of Hwy 12, west of Sumatra-Hysham Rd. Permit must be used with a valid General Elk License. Holders may not hunt Antlered Elk in any other HD during these described season dates.</t>
        </is>
      </c>
    </row>
    <row r="640">
      <c r="A640" s="4" t="inlineStr">
        <is>
          <t>701</t>
        </is>
      </c>
      <c r="B640" s="4" t="inlineStr">
        <is>
          <t>elk</t>
        </is>
      </c>
      <c r="C640" s="4" t="inlineStr">
        <is>
          <t>Elk B License: 005-00</t>
        </is>
      </c>
      <c r="D640" s="4" t="inlineStr">
        <is>
          <t>Over the counter</t>
        </is>
      </c>
      <c r="E640" s="4" t="inlineStr">
        <is>
          <t>Antlerless Elk</t>
        </is>
      </c>
      <c r="F640" s="4" t="inlineStr">
        <is>
          <t>Sep 05-Oct 18</t>
        </is>
      </c>
      <c r="G640" s="4" t="inlineStr">
        <is>
          <t>Oct 24-Nov 29</t>
        </is>
      </c>
      <c r="H640" s="4" t="inlineStr">
        <is>
          <t>Dec 12-Dec 20</t>
        </is>
      </c>
      <c r="I640" s="4" t="inlineStr">
        <is>
          <t>Nov 30-Feb 15</t>
        </is>
      </c>
      <c r="J640" s="4" t="inlineStr">
        <is>
          <t>OTC: Jun 15</t>
        </is>
      </c>
      <c r="K640" s="4" t="inlineStr">
        <is>
          <t>UNL</t>
        </is>
      </c>
      <c r="L640" s="4" t="inlineStr">
        <is>
          <t>Valid in portion of HD 701 north of the Yellowstone River, south of Hwy 12 and west of Sumatra- Hysham Rd.</t>
        </is>
      </c>
    </row>
    <row r="641">
      <c r="A641" s="4" t="inlineStr">
        <is>
          <t>702</t>
        </is>
      </c>
      <c r="B641" s="4" t="inlineStr">
        <is>
          <t>elk</t>
        </is>
      </c>
      <c r="C641" s="4" t="inlineStr">
        <is>
          <t>General Elk License</t>
        </is>
      </c>
      <c r="D641" s="13" t="inlineStr">
        <is>
          <t>General license</t>
        </is>
      </c>
      <c r="E641" s="4" t="inlineStr">
        <is>
          <t>Spike Bull or Antlerless Elk</t>
        </is>
      </c>
      <c r="F641" s="4" t="inlineStr">
        <is>
          <t>Sep 05-Oct 18</t>
        </is>
      </c>
      <c r="G641" s="4" t="inlineStr">
        <is>
          <t>Oct 24-Nov 29</t>
        </is>
      </c>
      <c r="H641" s="4" t="inlineStr">
        <is>
          <t>Dec 12-Dec 20</t>
        </is>
      </c>
      <c r="I641" s="4" t="n"/>
      <c r="J641" s="4" t="n"/>
      <c r="K641" s="4" t="n"/>
      <c r="L641" s="4" t="n"/>
    </row>
    <row r="642">
      <c r="A642" s="4" t="inlineStr">
        <is>
          <t>702</t>
        </is>
      </c>
      <c r="B642" s="4" t="inlineStr">
        <is>
          <t>elk</t>
        </is>
      </c>
      <c r="C642" s="4" t="inlineStr">
        <is>
          <t>General Elk License</t>
        </is>
      </c>
      <c r="D642" s="13" t="inlineStr">
        <is>
          <t>General license</t>
        </is>
      </c>
      <c r="E642" s="4" t="inlineStr">
        <is>
          <t>Antlerless Elk</t>
        </is>
      </c>
      <c r="F642" s="4" t="n"/>
      <c r="G642" s="4" t="n"/>
      <c r="H642" s="4" t="n"/>
      <c r="I642" s="4" t="inlineStr">
        <is>
          <t>Nov 30-Feb 15</t>
        </is>
      </c>
      <c r="J642" s="4" t="n"/>
      <c r="K642" s="4" t="n"/>
      <c r="L642" s="4" t="inlineStr">
        <is>
          <t>Only valid on private land.</t>
        </is>
      </c>
    </row>
    <row r="643">
      <c r="A643" s="4" t="inlineStr">
        <is>
          <t>702</t>
        </is>
      </c>
      <c r="B643" s="4" t="inlineStr">
        <is>
          <t>elk</t>
        </is>
      </c>
      <c r="C643" s="4" t="inlineStr">
        <is>
          <t>Elk B License: 007-00</t>
        </is>
      </c>
      <c r="D643" s="15" t="inlineStr">
        <is>
          <t>Drawing</t>
        </is>
      </c>
      <c r="E643" s="4" t="inlineStr">
        <is>
          <t>Antlerless Elk</t>
        </is>
      </c>
      <c r="F643" s="4" t="inlineStr">
        <is>
          <t>Sep 05-Oct 18</t>
        </is>
      </c>
      <c r="G643" s="4" t="n"/>
      <c r="H643" s="4" t="n"/>
      <c r="I643" s="4" t="n"/>
      <c r="J643" s="4" t="inlineStr">
        <is>
          <t>Jun 1</t>
        </is>
      </c>
      <c r="K643" s="4" t="inlineStr">
        <is>
          <t>800</t>
        </is>
      </c>
      <c r="L643" s="4" t="inlineStr">
        <is>
          <t>Valid in all Region 7 HDs. Not valid on National Forest lands or CMR Refuge. Valid in all Region 7 HDs. Only valid on private land.</t>
        </is>
      </c>
    </row>
    <row r="644">
      <c r="A644" s="4" t="inlineStr">
        <is>
          <t>702</t>
        </is>
      </c>
      <c r="B644" s="4" t="inlineStr">
        <is>
          <t>elk</t>
        </is>
      </c>
      <c r="C644" s="4" t="inlineStr">
        <is>
          <t>Elk B License: 700-00</t>
        </is>
      </c>
      <c r="D644" s="15" t="inlineStr">
        <is>
          <t>Drawing</t>
        </is>
      </c>
      <c r="E644" s="4" t="inlineStr">
        <is>
          <t>Antlerless Elk</t>
        </is>
      </c>
      <c r="F644" s="4" t="n"/>
      <c r="G644" s="4" t="n"/>
      <c r="H644" s="4" t="n"/>
      <c r="I644" s="4" t="inlineStr">
        <is>
          <t>Nov 30-Feb 15</t>
        </is>
      </c>
      <c r="J644" s="4" t="inlineStr">
        <is>
          <t>Jun 1</t>
        </is>
      </c>
      <c r="K644" s="4" t="inlineStr">
        <is>
          <t>700</t>
        </is>
      </c>
      <c r="L644" s="4" t="inlineStr">
        <is>
          <t>Only valid on private land.</t>
        </is>
      </c>
    </row>
    <row r="645">
      <c r="A645" s="4" t="inlineStr">
        <is>
          <t>702</t>
        </is>
      </c>
      <c r="B645" s="4" t="inlineStr">
        <is>
          <t>elk</t>
        </is>
      </c>
      <c r="C645" s="4" t="inlineStr">
        <is>
          <t>Elk B License: 799-00</t>
        </is>
      </c>
      <c r="D645" s="15" t="inlineStr">
        <is>
          <t>Drawing</t>
        </is>
      </c>
      <c r="E645" s="4" t="inlineStr">
        <is>
          <t>Antlerless Elk</t>
        </is>
      </c>
      <c r="F645" s="4" t="inlineStr">
        <is>
          <t>Sep 05-Oct 18</t>
        </is>
      </c>
      <c r="G645" s="4" t="inlineStr">
        <is>
          <t>Oct 24-Nov 29</t>
        </is>
      </c>
      <c r="H645" s="4" t="inlineStr">
        <is>
          <t>Dec 12-Dec 20</t>
        </is>
      </c>
      <c r="I645" s="4" t="n"/>
      <c r="J645" s="4" t="inlineStr">
        <is>
          <t>Jun 1</t>
        </is>
      </c>
      <c r="K645" s="4" t="inlineStr">
        <is>
          <t>600</t>
        </is>
      </c>
      <c r="L645" s="4" t="inlineStr">
        <is>
          <t>Only valid in HDs 702, 704, and 705. Only valid on private land in HDs 702, 704, and 705.</t>
        </is>
      </c>
    </row>
    <row r="646">
      <c r="A646" s="4" t="inlineStr">
        <is>
          <t>702</t>
        </is>
      </c>
      <c r="B646" s="4" t="inlineStr">
        <is>
          <t>elk</t>
        </is>
      </c>
      <c r="C646" s="4" t="inlineStr">
        <is>
          <t>Elk Permit: 702-20</t>
        </is>
      </c>
      <c r="D646" s="15" t="inlineStr">
        <is>
          <t>Drawing</t>
        </is>
      </c>
      <c r="E646" s="4" t="inlineStr">
        <is>
          <t>Either-sex Elk</t>
        </is>
      </c>
      <c r="F646" s="4" t="inlineStr">
        <is>
          <t>Sep 05-Oct 18</t>
        </is>
      </c>
      <c r="G646" s="4" t="inlineStr">
        <is>
          <t>Oct 24-Nov 29</t>
        </is>
      </c>
      <c r="H646" s="4" t="inlineStr">
        <is>
          <t>Dec 12-Dec 20</t>
        </is>
      </c>
      <c r="I646" s="4" t="n"/>
      <c r="J646" s="4" t="inlineStr">
        <is>
          <t>April 1</t>
        </is>
      </c>
      <c r="K646" s="4" t="inlineStr">
        <is>
          <t>150</t>
        </is>
      </c>
      <c r="L646" s="4" t="inlineStr">
        <is>
          <t>Not valid on National Forest lands. Permit only valid in HD 702. Successful Either-sex elk permit 702-20 applicants may be ofered the opportunity to purchase one antlerless Elk B 798-00 License valid only where pemit is valid during the same time periods and with the same restrictions. Permit must b</t>
        </is>
      </c>
    </row>
    <row r="647">
      <c r="A647" s="4" t="inlineStr">
        <is>
          <t>702</t>
        </is>
      </c>
      <c r="B647" s="4" t="inlineStr">
        <is>
          <t>elk</t>
        </is>
      </c>
      <c r="C647" s="4" t="inlineStr">
        <is>
          <t>Elk Permit: 799-20</t>
        </is>
      </c>
      <c r="D647" s="15" t="inlineStr">
        <is>
          <t>Drawing</t>
        </is>
      </c>
      <c r="E647" s="4" t="inlineStr">
        <is>
          <t>Either-sex Elk</t>
        </is>
      </c>
      <c r="F647" s="4" t="inlineStr">
        <is>
          <t>Sep 05-Oct 18</t>
        </is>
      </c>
      <c r="G647" s="4" t="inlineStr">
        <is>
          <t>Oct 24-Nov 29</t>
        </is>
      </c>
      <c r="H647" s="4" t="inlineStr">
        <is>
          <t>Dec 12-Dec 20</t>
        </is>
      </c>
      <c r="I647" s="4" t="n"/>
      <c r="J647" s="4" t="inlineStr">
        <is>
          <t>April 1</t>
        </is>
      </c>
      <c r="K647" s="4" t="inlineStr">
        <is>
          <t>325</t>
        </is>
      </c>
      <c r="L647" s="4" t="inlineStr">
        <is>
          <t>1st and only choice. Only valid in HDs 702, 704, and 705. Permit must be used with a valid General Elk License. Holders may not hunt Antlered Elk in any other HD during these described season dates. Successful Either- sex elk permit 799-20 applicants may be ofered the opportunity to purchase one ant</t>
        </is>
      </c>
    </row>
    <row r="648">
      <c r="A648" s="4" t="inlineStr">
        <is>
          <t>702</t>
        </is>
      </c>
      <c r="B648" s="4" t="inlineStr">
        <is>
          <t>elk</t>
        </is>
      </c>
      <c r="C648" s="4" t="inlineStr">
        <is>
          <t>Elk Permit: 799-21</t>
        </is>
      </c>
      <c r="D648" s="15" t="inlineStr">
        <is>
          <t>Drawing</t>
        </is>
      </c>
      <c r="E648" s="4" t="inlineStr">
        <is>
          <t>Either-sex Elk</t>
        </is>
      </c>
      <c r="F648" s="4" t="inlineStr">
        <is>
          <t>Sep 05-Oct 18</t>
        </is>
      </c>
      <c r="G648" s="4" t="n"/>
      <c r="H648" s="4" t="n"/>
      <c r="I648" s="4" t="n"/>
      <c r="J648" s="4" t="inlineStr">
        <is>
          <t>April 1</t>
        </is>
      </c>
      <c r="K648" s="4" t="inlineStr">
        <is>
          <t>1,000</t>
        </is>
      </c>
      <c r="L648" s="4" t="inlineStr">
        <is>
          <t>1st and only choice. Only valid in HDs 702, 704, and 705. Permit must be used with a valid General Elk License. Holders may not hunt Antlered Elk in any other HD during these described season dates. Successful Either- sex elk permit 799-21 applicants may be ofered the opportunity to purchase one ant</t>
        </is>
      </c>
    </row>
    <row r="649">
      <c r="A649" s="4" t="inlineStr">
        <is>
          <t>703</t>
        </is>
      </c>
      <c r="B649" s="4" t="inlineStr">
        <is>
          <t>elk</t>
        </is>
      </c>
      <c r="C649" s="4" t="inlineStr">
        <is>
          <t>General Elk License</t>
        </is>
      </c>
      <c r="D649" s="13" t="inlineStr">
        <is>
          <t>General license</t>
        </is>
      </c>
      <c r="E649" s="4" t="inlineStr">
        <is>
          <t>Either-sex Elk</t>
        </is>
      </c>
      <c r="F649" s="4" t="inlineStr">
        <is>
          <t>Sep 05-Oct 18</t>
        </is>
      </c>
      <c r="G649" s="4" t="inlineStr">
        <is>
          <t>Oct 24-Nov 29</t>
        </is>
      </c>
      <c r="H649" s="4" t="inlineStr">
        <is>
          <t>Dec 12-Dec 20</t>
        </is>
      </c>
      <c r="I649" s="4" t="n"/>
      <c r="J649" s="4" t="n"/>
      <c r="K649" s="4" t="n"/>
      <c r="L649" s="4" t="n"/>
    </row>
    <row r="650">
      <c r="A650" s="4" t="inlineStr">
        <is>
          <t>703</t>
        </is>
      </c>
      <c r="B650" s="4" t="inlineStr">
        <is>
          <t>elk</t>
        </is>
      </c>
      <c r="C650" s="4" t="inlineStr">
        <is>
          <t>Elk B License: 007-00</t>
        </is>
      </c>
      <c r="D650" s="15" t="inlineStr">
        <is>
          <t>Drawing</t>
        </is>
      </c>
      <c r="E650" s="4" t="inlineStr">
        <is>
          <t>Antlerless Elk</t>
        </is>
      </c>
      <c r="F650" s="4" t="inlineStr">
        <is>
          <t>Sep 05-Oct 18</t>
        </is>
      </c>
      <c r="G650" s="4" t="n"/>
      <c r="H650" s="4" t="n"/>
      <c r="I650" s="4" t="n"/>
      <c r="J650" s="4" t="inlineStr">
        <is>
          <t>Jun 1</t>
        </is>
      </c>
      <c r="K650" s="4" t="inlineStr">
        <is>
          <t>800</t>
        </is>
      </c>
      <c r="L650" s="4" t="inlineStr">
        <is>
          <t>Valid in all Region 7 HDs. Not valid on National Forest lands or CMR Refuge. Valid in all Region 7 HDs. LICENSE/PERMIT OPPORTUNITY APPL Y BY DATE QUOTA QUOTA RANGE EARL Y SEASON DATES ARCHERY ONL Y SEASON DATES GENERAL SEASON DATES HERITAGE MUZZLELOADER SEASON DATES LATE SEASON DATES OPPORTUNITY SPE</t>
        </is>
      </c>
    </row>
    <row r="651">
      <c r="A651" s="4" t="inlineStr">
        <is>
          <t>704</t>
        </is>
      </c>
      <c r="B651" s="4" t="inlineStr">
        <is>
          <t>elk</t>
        </is>
      </c>
      <c r="C651" s="4" t="inlineStr">
        <is>
          <t>General Elk License</t>
        </is>
      </c>
      <c r="D651" s="13" t="inlineStr">
        <is>
          <t>General license</t>
        </is>
      </c>
      <c r="E651" s="4" t="inlineStr">
        <is>
          <t>Spike Bull or Antlerless Elk</t>
        </is>
      </c>
      <c r="F651" s="4" t="inlineStr">
        <is>
          <t>Sep 05-Oct 18</t>
        </is>
      </c>
      <c r="G651" s="4" t="n"/>
      <c r="H651" s="4" t="n"/>
      <c r="I651" s="4" t="n"/>
      <c r="J651" s="4" t="n"/>
      <c r="K651" s="4" t="n"/>
      <c r="L651" s="4" t="inlineStr">
        <is>
          <t>Not valid on National Forest lands.</t>
        </is>
      </c>
    </row>
    <row r="652">
      <c r="A652" s="4" t="inlineStr">
        <is>
          <t>704</t>
        </is>
      </c>
      <c r="B652" s="4" t="inlineStr">
        <is>
          <t>elk</t>
        </is>
      </c>
      <c r="C652" s="4" t="inlineStr">
        <is>
          <t>General Elk License</t>
        </is>
      </c>
      <c r="D652" s="13" t="inlineStr">
        <is>
          <t>General license</t>
        </is>
      </c>
      <c r="E652" s="4" t="inlineStr">
        <is>
          <t>Antlerless Elk</t>
        </is>
      </c>
      <c r="F652" s="4" t="n"/>
      <c r="G652" s="4" t="n"/>
      <c r="H652" s="4" t="n"/>
      <c r="I652" s="4" t="inlineStr">
        <is>
          <t>Nov 30-Feb 15</t>
        </is>
      </c>
      <c r="J652" s="4" t="n"/>
      <c r="K652" s="4" t="n"/>
      <c r="L652" s="4" t="inlineStr">
        <is>
          <t>Only valid on private land.</t>
        </is>
      </c>
    </row>
    <row r="653">
      <c r="A653" s="4" t="inlineStr">
        <is>
          <t>704</t>
        </is>
      </c>
      <c r="B653" s="4" t="inlineStr">
        <is>
          <t>elk</t>
        </is>
      </c>
      <c r="C653" s="4" t="inlineStr">
        <is>
          <t>Elk B License: 007-00</t>
        </is>
      </c>
      <c r="D653" s="15" t="inlineStr">
        <is>
          <t>Drawing</t>
        </is>
      </c>
      <c r="E653" s="4" t="inlineStr">
        <is>
          <t>Antlerless Elk</t>
        </is>
      </c>
      <c r="F653" s="4" t="inlineStr">
        <is>
          <t>Sep 05-Oct 18</t>
        </is>
      </c>
      <c r="G653" s="4" t="n"/>
      <c r="H653" s="4" t="n"/>
      <c r="I653" s="4" t="n"/>
      <c r="J653" s="4" t="inlineStr">
        <is>
          <t>Jun 1</t>
        </is>
      </c>
      <c r="K653" s="4" t="inlineStr">
        <is>
          <t>800</t>
        </is>
      </c>
      <c r="L653" s="4" t="inlineStr">
        <is>
          <t>Valid in all Region 7 HDs. Not valid on National Forest lands or CMR Refuge. Valid in all Region 7 HDs. Only valid on private land.</t>
        </is>
      </c>
    </row>
    <row r="654">
      <c r="A654" s="4" t="inlineStr">
        <is>
          <t>704</t>
        </is>
      </c>
      <c r="B654" s="4" t="inlineStr">
        <is>
          <t>elk</t>
        </is>
      </c>
      <c r="C654" s="4" t="inlineStr">
        <is>
          <t>Elk B License: 700-00</t>
        </is>
      </c>
      <c r="D654" s="15" t="inlineStr">
        <is>
          <t>Drawing</t>
        </is>
      </c>
      <c r="E654" s="4" t="inlineStr">
        <is>
          <t>Antlerless Elk</t>
        </is>
      </c>
      <c r="F654" s="4" t="n"/>
      <c r="G654" s="4" t="n"/>
      <c r="H654" s="4" t="n"/>
      <c r="I654" s="4" t="inlineStr">
        <is>
          <t>Nov 30-Feb 15</t>
        </is>
      </c>
      <c r="J654" s="4" t="inlineStr">
        <is>
          <t>Jun 1</t>
        </is>
      </c>
      <c r="K654" s="4" t="inlineStr">
        <is>
          <t>700</t>
        </is>
      </c>
      <c r="L654" s="4" t="inlineStr">
        <is>
          <t>Only valid on private land.</t>
        </is>
      </c>
    </row>
    <row r="655">
      <c r="A655" s="4" t="inlineStr">
        <is>
          <t>704</t>
        </is>
      </c>
      <c r="B655" s="4" t="inlineStr">
        <is>
          <t>elk</t>
        </is>
      </c>
      <c r="C655" s="4" t="inlineStr">
        <is>
          <t>Elk B License: 799-00</t>
        </is>
      </c>
      <c r="D655" s="15" t="inlineStr">
        <is>
          <t>Drawing</t>
        </is>
      </c>
      <c r="E655" s="4" t="inlineStr">
        <is>
          <t>Antlerless Elk</t>
        </is>
      </c>
      <c r="F655" s="4" t="inlineStr">
        <is>
          <t>Sep 05-Oct 18</t>
        </is>
      </c>
      <c r="G655" s="4" t="inlineStr">
        <is>
          <t>Oct 24-Nov 29</t>
        </is>
      </c>
      <c r="H655" s="4" t="inlineStr">
        <is>
          <t>Dec 12-Dec 20</t>
        </is>
      </c>
      <c r="I655" s="4" t="n"/>
      <c r="J655" s="4" t="inlineStr">
        <is>
          <t>Jun 1</t>
        </is>
      </c>
      <c r="K655" s="4" t="inlineStr">
        <is>
          <t>600</t>
        </is>
      </c>
      <c r="L655" s="4" t="inlineStr">
        <is>
          <t>Only valid in HDs 702, 704, and 705. Only valid on private land in HDs 702, 704, and 705.</t>
        </is>
      </c>
    </row>
    <row r="656">
      <c r="A656" s="4" t="inlineStr">
        <is>
          <t>704</t>
        </is>
      </c>
      <c r="B656" s="4" t="inlineStr">
        <is>
          <t>elk</t>
        </is>
      </c>
      <c r="C656" s="4" t="inlineStr">
        <is>
          <t>Elk Permit: 799-20</t>
        </is>
      </c>
      <c r="D656" s="15" t="inlineStr">
        <is>
          <t>Drawing</t>
        </is>
      </c>
      <c r="E656" s="4" t="inlineStr">
        <is>
          <t>Either-sex Elk</t>
        </is>
      </c>
      <c r="F656" s="4" t="inlineStr">
        <is>
          <t>Sep 05-Oct 18</t>
        </is>
      </c>
      <c r="G656" s="4" t="inlineStr">
        <is>
          <t>Oct 24-Nov 29</t>
        </is>
      </c>
      <c r="H656" s="4" t="inlineStr">
        <is>
          <t>Dec 12-Dec 20</t>
        </is>
      </c>
      <c r="I656" s="4" t="n"/>
      <c r="J656" s="4" t="inlineStr">
        <is>
          <t>April 1</t>
        </is>
      </c>
      <c r="K656" s="4" t="inlineStr">
        <is>
          <t>325</t>
        </is>
      </c>
      <c r="L656" s="4" t="inlineStr">
        <is>
          <t>1st and only choice. Only valid in HDs 702, 704, and 705. Permit must be used with a valid General Elk License. Holders may not hunt Antlered Elk in any other HD during these described season dates. Successful Either- sex elk permit 799-20 applicants may be ofered the opportunity to purchase one ant</t>
        </is>
      </c>
    </row>
    <row r="657">
      <c r="A657" s="4" t="inlineStr">
        <is>
          <t>704</t>
        </is>
      </c>
      <c r="B657" s="4" t="inlineStr">
        <is>
          <t>elk</t>
        </is>
      </c>
      <c r="C657" s="4" t="inlineStr">
        <is>
          <t>Elk Permit: 799-21</t>
        </is>
      </c>
      <c r="D657" s="15" t="inlineStr">
        <is>
          <t>Drawing</t>
        </is>
      </c>
      <c r="E657" s="4" t="inlineStr">
        <is>
          <t>Either-sex Elk</t>
        </is>
      </c>
      <c r="F657" s="4" t="inlineStr">
        <is>
          <t>Sep 05-Oct 18</t>
        </is>
      </c>
      <c r="G657" s="4" t="n"/>
      <c r="H657" s="4" t="n"/>
      <c r="I657" s="4" t="n"/>
      <c r="J657" s="4" t="inlineStr">
        <is>
          <t>April 1</t>
        </is>
      </c>
      <c r="K657" s="4" t="inlineStr">
        <is>
          <t>1,000</t>
        </is>
      </c>
      <c r="L657" s="4" t="inlineStr">
        <is>
          <t>1st and only choice. Only valid in HDs 702, 704, and 705. Permit must be used with a valid General Elk License. Holders may not hunt Antlered Elk in any other HD during these described season dates. Successful Either- sex elk permit 799-21 applicants may be ofered the opportunity to purchase one ant</t>
        </is>
      </c>
    </row>
    <row r="658">
      <c r="A658" s="4" t="inlineStr">
        <is>
          <t>705</t>
        </is>
      </c>
      <c r="B658" s="4" t="inlineStr">
        <is>
          <t>elk</t>
        </is>
      </c>
      <c r="C658" s="4" t="inlineStr">
        <is>
          <t>General Elk License</t>
        </is>
      </c>
      <c r="D658" s="13" t="inlineStr">
        <is>
          <t>General license</t>
        </is>
      </c>
      <c r="E658" s="4" t="inlineStr">
        <is>
          <t>Spike Bull or Antlerless Elk</t>
        </is>
      </c>
      <c r="F658" s="4" t="inlineStr">
        <is>
          <t>Sep 05-Oct 18</t>
        </is>
      </c>
      <c r="G658" s="4" t="n"/>
      <c r="H658" s="4" t="n"/>
      <c r="I658" s="4" t="n"/>
      <c r="J658" s="4" t="n"/>
      <c r="K658" s="4" t="n"/>
      <c r="L658" s="4" t="inlineStr">
        <is>
          <t>Not valid on National Forest lands.</t>
        </is>
      </c>
    </row>
    <row r="659">
      <c r="A659" s="4" t="inlineStr">
        <is>
          <t>705</t>
        </is>
      </c>
      <c r="B659" s="4" t="inlineStr">
        <is>
          <t>elk</t>
        </is>
      </c>
      <c r="C659" s="4" t="inlineStr">
        <is>
          <t>General Elk License</t>
        </is>
      </c>
      <c r="D659" s="13" t="inlineStr">
        <is>
          <t>General license</t>
        </is>
      </c>
      <c r="E659" s="4" t="inlineStr">
        <is>
          <t>Antlerless Elk</t>
        </is>
      </c>
      <c r="F659" s="4" t="n"/>
      <c r="G659" s="4" t="n"/>
      <c r="H659" s="4" t="n"/>
      <c r="I659" s="4" t="inlineStr">
        <is>
          <t>Nov 30-Feb 15</t>
        </is>
      </c>
      <c r="J659" s="4" t="n"/>
      <c r="K659" s="4" t="n"/>
      <c r="L659" s="4" t="inlineStr">
        <is>
          <t>Only valid on private land.</t>
        </is>
      </c>
    </row>
    <row r="660">
      <c r="A660" s="4" t="inlineStr">
        <is>
          <t>705</t>
        </is>
      </c>
      <c r="B660" s="4" t="inlineStr">
        <is>
          <t>elk</t>
        </is>
      </c>
      <c r="C660" s="4" t="inlineStr">
        <is>
          <t>Elk B License: 007-00</t>
        </is>
      </c>
      <c r="D660" s="15" t="inlineStr">
        <is>
          <t>Drawing</t>
        </is>
      </c>
      <c r="E660" s="4" t="inlineStr">
        <is>
          <t>Antlerless Elk</t>
        </is>
      </c>
      <c r="F660" s="4" t="inlineStr">
        <is>
          <t>Sep 05-Oct 18</t>
        </is>
      </c>
      <c r="G660" s="4" t="n"/>
      <c r="H660" s="4" t="n"/>
      <c r="I660" s="4" t="n"/>
      <c r="J660" s="4" t="inlineStr">
        <is>
          <t>Jun 1</t>
        </is>
      </c>
      <c r="K660" s="4" t="inlineStr">
        <is>
          <t>800</t>
        </is>
      </c>
      <c r="L660" s="4" t="inlineStr">
        <is>
          <t>Valid in all Region 7 HDs. Not valid on National Forest lands or CMR Refuge. Valid in all Region 7 HDs. Only valid on private land.</t>
        </is>
      </c>
    </row>
    <row r="661">
      <c r="A661" s="4" t="inlineStr">
        <is>
          <t>705</t>
        </is>
      </c>
      <c r="B661" s="4" t="inlineStr">
        <is>
          <t>elk</t>
        </is>
      </c>
      <c r="C661" s="4" t="inlineStr">
        <is>
          <t>Elk B License: 700-00</t>
        </is>
      </c>
      <c r="D661" s="15" t="inlineStr">
        <is>
          <t>Drawing</t>
        </is>
      </c>
      <c r="E661" s="4" t="inlineStr">
        <is>
          <t>Antlerless Elk</t>
        </is>
      </c>
      <c r="F661" s="4" t="n"/>
      <c r="G661" s="4" t="n"/>
      <c r="H661" s="4" t="n"/>
      <c r="I661" s="4" t="inlineStr">
        <is>
          <t>Nov 30-Feb 15</t>
        </is>
      </c>
      <c r="J661" s="4" t="inlineStr">
        <is>
          <t>Jun 1</t>
        </is>
      </c>
      <c r="K661" s="4" t="inlineStr">
        <is>
          <t>700</t>
        </is>
      </c>
      <c r="L661" s="4" t="inlineStr">
        <is>
          <t>Only valid on private land.</t>
        </is>
      </c>
    </row>
    <row r="662">
      <c r="A662" s="4" t="inlineStr">
        <is>
          <t>705</t>
        </is>
      </c>
      <c r="B662" s="4" t="inlineStr">
        <is>
          <t>elk</t>
        </is>
      </c>
      <c r="C662" s="4" t="inlineStr">
        <is>
          <t>Elk B License: 799-00</t>
        </is>
      </c>
      <c r="D662" s="15" t="inlineStr">
        <is>
          <t>Drawing</t>
        </is>
      </c>
      <c r="E662" s="4" t="inlineStr">
        <is>
          <t>Antlerless Elk</t>
        </is>
      </c>
      <c r="F662" s="4" t="inlineStr">
        <is>
          <t>Sep 05-Oct 18</t>
        </is>
      </c>
      <c r="G662" s="4" t="inlineStr">
        <is>
          <t>Oct 24-Nov 29</t>
        </is>
      </c>
      <c r="H662" s="4" t="inlineStr">
        <is>
          <t>Dec 12-Dec 20</t>
        </is>
      </c>
      <c r="I662" s="4" t="n"/>
      <c r="J662" s="4" t="inlineStr">
        <is>
          <t>Jun 1</t>
        </is>
      </c>
      <c r="K662" s="4" t="inlineStr">
        <is>
          <t>600</t>
        </is>
      </c>
      <c r="L662" s="4" t="inlineStr">
        <is>
          <t>Only valid in HDs 702, 704, and 705. Only valid on private land in HDs 702, 704, and 705.</t>
        </is>
      </c>
    </row>
    <row r="663">
      <c r="A663" s="4" t="inlineStr">
        <is>
          <t>705</t>
        </is>
      </c>
      <c r="B663" s="4" t="inlineStr">
        <is>
          <t>elk</t>
        </is>
      </c>
      <c r="C663" s="4" t="inlineStr">
        <is>
          <t>Elk Permit: 799-20</t>
        </is>
      </c>
      <c r="D663" s="15" t="inlineStr">
        <is>
          <t>Drawing</t>
        </is>
      </c>
      <c r="E663" s="4" t="inlineStr">
        <is>
          <t>Either-sex Elk</t>
        </is>
      </c>
      <c r="F663" s="4" t="inlineStr">
        <is>
          <t>Sep 05-Oct 18</t>
        </is>
      </c>
      <c r="G663" s="4" t="inlineStr">
        <is>
          <t>Oct 24-Nov 29</t>
        </is>
      </c>
      <c r="H663" s="4" t="inlineStr">
        <is>
          <t>Dec 12-Dec 20</t>
        </is>
      </c>
      <c r="I663" s="4" t="n"/>
      <c r="J663" s="4" t="inlineStr">
        <is>
          <t>April 1</t>
        </is>
      </c>
      <c r="K663" s="4" t="inlineStr">
        <is>
          <t>325</t>
        </is>
      </c>
      <c r="L663" s="4" t="inlineStr">
        <is>
          <t>1st and only choice. Only valid in HDs 702, 704, and 705. Permit must be used with a valid General Elk License. Holders may not hunt Antlered Elk in any other HD during these described season dates. Successful Either-sex elk permit 799-20 applicants may be ofered the opportunity to purchase one antl</t>
        </is>
      </c>
    </row>
    <row r="664">
      <c r="A664" s="4" t="inlineStr">
        <is>
          <t>705</t>
        </is>
      </c>
      <c r="B664" s="4" t="inlineStr">
        <is>
          <t>elk</t>
        </is>
      </c>
      <c r="C664" s="4" t="inlineStr">
        <is>
          <t>Elk Permit: 799-21</t>
        </is>
      </c>
      <c r="D664" s="15" t="inlineStr">
        <is>
          <t>Drawing</t>
        </is>
      </c>
      <c r="E664" s="4" t="inlineStr">
        <is>
          <t>Either-sex Elk</t>
        </is>
      </c>
      <c r="F664" s="4" t="inlineStr">
        <is>
          <t>Sep 05-Oct 18</t>
        </is>
      </c>
      <c r="G664" s="4" t="n"/>
      <c r="H664" s="4" t="n"/>
      <c r="I664" s="4" t="n"/>
      <c r="J664" s="4" t="inlineStr">
        <is>
          <t>April 1</t>
        </is>
      </c>
      <c r="K664" s="4" t="inlineStr">
        <is>
          <t>1,000</t>
        </is>
      </c>
      <c r="L664" s="4" t="inlineStr">
        <is>
          <t>1st and only choice. Only valid in HDs 702, 704, and 705. Permit must be used with a valid General Elk License. Holders may not hunt Antlered Elk in any other HD during these described season dates. Successful Either-sex elk permit 799-21 applicants may be ofered the opportunity to purchase one antl</t>
        </is>
      </c>
    </row>
    <row r="665">
      <c r="A665" s="4" t="inlineStr">
        <is>
          <t>100</t>
        </is>
      </c>
      <c r="B665" s="4" t="inlineStr">
        <is>
          <t>mule deer</t>
        </is>
      </c>
      <c r="C665" s="4" t="inlineStr">
        <is>
          <t>General Deer License</t>
        </is>
      </c>
      <c r="D665" s="13" t="inlineStr">
        <is>
          <t>General license</t>
        </is>
      </c>
      <c r="E665" s="4" t="inlineStr">
        <is>
          <t>Antlered Buck Mule Deer</t>
        </is>
      </c>
      <c r="F665" s="4" t="inlineStr">
        <is>
          <t>Sep 05-Oct 18</t>
        </is>
      </c>
      <c r="G665" s="4" t="inlineStr">
        <is>
          <t>Oct 24-Nov 29</t>
        </is>
      </c>
      <c r="H665" s="4" t="inlineStr">
        <is>
          <t>Dec 12-Dec 20</t>
        </is>
      </c>
      <c r="I665" s="4" t="n"/>
      <c r="J665" s="4" t="n"/>
      <c r="K665" s="4" t="n"/>
      <c r="L665" s="4" t="n"/>
    </row>
    <row r="666">
      <c r="A666" s="4" t="inlineStr">
        <is>
          <t>101</t>
        </is>
      </c>
      <c r="B666" s="4" t="inlineStr">
        <is>
          <t>mule deer</t>
        </is>
      </c>
      <c r="C666" s="4" t="inlineStr">
        <is>
          <t>General Deer License</t>
        </is>
      </c>
      <c r="D666" s="13" t="inlineStr">
        <is>
          <t>General license</t>
        </is>
      </c>
      <c r="E666" s="4" t="inlineStr">
        <is>
          <t>Antlered Buck Mule Deer</t>
        </is>
      </c>
      <c r="F666" s="4" t="inlineStr">
        <is>
          <t>Sep 05-Oct 18</t>
        </is>
      </c>
      <c r="G666" s="4" t="inlineStr">
        <is>
          <t>Oct 24-Nov 15</t>
        </is>
      </c>
      <c r="H666" s="4" t="n"/>
      <c r="I666" s="4" t="n"/>
      <c r="J666" s="4" t="n"/>
      <c r="K666" s="4" t="n"/>
      <c r="L666" s="4" t="n"/>
    </row>
    <row r="667">
      <c r="A667" s="4" t="inlineStr">
        <is>
          <t>101</t>
        </is>
      </c>
      <c r="B667" s="4" t="inlineStr">
        <is>
          <t>mule deer</t>
        </is>
      </c>
      <c r="C667" s="4" t="inlineStr">
        <is>
          <t>Deer Permit: 101-50</t>
        </is>
      </c>
      <c r="D667" s="15" t="inlineStr">
        <is>
          <t>Drawing</t>
        </is>
      </c>
      <c r="E667" s="4" t="inlineStr">
        <is>
          <t>Antlered Buck Mule Deer</t>
        </is>
      </c>
      <c r="F667" s="4" t="n"/>
      <c r="G667" s="4" t="inlineStr">
        <is>
          <t>Nov 16-Nov 29</t>
        </is>
      </c>
      <c r="H667" s="4" t="inlineStr">
        <is>
          <t>Dec 12-Dec 20</t>
        </is>
      </c>
      <c r="I667" s="4" t="n"/>
      <c r="J667" s="4" t="inlineStr">
        <is>
          <t>April 1</t>
        </is>
      </c>
      <c r="K667" s="4" t="inlineStr">
        <is>
          <t>15</t>
        </is>
      </c>
      <c r="L667" s="4" t="inlineStr">
        <is>
          <t>Permit must be used with a valid General Deer License. Holders may not hunt antlered buck mule deer in any other HD. 49 2026 Deer • Elk • Antelope Visit fwp.mt.gov LICENSE/PERMIT OPPORTUNITY APPL Y BY DATE QUOTA QUOTA RANGE EARL Y SEASON DATES ARCHERY ONL Y SEASON DATES GENERAL SEASON DATES HERITAGE</t>
        </is>
      </c>
    </row>
    <row r="668">
      <c r="A668" s="4" t="inlineStr">
        <is>
          <t>103</t>
        </is>
      </c>
      <c r="B668" s="4" t="inlineStr">
        <is>
          <t>mule deer</t>
        </is>
      </c>
      <c r="C668" s="4" t="inlineStr">
        <is>
          <t>General Deer License</t>
        </is>
      </c>
      <c r="D668" s="13" t="inlineStr">
        <is>
          <t>General license</t>
        </is>
      </c>
      <c r="E668" s="4" t="inlineStr">
        <is>
          <t>Antlered Buck Mule Deer</t>
        </is>
      </c>
      <c r="F668" s="4" t="inlineStr">
        <is>
          <t>Sep 05-Oct 18</t>
        </is>
      </c>
      <c r="G668" s="4" t="inlineStr">
        <is>
          <t>Oct 24-Nov 29</t>
        </is>
      </c>
      <c r="H668" s="4" t="inlineStr">
        <is>
          <t>Dec 12-Dec 20</t>
        </is>
      </c>
      <c r="I668" s="4" t="n"/>
      <c r="J668" s="4" t="n"/>
      <c r="K668" s="4" t="n"/>
      <c r="L668" s="4" t="inlineStr">
        <is>
          <t>Only valid outside the North Fisher Portion, see legal description.</t>
        </is>
      </c>
    </row>
    <row r="669">
      <c r="A669" s="4" t="inlineStr">
        <is>
          <t>103</t>
        </is>
      </c>
      <c r="B669" s="4" t="inlineStr">
        <is>
          <t>mule deer</t>
        </is>
      </c>
      <c r="C669" s="4" t="inlineStr">
        <is>
          <t>Deer Permit: 103-50</t>
        </is>
      </c>
      <c r="D669" s="15" t="inlineStr">
        <is>
          <t>Drawing</t>
        </is>
      </c>
      <c r="E669" s="4" t="inlineStr">
        <is>
          <t>Antlered Buck Mule Deer</t>
        </is>
      </c>
      <c r="F669" s="4" t="inlineStr">
        <is>
          <t>Sep 05-Oct 18</t>
        </is>
      </c>
      <c r="G669" s="4" t="inlineStr">
        <is>
          <t>Oct 24-Nov 29</t>
        </is>
      </c>
      <c r="H669" s="4" t="inlineStr">
        <is>
          <t>Dec 12-Dec 20</t>
        </is>
      </c>
      <c r="I669" s="4" t="n"/>
      <c r="J669" s="4" t="inlineStr">
        <is>
          <t>April 1</t>
        </is>
      </c>
      <c r="K669" s="4" t="inlineStr">
        <is>
          <t>13</t>
        </is>
      </c>
      <c r="L669" s="4" t="inlineStr">
        <is>
          <t xml:space="preserve">Only valid in the North Fisher Portion, see legal description. Permit must be used with a valid General Deer License. Holders may not hunt Antlered Buck Mule Deer outside the North Fisher Portion of HD 103 or in any other HD. Mandatory CWD sampling within 10 days of harvest. More information on CWD </t>
        </is>
      </c>
    </row>
    <row r="670">
      <c r="A670" s="4" t="inlineStr">
        <is>
          <t>104</t>
        </is>
      </c>
      <c r="B670" s="4" t="inlineStr">
        <is>
          <t>mule deer</t>
        </is>
      </c>
      <c r="C670" s="4" t="inlineStr">
        <is>
          <t>General Deer License</t>
        </is>
      </c>
      <c r="D670" s="13" t="inlineStr">
        <is>
          <t>General license</t>
        </is>
      </c>
      <c r="E670" s="4" t="inlineStr">
        <is>
          <t>Antlered Buck Mule Deer</t>
        </is>
      </c>
      <c r="F670" s="4" t="inlineStr">
        <is>
          <t>Sep 05-Oct 18</t>
        </is>
      </c>
      <c r="G670" s="4" t="inlineStr">
        <is>
          <t>Oct 24-Nov 29</t>
        </is>
      </c>
      <c r="H670" s="4" t="inlineStr">
        <is>
          <t>Dec 12-Dec 20</t>
        </is>
      </c>
      <c r="I670" s="4" t="n"/>
      <c r="J670" s="4" t="n"/>
      <c r="K670" s="4" t="n"/>
      <c r="L670" s="4" t="n"/>
    </row>
    <row r="671">
      <c r="A671" s="4" t="inlineStr">
        <is>
          <t>110</t>
        </is>
      </c>
      <c r="B671" s="4" t="inlineStr">
        <is>
          <t>mule deer</t>
        </is>
      </c>
      <c r="C671" s="4" t="inlineStr">
        <is>
          <t>General Deer License</t>
        </is>
      </c>
      <c r="D671" s="13" t="inlineStr">
        <is>
          <t>General license</t>
        </is>
      </c>
      <c r="E671" s="4" t="inlineStr">
        <is>
          <t>Antlered Buck Mule Deer</t>
        </is>
      </c>
      <c r="F671" s="4" t="inlineStr">
        <is>
          <t>Sep 05-Oct 18</t>
        </is>
      </c>
      <c r="G671" s="4" t="inlineStr">
        <is>
          <t>Oct 24-Nov 29</t>
        </is>
      </c>
      <c r="H671" s="4" t="inlineStr">
        <is>
          <t>Dec 12-Dec 20</t>
        </is>
      </c>
      <c r="I671" s="4" t="n"/>
      <c r="J671" s="4" t="n"/>
      <c r="K671" s="4" t="n"/>
      <c r="L671" s="4" t="n"/>
    </row>
    <row r="672">
      <c r="A672" s="4" t="inlineStr">
        <is>
          <t>120</t>
        </is>
      </c>
      <c r="B672" s="4" t="inlineStr">
        <is>
          <t>mule deer</t>
        </is>
      </c>
      <c r="C672" s="4" t="inlineStr">
        <is>
          <t>General Deer License</t>
        </is>
      </c>
      <c r="D672" s="13" t="inlineStr">
        <is>
          <t>General license</t>
        </is>
      </c>
      <c r="E672" s="4" t="inlineStr">
        <is>
          <t>Antlered Buck Mule Deer</t>
        </is>
      </c>
      <c r="F672" s="4" t="inlineStr">
        <is>
          <t>Sep 05-Oct 18</t>
        </is>
      </c>
      <c r="G672" s="4" t="inlineStr">
        <is>
          <t>Oct 24-Nov 29</t>
        </is>
      </c>
      <c r="H672" s="4" t="inlineStr">
        <is>
          <t>Dec 12-Dec 20</t>
        </is>
      </c>
      <c r="I672" s="4" t="n"/>
      <c r="J672" s="4" t="n"/>
      <c r="K672" s="4" t="n"/>
      <c r="L672" s="4" t="n"/>
    </row>
    <row r="673">
      <c r="A673" s="4" t="inlineStr">
        <is>
          <t>121</t>
        </is>
      </c>
      <c r="B673" s="4" t="inlineStr">
        <is>
          <t>mule deer</t>
        </is>
      </c>
      <c r="C673" s="4" t="inlineStr">
        <is>
          <t>General Deer License</t>
        </is>
      </c>
      <c r="D673" s="13" t="inlineStr">
        <is>
          <t>General license</t>
        </is>
      </c>
      <c r="E673" s="4" t="inlineStr">
        <is>
          <t>Antlered Buck Mule Deer</t>
        </is>
      </c>
      <c r="F673" s="4" t="inlineStr">
        <is>
          <t>Sep 05-Oct 18</t>
        </is>
      </c>
      <c r="G673" s="4" t="inlineStr">
        <is>
          <t>Oct 24-Nov 29</t>
        </is>
      </c>
      <c r="H673" s="4" t="inlineStr">
        <is>
          <t>Dec 12-Dec 20</t>
        </is>
      </c>
      <c r="I673" s="4" t="n"/>
      <c r="J673" s="4" t="n"/>
      <c r="K673" s="4" t="n"/>
      <c r="L673" s="4" t="n"/>
    </row>
    <row r="674">
      <c r="A674" s="4" t="inlineStr">
        <is>
          <t>122</t>
        </is>
      </c>
      <c r="B674" s="4" t="inlineStr">
        <is>
          <t>mule deer</t>
        </is>
      </c>
      <c r="C674" s="4" t="inlineStr">
        <is>
          <t>General Deer License</t>
        </is>
      </c>
      <c r="D674" s="13" t="inlineStr">
        <is>
          <t>General license</t>
        </is>
      </c>
      <c r="E674" s="4" t="inlineStr">
        <is>
          <t>Antlered Buck Mule Deer</t>
        </is>
      </c>
      <c r="F674" s="4" t="inlineStr">
        <is>
          <t>Sep 05-Oct 18</t>
        </is>
      </c>
      <c r="G674" s="4" t="inlineStr">
        <is>
          <t>Oct 24-Nov 29</t>
        </is>
      </c>
      <c r="H674" s="4" t="inlineStr">
        <is>
          <t>Dec 12-Dec 20</t>
        </is>
      </c>
      <c r="I674" s="4" t="n"/>
      <c r="J674" s="4" t="n"/>
      <c r="K674" s="4" t="n"/>
      <c r="L674" s="4" t="n"/>
    </row>
    <row r="675">
      <c r="A675" s="4" t="inlineStr">
        <is>
          <t>123</t>
        </is>
      </c>
      <c r="B675" s="4" t="inlineStr">
        <is>
          <t>mule deer</t>
        </is>
      </c>
      <c r="C675" s="4" t="inlineStr">
        <is>
          <t>General Deer License</t>
        </is>
      </c>
      <c r="D675" s="13" t="inlineStr">
        <is>
          <t>General license</t>
        </is>
      </c>
      <c r="E675" s="4" t="inlineStr">
        <is>
          <t>Antlered Buck Mule Deer</t>
        </is>
      </c>
      <c r="F675" s="4" t="inlineStr">
        <is>
          <t>Sep 05-Oct 18</t>
        </is>
      </c>
      <c r="G675" s="4" t="inlineStr">
        <is>
          <t>Oct 24-Nov 29</t>
        </is>
      </c>
      <c r="H675" s="4" t="inlineStr">
        <is>
          <t>Dec 12-Dec 20</t>
        </is>
      </c>
      <c r="I675" s="4" t="n"/>
      <c r="J675" s="4" t="n"/>
      <c r="K675" s="4" t="n"/>
      <c r="L675" s="4" t="n"/>
    </row>
    <row r="676">
      <c r="A676" s="4" t="inlineStr">
        <is>
          <t>124</t>
        </is>
      </c>
      <c r="B676" s="4" t="inlineStr">
        <is>
          <t>mule deer</t>
        </is>
      </c>
      <c r="C676" s="4" t="inlineStr">
        <is>
          <t>General Deer License</t>
        </is>
      </c>
      <c r="D676" s="13" t="inlineStr">
        <is>
          <t>General license</t>
        </is>
      </c>
      <c r="E676" s="4" t="inlineStr">
        <is>
          <t>Antlered Buck Mule Deer</t>
        </is>
      </c>
      <c r="F676" s="4" t="inlineStr">
        <is>
          <t>Sep 05-Oct 18</t>
        </is>
      </c>
      <c r="G676" s="4" t="inlineStr">
        <is>
          <t>Oct 24-Nov 29</t>
        </is>
      </c>
      <c r="H676" s="4" t="inlineStr">
        <is>
          <t>Dec 12-Dec 20</t>
        </is>
      </c>
      <c r="I676" s="4" t="n"/>
      <c r="J676" s="4" t="n"/>
      <c r="K676" s="4" t="n"/>
      <c r="L676" s="4" t="n"/>
    </row>
    <row r="677">
      <c r="A677" s="4" t="inlineStr">
        <is>
          <t>130</t>
        </is>
      </c>
      <c r="B677" s="4" t="inlineStr">
        <is>
          <t>mule deer</t>
        </is>
      </c>
      <c r="C677" s="4" t="inlineStr">
        <is>
          <t>General Deer License</t>
        </is>
      </c>
      <c r="D677" s="13" t="inlineStr">
        <is>
          <t>General license</t>
        </is>
      </c>
      <c r="E677" s="4" t="inlineStr">
        <is>
          <t>Antlered Buck Mule Deer</t>
        </is>
      </c>
      <c r="F677" s="4" t="inlineStr">
        <is>
          <t>Sep 05-Oct 18</t>
        </is>
      </c>
      <c r="G677" s="4" t="inlineStr">
        <is>
          <t>Oct 24-Nov 29</t>
        </is>
      </c>
      <c r="H677" s="4" t="inlineStr">
        <is>
          <t>Dec 12-Dec 20</t>
        </is>
      </c>
      <c r="I677" s="4" t="n"/>
      <c r="J677" s="4" t="n"/>
      <c r="K677" s="4" t="n"/>
      <c r="L677" s="4" t="n"/>
    </row>
    <row r="678">
      <c r="A678" s="4" t="inlineStr">
        <is>
          <t>130</t>
        </is>
      </c>
      <c r="B678" s="4" t="inlineStr">
        <is>
          <t>mule deer</t>
        </is>
      </c>
      <c r="C678" s="4" t="inlineStr">
        <is>
          <t>Deer Permit: 130-50</t>
        </is>
      </c>
      <c r="D678" s="15" t="inlineStr">
        <is>
          <t>Drawing</t>
        </is>
      </c>
      <c r="E678" s="4" t="inlineStr">
        <is>
          <t>Antlered Buck Mule Deer</t>
        </is>
      </c>
      <c r="F678" s="4" t="inlineStr">
        <is>
          <t>Sep 05-Sep 14</t>
        </is>
      </c>
      <c r="G678" s="4" t="inlineStr">
        <is>
          <t>Sep 15-Nov 29</t>
        </is>
      </c>
      <c r="H678" s="4" t="inlineStr">
        <is>
          <t>Dec 12-Dec 20</t>
        </is>
      </c>
      <c r="I678" s="4" t="n"/>
      <c r="J678" s="4" t="inlineStr">
        <is>
          <t>April 1</t>
        </is>
      </c>
      <c r="K678" s="4" t="inlineStr">
        <is>
          <t>10</t>
        </is>
      </c>
      <c r="L678" s="4" t="inlineStr">
        <is>
          <t>Permit must be used with a valid General Deer License. Holders may not hunt Antlered Buck Mule Deer in any other HD. Only valid in Mission Mtns Wilderness portion of Flathead National Forest.</t>
        </is>
      </c>
    </row>
    <row r="679">
      <c r="A679" s="4" t="inlineStr">
        <is>
          <t>140</t>
        </is>
      </c>
      <c r="B679" s="4" t="inlineStr">
        <is>
          <t>mule deer</t>
        </is>
      </c>
      <c r="C679" s="4" t="inlineStr">
        <is>
          <t>General Deer License</t>
        </is>
      </c>
      <c r="D679" s="13" t="inlineStr">
        <is>
          <t>General license</t>
        </is>
      </c>
      <c r="E679" s="4" t="inlineStr">
        <is>
          <t>Antlered Buck Mule Deer</t>
        </is>
      </c>
      <c r="F679" s="4" t="inlineStr">
        <is>
          <t>Sep 05-Oct 18</t>
        </is>
      </c>
      <c r="G679" s="4" t="inlineStr">
        <is>
          <t>Oct 24-Nov 29</t>
        </is>
      </c>
      <c r="H679" s="4" t="inlineStr">
        <is>
          <t>Dec 12-Dec 20</t>
        </is>
      </c>
      <c r="I679" s="4" t="n"/>
      <c r="J679" s="4" t="n"/>
      <c r="K679" s="4" t="n"/>
      <c r="L679" s="4" t="n"/>
    </row>
    <row r="680">
      <c r="A680" s="4" t="inlineStr">
        <is>
          <t>141</t>
        </is>
      </c>
      <c r="B680" s="4" t="inlineStr">
        <is>
          <t>mule deer</t>
        </is>
      </c>
      <c r="C680" s="4" t="inlineStr">
        <is>
          <t>General Deer License</t>
        </is>
      </c>
      <c r="D680" s="13" t="inlineStr">
        <is>
          <t>General license</t>
        </is>
      </c>
      <c r="E680" s="4" t="inlineStr">
        <is>
          <t>Antlered Buck Mule Deer</t>
        </is>
      </c>
      <c r="F680" s="4" t="inlineStr">
        <is>
          <t>Sep 05-Oct 18</t>
        </is>
      </c>
      <c r="G680" s="4" t="inlineStr">
        <is>
          <t>Oct 24-Nov 29</t>
        </is>
      </c>
      <c r="H680" s="4" t="inlineStr">
        <is>
          <t>Dec 12-Dec 20</t>
        </is>
      </c>
      <c r="I680" s="4" t="n"/>
      <c r="J680" s="4" t="n"/>
      <c r="K680" s="4" t="n"/>
      <c r="L680" s="4" t="n"/>
    </row>
    <row r="681">
      <c r="A681" s="4" t="inlineStr">
        <is>
          <t>150</t>
        </is>
      </c>
      <c r="B681" s="4" t="inlineStr">
        <is>
          <t>mule deer</t>
        </is>
      </c>
      <c r="C681" s="4" t="inlineStr">
        <is>
          <t>General Deer License</t>
        </is>
      </c>
      <c r="D681" s="13" t="inlineStr">
        <is>
          <t>General license</t>
        </is>
      </c>
      <c r="E681" s="4" t="inlineStr">
        <is>
          <t>Antlered Buck Mule Deer</t>
        </is>
      </c>
      <c r="F681" s="4" t="inlineStr">
        <is>
          <t>Sep 05-Sep 14</t>
        </is>
      </c>
      <c r="G681" s="4" t="inlineStr">
        <is>
          <t>Sep 15-Nov 29</t>
        </is>
      </c>
      <c r="H681" s="4" t="inlineStr">
        <is>
          <t>Dec 12-Dec 20</t>
        </is>
      </c>
      <c r="I681" s="4" t="n"/>
      <c r="J681" s="4" t="n"/>
      <c r="K681" s="4" t="n"/>
      <c r="L681" s="4" t="n"/>
    </row>
    <row r="682">
      <c r="A682" s="4" t="inlineStr">
        <is>
          <t>170</t>
        </is>
      </c>
      <c r="B682" s="4" t="inlineStr">
        <is>
          <t>mule deer</t>
        </is>
      </c>
      <c r="C682" s="4" t="inlineStr">
        <is>
          <t>General Deer License</t>
        </is>
      </c>
      <c r="D682" s="13" t="inlineStr">
        <is>
          <t>General license</t>
        </is>
      </c>
      <c r="E682" s="4" t="inlineStr">
        <is>
          <t>Antlered Buck Mule Deer</t>
        </is>
      </c>
      <c r="F682" s="4" t="inlineStr">
        <is>
          <t>Sep 05-Oct 18</t>
        </is>
      </c>
      <c r="G682" s="4" t="inlineStr">
        <is>
          <t>Oct 24-Nov 29</t>
        </is>
      </c>
      <c r="H682" s="4" t="inlineStr">
        <is>
          <t>Dec 12-Dec 20</t>
        </is>
      </c>
      <c r="I682" s="4" t="n"/>
      <c r="J682" s="4" t="n"/>
      <c r="K682" s="4" t="n"/>
      <c r="L682" s="4" t="n"/>
    </row>
    <row r="683">
      <c r="A683" s="4" t="inlineStr">
        <is>
          <t>200</t>
        </is>
      </c>
      <c r="B683" s="4" t="inlineStr">
        <is>
          <t>mule deer</t>
        </is>
      </c>
      <c r="C683" s="4" t="inlineStr">
        <is>
          <t>General Deer License</t>
        </is>
      </c>
      <c r="D683" s="13" t="inlineStr">
        <is>
          <t>General license</t>
        </is>
      </c>
      <c r="E683" s="4" t="inlineStr">
        <is>
          <t>Antlered Buck Mule Deer</t>
        </is>
      </c>
      <c r="F683" s="4" t="inlineStr">
        <is>
          <t>Sep 05-Oct 18</t>
        </is>
      </c>
      <c r="G683" s="4" t="inlineStr">
        <is>
          <t>Oct 24-Nov 29</t>
        </is>
      </c>
      <c r="H683" s="4" t="inlineStr">
        <is>
          <t>Dec 12-Dec 20</t>
        </is>
      </c>
      <c r="I683" s="4" t="n"/>
      <c r="J683" s="4" t="n"/>
      <c r="K683" s="4" t="n"/>
      <c r="L683" s="4" t="n"/>
    </row>
    <row r="684">
      <c r="A684" s="4" t="inlineStr">
        <is>
          <t>201</t>
        </is>
      </c>
      <c r="B684" s="4" t="inlineStr">
        <is>
          <t>mule deer</t>
        </is>
      </c>
      <c r="C684" s="4" t="inlineStr">
        <is>
          <t>General Deer License</t>
        </is>
      </c>
      <c r="D684" s="13" t="inlineStr">
        <is>
          <t>General license</t>
        </is>
      </c>
      <c r="E684" s="4" t="inlineStr">
        <is>
          <t>Antlered Buck Mule Deer</t>
        </is>
      </c>
      <c r="F684" s="4" t="inlineStr">
        <is>
          <t>Sep 05-Oct 18</t>
        </is>
      </c>
      <c r="G684" s="4" t="inlineStr">
        <is>
          <t>Oct 24-Nov 29</t>
        </is>
      </c>
      <c r="H684" s="4" t="inlineStr">
        <is>
          <t>Dec 12-Dec 20</t>
        </is>
      </c>
      <c r="I684" s="4" t="n"/>
      <c r="J684" s="4" t="n"/>
      <c r="K684" s="4" t="n"/>
      <c r="L684" s="4" t="n"/>
    </row>
    <row r="685">
      <c r="A685" s="4" t="inlineStr">
        <is>
          <t>202</t>
        </is>
      </c>
      <c r="B685" s="4" t="inlineStr">
        <is>
          <t>mule deer</t>
        </is>
      </c>
      <c r="C685" s="4" t="inlineStr">
        <is>
          <t>Deer Permit: 202-50</t>
        </is>
      </c>
      <c r="D685" s="15" t="inlineStr">
        <is>
          <t>Drawing</t>
        </is>
      </c>
      <c r="E685" s="4" t="inlineStr">
        <is>
          <t>Antlered Buck Mule Deer</t>
        </is>
      </c>
      <c r="F685" s="4" t="inlineStr">
        <is>
          <t>Sep 05-Oct 18</t>
        </is>
      </c>
      <c r="G685" s="4" t="inlineStr">
        <is>
          <t>Oct 24-Nov 29</t>
        </is>
      </c>
      <c r="H685" s="4" t="inlineStr">
        <is>
          <t>Dec 12-Dec 20</t>
        </is>
      </c>
      <c r="I685" s="4" t="n"/>
      <c r="J685" s="4" t="inlineStr">
        <is>
          <t>April 1</t>
        </is>
      </c>
      <c r="K685" s="4" t="inlineStr">
        <is>
          <t>150</t>
        </is>
      </c>
      <c r="L685" s="4" t="inlineStr">
        <is>
          <t>Permit must be used with a valid General Deer License. Holders may not hunt Antlered Buck Mule Deer in any other HD.</t>
        </is>
      </c>
    </row>
    <row r="686">
      <c r="A686" s="4" t="inlineStr">
        <is>
          <t>204</t>
        </is>
      </c>
      <c r="B686" s="4" t="inlineStr">
        <is>
          <t>mule deer</t>
        </is>
      </c>
      <c r="C686" s="4" t="inlineStr">
        <is>
          <t>General Deer License</t>
        </is>
      </c>
      <c r="D686" s="13" t="inlineStr">
        <is>
          <t>General license</t>
        </is>
      </c>
      <c r="E686" s="4" t="inlineStr">
        <is>
          <t>Antlered Buck Mule Deer</t>
        </is>
      </c>
      <c r="F686" s="4" t="inlineStr">
        <is>
          <t>Sep 05-Oct 18</t>
        </is>
      </c>
      <c r="G686" s="4" t="inlineStr">
        <is>
          <t>Oct 24-Nov 15</t>
        </is>
      </c>
      <c r="H686" s="4" t="n"/>
      <c r="I686" s="4" t="n"/>
      <c r="J686" s="4" t="n"/>
      <c r="K686" s="4" t="n"/>
      <c r="L686" s="4" t="n"/>
    </row>
    <row r="687">
      <c r="A687" s="4" t="inlineStr">
        <is>
          <t>204</t>
        </is>
      </c>
      <c r="B687" s="4" t="inlineStr">
        <is>
          <t>mule deer</t>
        </is>
      </c>
      <c r="C687" s="4" t="inlineStr">
        <is>
          <t>Deer B License: 204-00</t>
        </is>
      </c>
      <c r="D687" s="15" t="inlineStr">
        <is>
          <t>Drawing</t>
        </is>
      </c>
      <c r="E687" s="4" t="inlineStr">
        <is>
          <t>Antlerless Mule Deer</t>
        </is>
      </c>
      <c r="F687" s="4" t="inlineStr">
        <is>
          <t>Sep 05-Oct 18</t>
        </is>
      </c>
      <c r="G687" s="4" t="inlineStr">
        <is>
          <t>Oct 24-Nov 29</t>
        </is>
      </c>
      <c r="H687" s="4" t="inlineStr">
        <is>
          <t>Dec 12-Dec 20</t>
        </is>
      </c>
      <c r="I687" s="4" t="n"/>
      <c r="J687" s="4" t="inlineStr">
        <is>
          <t>Jun 1</t>
        </is>
      </c>
      <c r="K687" s="4" t="inlineStr">
        <is>
          <t>25</t>
        </is>
      </c>
      <c r="L687" s="4" t="inlineStr">
        <is>
          <t>Only valid on private land.</t>
        </is>
      </c>
    </row>
    <row r="688">
      <c r="A688" s="4" t="inlineStr">
        <is>
          <t>210</t>
        </is>
      </c>
      <c r="B688" s="4" t="inlineStr">
        <is>
          <t>mule deer</t>
        </is>
      </c>
      <c r="C688" s="4" t="inlineStr">
        <is>
          <t>General Deer License</t>
        </is>
      </c>
      <c r="D688" s="13" t="inlineStr">
        <is>
          <t>General license</t>
        </is>
      </c>
      <c r="E688" s="4" t="inlineStr">
        <is>
          <t>Antlerless Mule Deer</t>
        </is>
      </c>
      <c r="F688" s="4" t="inlineStr">
        <is>
          <t>Sep 05-Oct 18</t>
        </is>
      </c>
      <c r="G688" s="4" t="inlineStr">
        <is>
          <t>Oct 24-Nov 29</t>
        </is>
      </c>
      <c r="H688" s="4" t="inlineStr">
        <is>
          <t>Dec 12-Dec 20</t>
        </is>
      </c>
      <c r="I688" s="4" t="n"/>
      <c r="J688" s="4" t="n"/>
      <c r="K688" s="4" t="n"/>
      <c r="L688" s="4" t="inlineStr">
        <is>
          <t>Only valid outside National Forest boundary and NOT valid on FWP WMAs or BLM lands. Only youth ages 10-15.</t>
        </is>
      </c>
    </row>
    <row r="689">
      <c r="A689" s="4" t="inlineStr">
        <is>
          <t>210</t>
        </is>
      </c>
      <c r="B689" s="4" t="inlineStr">
        <is>
          <t>mule deer</t>
        </is>
      </c>
      <c r="C689" s="4" t="inlineStr">
        <is>
          <t>Deer B License: 210-01</t>
        </is>
      </c>
      <c r="D689" s="15" t="inlineStr">
        <is>
          <t>Drawing</t>
        </is>
      </c>
      <c r="E689" s="4" t="inlineStr">
        <is>
          <t>Antlerless Mule Deer</t>
        </is>
      </c>
      <c r="F689" s="4" t="inlineStr">
        <is>
          <t>Sep 05-Oct 18</t>
        </is>
      </c>
      <c r="G689" s="4" t="inlineStr">
        <is>
          <t>Oct 24-Nov 29</t>
        </is>
      </c>
      <c r="H689" s="4" t="inlineStr">
        <is>
          <t>Dec 12-Dec 20</t>
        </is>
      </c>
      <c r="I689" s="4" t="n"/>
      <c r="J689" s="4" t="inlineStr">
        <is>
          <t>Jun 1</t>
        </is>
      </c>
      <c r="K689" s="4" t="inlineStr">
        <is>
          <t>55</t>
        </is>
      </c>
      <c r="L689" s="4" t="inlineStr">
        <is>
          <t>Only valid on private land.</t>
        </is>
      </c>
    </row>
    <row r="690">
      <c r="A690" s="4" t="inlineStr">
        <is>
          <t>210</t>
        </is>
      </c>
      <c r="B690" s="4" t="inlineStr">
        <is>
          <t>mule deer</t>
        </is>
      </c>
      <c r="C690" s="4" t="inlineStr">
        <is>
          <t>Deer Permit: 210-50</t>
        </is>
      </c>
      <c r="D690" s="15" t="inlineStr">
        <is>
          <t>Drawing</t>
        </is>
      </c>
      <c r="E690" s="4" t="inlineStr">
        <is>
          <t>Antlered Buck Mule Deer</t>
        </is>
      </c>
      <c r="F690" s="4" t="inlineStr">
        <is>
          <t>Sep 05-Oct 18</t>
        </is>
      </c>
      <c r="G690" s="4" t="inlineStr">
        <is>
          <t>Oct 24-Nov 29</t>
        </is>
      </c>
      <c r="H690" s="4" t="inlineStr">
        <is>
          <t>Dec 12-Dec 20</t>
        </is>
      </c>
      <c r="I690" s="4" t="n"/>
      <c r="J690" s="4" t="inlineStr">
        <is>
          <t>April 1</t>
        </is>
      </c>
      <c r="K690" s="4" t="inlineStr">
        <is>
          <t>50</t>
        </is>
      </c>
      <c r="L690" s="4" t="inlineStr">
        <is>
          <t>Permit must be used with a valid General Deer License. Holders may not hunt Antlered Buck Mule Deer in any other HD. 57 2026 Deer • Elk • Antelope Visit fwp.mt.gov LICENSE/PERMIT OPPORTUNITY APPL Y BY DATE QUOTA QUOTA RANGE EARL Y SEASON DATES ARCHERY ONL Y SEASON DATES GENERAL SEASON DATES HERITAGE</t>
        </is>
      </c>
    </row>
    <row r="691">
      <c r="A691" s="4" t="inlineStr">
        <is>
          <t>211</t>
        </is>
      </c>
      <c r="B691" s="4" t="inlineStr">
        <is>
          <t>mule deer</t>
        </is>
      </c>
      <c r="C691" s="4" t="inlineStr">
        <is>
          <t>General Deer License</t>
        </is>
      </c>
      <c r="D691" s="13" t="inlineStr">
        <is>
          <t>General license</t>
        </is>
      </c>
      <c r="E691" s="4" t="inlineStr">
        <is>
          <t>Antlered Buck Mule Deer</t>
        </is>
      </c>
      <c r="F691" s="4" t="inlineStr">
        <is>
          <t>Sep 05-Oct 18</t>
        </is>
      </c>
      <c r="G691" s="4" t="inlineStr">
        <is>
          <t>Oct 24-Nov 29</t>
        </is>
      </c>
      <c r="H691" s="4" t="inlineStr">
        <is>
          <t>Dec 12-Dec 20</t>
        </is>
      </c>
      <c r="I691" s="4" t="n"/>
      <c r="J691" s="4" t="n"/>
      <c r="K691" s="4" t="n"/>
      <c r="L691" s="4" t="n"/>
    </row>
    <row r="692">
      <c r="A692" s="4" t="inlineStr">
        <is>
          <t>212</t>
        </is>
      </c>
      <c r="B692" s="4" t="inlineStr">
        <is>
          <t>mule deer</t>
        </is>
      </c>
      <c r="C692" s="4" t="inlineStr">
        <is>
          <t>General Deer License</t>
        </is>
      </c>
      <c r="D692" s="13" t="inlineStr">
        <is>
          <t>General license</t>
        </is>
      </c>
      <c r="E692" s="4" t="inlineStr">
        <is>
          <t>Antlerless Mule Deer</t>
        </is>
      </c>
      <c r="F692" s="4" t="inlineStr">
        <is>
          <t>Sep 05-Oct 18</t>
        </is>
      </c>
      <c r="G692" s="4" t="inlineStr">
        <is>
          <t>Oct 24-Nov 29</t>
        </is>
      </c>
      <c r="H692" s="4" t="inlineStr">
        <is>
          <t>Dec 12-Dec 20</t>
        </is>
      </c>
      <c r="I692" s="4" t="n"/>
      <c r="J692" s="4" t="n"/>
      <c r="K692" s="4" t="n"/>
      <c r="L692" s="4" t="inlineStr">
        <is>
          <t>Only valid outside National Forest boundary and NOT valid on FWP WMAs or BLM lands. Only youth ages 10-15.</t>
        </is>
      </c>
    </row>
    <row r="693">
      <c r="A693" s="4" t="inlineStr">
        <is>
          <t>212</t>
        </is>
      </c>
      <c r="B693" s="4" t="inlineStr">
        <is>
          <t>mule deer</t>
        </is>
      </c>
      <c r="C693" s="4" t="inlineStr">
        <is>
          <t>General Deer License</t>
        </is>
      </c>
      <c r="D693" s="13" t="inlineStr">
        <is>
          <t>General license</t>
        </is>
      </c>
      <c r="E693" s="4" t="inlineStr">
        <is>
          <t>Antlered Buck Mule Deer</t>
        </is>
      </c>
      <c r="F693" s="4" t="inlineStr">
        <is>
          <t>Sep 05-Oct 18</t>
        </is>
      </c>
      <c r="G693" s="4" t="inlineStr">
        <is>
          <t>Oct 24-Nov 15</t>
        </is>
      </c>
      <c r="H693" s="4" t="n"/>
      <c r="I693" s="4" t="n"/>
      <c r="J693" s="4" t="n"/>
      <c r="K693" s="4" t="n"/>
      <c r="L693" s="4" t="n"/>
    </row>
    <row r="694">
      <c r="A694" s="4" t="inlineStr">
        <is>
          <t>212</t>
        </is>
      </c>
      <c r="B694" s="4" t="inlineStr">
        <is>
          <t>mule deer</t>
        </is>
      </c>
      <c r="C694" s="4" t="inlineStr">
        <is>
          <t>Deer B License: 212-00</t>
        </is>
      </c>
      <c r="D694" s="15" t="inlineStr">
        <is>
          <t>Drawing</t>
        </is>
      </c>
      <c r="E694" s="4" t="inlineStr">
        <is>
          <t>Antlerless Mule Deer</t>
        </is>
      </c>
      <c r="F694" s="4" t="inlineStr">
        <is>
          <t>Sep 05-Oct 18</t>
        </is>
      </c>
      <c r="G694" s="4" t="inlineStr">
        <is>
          <t>Oct 24-Nov 29</t>
        </is>
      </c>
      <c r="H694" s="4" t="inlineStr">
        <is>
          <t>Dec 12-Dec 20</t>
        </is>
      </c>
      <c r="I694" s="4" t="n"/>
      <c r="J694" s="4" t="inlineStr">
        <is>
          <t>Jun 1</t>
        </is>
      </c>
      <c r="K694" s="4" t="inlineStr">
        <is>
          <t>40</t>
        </is>
      </c>
      <c r="L694" s="4" t="inlineStr">
        <is>
          <t>Only valid on private land.</t>
        </is>
      </c>
    </row>
    <row r="695">
      <c r="A695" s="4" t="inlineStr">
        <is>
          <t>213</t>
        </is>
      </c>
      <c r="B695" s="4" t="inlineStr">
        <is>
          <t>mule deer</t>
        </is>
      </c>
      <c r="C695" s="4" t="inlineStr">
        <is>
          <t>General Deer License</t>
        </is>
      </c>
      <c r="D695" s="13" t="inlineStr">
        <is>
          <t>General license</t>
        </is>
      </c>
      <c r="E695" s="4" t="inlineStr">
        <is>
          <t>Antlerless Mule Deer</t>
        </is>
      </c>
      <c r="F695" s="4" t="inlineStr">
        <is>
          <t>Sep 05-Oct 18</t>
        </is>
      </c>
      <c r="G695" s="4" t="inlineStr">
        <is>
          <t>Oct 24-Nov 29</t>
        </is>
      </c>
      <c r="H695" s="4" t="inlineStr">
        <is>
          <t>Dec 12-Dec 20</t>
        </is>
      </c>
      <c r="I695" s="4" t="n"/>
      <c r="J695" s="4" t="n"/>
      <c r="K695" s="4" t="n"/>
      <c r="L695" s="4" t="inlineStr">
        <is>
          <t>Only valid outside National Forest boundary and NOT valid on FWP WMAs or BLM lands. Only youth ages 10-15.</t>
        </is>
      </c>
    </row>
    <row r="696">
      <c r="A696" s="4" t="inlineStr">
        <is>
          <t>213</t>
        </is>
      </c>
      <c r="B696" s="4" t="inlineStr">
        <is>
          <t>mule deer</t>
        </is>
      </c>
      <c r="C696" s="4" t="inlineStr">
        <is>
          <t>General Deer License</t>
        </is>
      </c>
      <c r="D696" s="13" t="inlineStr">
        <is>
          <t>General license</t>
        </is>
      </c>
      <c r="E696" s="4" t="inlineStr">
        <is>
          <t>Antlered Buck Mule Deer</t>
        </is>
      </c>
      <c r="F696" s="4" t="inlineStr">
        <is>
          <t>Sep 05-Oct 18</t>
        </is>
      </c>
      <c r="G696" s="4" t="inlineStr">
        <is>
          <t>Oct 24-Nov 15</t>
        </is>
      </c>
      <c r="H696" s="4" t="n"/>
      <c r="I696" s="4" t="n"/>
      <c r="J696" s="4" t="n"/>
      <c r="K696" s="4" t="n"/>
      <c r="L696" s="4" t="n"/>
    </row>
    <row r="697">
      <c r="A697" s="4" t="inlineStr">
        <is>
          <t>213</t>
        </is>
      </c>
      <c r="B697" s="4" t="inlineStr">
        <is>
          <t>mule deer</t>
        </is>
      </c>
      <c r="C697" s="4" t="inlineStr">
        <is>
          <t>Deer B License: 213-00</t>
        </is>
      </c>
      <c r="D697" s="15" t="inlineStr">
        <is>
          <t>Drawing</t>
        </is>
      </c>
      <c r="E697" s="4" t="inlineStr">
        <is>
          <t>Antlerless Mule Deer</t>
        </is>
      </c>
      <c r="F697" s="4" t="inlineStr">
        <is>
          <t>Sep 05-Oct 18</t>
        </is>
      </c>
      <c r="G697" s="4" t="inlineStr">
        <is>
          <t>Oct 24-Nov 29</t>
        </is>
      </c>
      <c r="H697" s="4" t="inlineStr">
        <is>
          <t>Dec 12-Dec 20</t>
        </is>
      </c>
      <c r="I697" s="4" t="n"/>
      <c r="J697" s="4" t="inlineStr">
        <is>
          <t>Jun 1</t>
        </is>
      </c>
      <c r="K697" s="4" t="inlineStr">
        <is>
          <t>75</t>
        </is>
      </c>
      <c r="L697" s="4" t="inlineStr">
        <is>
          <t>Only valid outside National Forest boundary and NOT valid on FWP WMAs or BLM lands.</t>
        </is>
      </c>
    </row>
    <row r="698">
      <c r="A698" s="4" t="inlineStr">
        <is>
          <t>214</t>
        </is>
      </c>
      <c r="B698" s="4" t="inlineStr">
        <is>
          <t>mule deer</t>
        </is>
      </c>
      <c r="C698" s="4" t="inlineStr">
        <is>
          <t>General Deer License</t>
        </is>
      </c>
      <c r="D698" s="13" t="inlineStr">
        <is>
          <t>General license</t>
        </is>
      </c>
      <c r="E698" s="4" t="inlineStr">
        <is>
          <t>Antlerless Mule Deer</t>
        </is>
      </c>
      <c r="F698" s="4" t="inlineStr">
        <is>
          <t>Sep 05-Oct 18</t>
        </is>
      </c>
      <c r="G698" s="4" t="inlineStr">
        <is>
          <t>Oct 24-Nov 29</t>
        </is>
      </c>
      <c r="H698" s="4" t="inlineStr">
        <is>
          <t>Dec 12-Dec 20</t>
        </is>
      </c>
      <c r="I698" s="4" t="n"/>
      <c r="J698" s="4" t="n"/>
      <c r="K698" s="4" t="n"/>
      <c r="L698" s="4" t="inlineStr">
        <is>
          <t>Only valid outside National Forest boundary and NOT valid on FWP WMAs or BLM lands. Only youth ages 10-15.</t>
        </is>
      </c>
    </row>
    <row r="699">
      <c r="A699" s="4" t="inlineStr">
        <is>
          <t>214</t>
        </is>
      </c>
      <c r="B699" s="4" t="inlineStr">
        <is>
          <t>mule deer</t>
        </is>
      </c>
      <c r="C699" s="4" t="inlineStr">
        <is>
          <t>General Deer License</t>
        </is>
      </c>
      <c r="D699" s="13" t="inlineStr">
        <is>
          <t>General license</t>
        </is>
      </c>
      <c r="E699" s="4" t="inlineStr">
        <is>
          <t>Antlered Buck Mule Deer</t>
        </is>
      </c>
      <c r="F699" s="4" t="inlineStr">
        <is>
          <t>Sep 05-Oct 18</t>
        </is>
      </c>
      <c r="G699" s="4" t="inlineStr">
        <is>
          <t>Oct 24-Nov 15</t>
        </is>
      </c>
      <c r="H699" s="4" t="n"/>
      <c r="I699" s="4" t="n"/>
      <c r="J699" s="4" t="n"/>
      <c r="K699" s="4" t="n"/>
      <c r="L699" s="4" t="n"/>
    </row>
    <row r="700">
      <c r="A700" s="4" t="inlineStr">
        <is>
          <t>215</t>
        </is>
      </c>
      <c r="B700" s="4" t="inlineStr">
        <is>
          <t>mule deer</t>
        </is>
      </c>
      <c r="C700" s="4" t="inlineStr">
        <is>
          <t>General Deer License</t>
        </is>
      </c>
      <c r="D700" s="13" t="inlineStr">
        <is>
          <t>General license</t>
        </is>
      </c>
      <c r="E700" s="4" t="inlineStr">
        <is>
          <t>Antlerless Mule Deer</t>
        </is>
      </c>
      <c r="F700" s="4" t="inlineStr">
        <is>
          <t>Sep 05-Oct 18</t>
        </is>
      </c>
      <c r="G700" s="4" t="inlineStr">
        <is>
          <t>Oct 24-Nov 29</t>
        </is>
      </c>
      <c r="H700" s="4" t="inlineStr">
        <is>
          <t>Dec 12-Dec 20</t>
        </is>
      </c>
      <c r="I700" s="4" t="n"/>
      <c r="J700" s="4" t="n"/>
      <c r="K700" s="4" t="n"/>
      <c r="L700" s="4" t="inlineStr">
        <is>
          <t>Only valid outside National Forest boundary and NOT valid on FWP WMAs or BLM lands. Only youth ages 10-15.</t>
        </is>
      </c>
    </row>
    <row r="701">
      <c r="A701" s="4" t="inlineStr">
        <is>
          <t>215</t>
        </is>
      </c>
      <c r="B701" s="4" t="inlineStr">
        <is>
          <t>mule deer</t>
        </is>
      </c>
      <c r="C701" s="4" t="inlineStr">
        <is>
          <t>General Deer License</t>
        </is>
      </c>
      <c r="D701" s="13" t="inlineStr">
        <is>
          <t>General license</t>
        </is>
      </c>
      <c r="E701" s="4" t="inlineStr">
        <is>
          <t>Antlered Buck Mule Deer</t>
        </is>
      </c>
      <c r="F701" s="4" t="inlineStr">
        <is>
          <t>Sep 05-Oct 18</t>
        </is>
      </c>
      <c r="G701" s="4" t="inlineStr">
        <is>
          <t>Oct 24-Nov 15</t>
        </is>
      </c>
      <c r="H701" s="4" t="n"/>
      <c r="I701" s="4" t="n"/>
      <c r="J701" s="4" t="n"/>
      <c r="K701" s="4" t="n"/>
      <c r="L701" s="4" t="n"/>
    </row>
    <row r="702">
      <c r="A702" s="4" t="inlineStr">
        <is>
          <t>215</t>
        </is>
      </c>
      <c r="B702" s="4" t="inlineStr">
        <is>
          <t>mule deer</t>
        </is>
      </c>
      <c r="C702" s="4" t="inlineStr">
        <is>
          <t>Deer B License: 215-00</t>
        </is>
      </c>
      <c r="D702" s="15" t="inlineStr">
        <is>
          <t>Drawing</t>
        </is>
      </c>
      <c r="E702" s="4" t="inlineStr">
        <is>
          <t>Antlerless Mule Deer</t>
        </is>
      </c>
      <c r="F702" s="4" t="inlineStr">
        <is>
          <t>Sep 05-Oct 18</t>
        </is>
      </c>
      <c r="G702" s="4" t="inlineStr">
        <is>
          <t>Oct 24-Nov 29</t>
        </is>
      </c>
      <c r="H702" s="4" t="inlineStr">
        <is>
          <t>Dec 12-Dec 20</t>
        </is>
      </c>
      <c r="I702" s="4" t="n"/>
      <c r="J702" s="4" t="inlineStr">
        <is>
          <t>Jun 1</t>
        </is>
      </c>
      <c r="K702" s="4" t="inlineStr">
        <is>
          <t>75</t>
        </is>
      </c>
      <c r="L702" s="4" t="inlineStr">
        <is>
          <t>Only valid outside the National Forest Boundary and Not valid on FWP WMAs.</t>
        </is>
      </c>
    </row>
    <row r="703">
      <c r="A703" s="4" t="inlineStr">
        <is>
          <t>216</t>
        </is>
      </c>
      <c r="B703" s="4" t="inlineStr">
        <is>
          <t>mule deer</t>
        </is>
      </c>
      <c r="C703" s="4" t="inlineStr">
        <is>
          <t>General Deer License</t>
        </is>
      </c>
      <c r="D703" s="13" t="inlineStr">
        <is>
          <t>General license</t>
        </is>
      </c>
      <c r="E703" s="4" t="inlineStr">
        <is>
          <t>Antlered Buck Mule Deer</t>
        </is>
      </c>
      <c r="F703" s="4" t="inlineStr">
        <is>
          <t>Sep 05-Oct 18</t>
        </is>
      </c>
      <c r="G703" s="4" t="inlineStr">
        <is>
          <t>Oct 24-Nov 29</t>
        </is>
      </c>
      <c r="H703" s="4" t="inlineStr">
        <is>
          <t>Dec 12-Dec 20</t>
        </is>
      </c>
      <c r="I703" s="4" t="n"/>
      <c r="J703" s="4" t="n"/>
      <c r="K703" s="4" t="n"/>
      <c r="L703" s="4" t="n"/>
    </row>
    <row r="704">
      <c r="A704" s="4" t="inlineStr">
        <is>
          <t>217</t>
        </is>
      </c>
      <c r="B704" s="4" t="inlineStr">
        <is>
          <t>mule deer</t>
        </is>
      </c>
      <c r="C704" s="4" t="inlineStr">
        <is>
          <t>General Deer License</t>
        </is>
      </c>
      <c r="D704" s="13" t="inlineStr">
        <is>
          <t>General license</t>
        </is>
      </c>
      <c r="E704" s="4" t="inlineStr">
        <is>
          <t>Antlerless Mule Deer</t>
        </is>
      </c>
      <c r="F704" s="4" t="inlineStr">
        <is>
          <t>Sep 05-Oct 18</t>
        </is>
      </c>
      <c r="G704" s="4" t="inlineStr">
        <is>
          <t>Oct 24-Nov 29</t>
        </is>
      </c>
      <c r="H704" s="4" t="inlineStr">
        <is>
          <t>Dec 12-Dec 20</t>
        </is>
      </c>
      <c r="I704" s="4" t="n"/>
      <c r="J704" s="4" t="n"/>
      <c r="K704" s="4" t="n"/>
      <c r="L704" s="4" t="inlineStr">
        <is>
          <t>Only valid outside National Forest boundary. NOT valid on BLM lands. Only youth ages 10-15.</t>
        </is>
      </c>
    </row>
    <row r="705">
      <c r="A705" s="4" t="inlineStr">
        <is>
          <t>217</t>
        </is>
      </c>
      <c r="B705" s="4" t="inlineStr">
        <is>
          <t>mule deer</t>
        </is>
      </c>
      <c r="C705" s="4" t="inlineStr">
        <is>
          <t>General Deer License</t>
        </is>
      </c>
      <c r="D705" s="13" t="inlineStr">
        <is>
          <t>General license</t>
        </is>
      </c>
      <c r="E705" s="4" t="inlineStr">
        <is>
          <t>Antlered Buck Mule Deer</t>
        </is>
      </c>
      <c r="F705" s="4" t="inlineStr">
        <is>
          <t>Sep 05-Oct 18</t>
        </is>
      </c>
      <c r="G705" s="4" t="inlineStr">
        <is>
          <t>Oct 24-Nov 15</t>
        </is>
      </c>
      <c r="H705" s="4" t="n"/>
      <c r="I705" s="4" t="n"/>
      <c r="J705" s="4" t="n"/>
      <c r="K705" s="4" t="n"/>
      <c r="L705" s="4" t="n"/>
    </row>
    <row r="706">
      <c r="A706" s="4" t="inlineStr">
        <is>
          <t>217</t>
        </is>
      </c>
      <c r="B706" s="4" t="inlineStr">
        <is>
          <t>mule deer</t>
        </is>
      </c>
      <c r="C706" s="4" t="inlineStr">
        <is>
          <t>Deer B License: 217-00</t>
        </is>
      </c>
      <c r="D706" s="15" t="inlineStr">
        <is>
          <t>Drawing</t>
        </is>
      </c>
      <c r="E706" s="4" t="inlineStr">
        <is>
          <t>Antlerless Mule Deer</t>
        </is>
      </c>
      <c r="F706" s="4" t="inlineStr">
        <is>
          <t>Sep 05-Oct 18</t>
        </is>
      </c>
      <c r="G706" s="4" t="inlineStr">
        <is>
          <t>Oct 24-Nov 29</t>
        </is>
      </c>
      <c r="H706" s="4" t="inlineStr">
        <is>
          <t>Dec 12-Dec 20</t>
        </is>
      </c>
      <c r="I706" s="4" t="n"/>
      <c r="J706" s="4" t="inlineStr">
        <is>
          <t>Jun 1</t>
        </is>
      </c>
      <c r="K706" s="4" t="inlineStr">
        <is>
          <t>65</t>
        </is>
      </c>
      <c r="L706" s="4" t="inlineStr">
        <is>
          <t>Only valid on private land.</t>
        </is>
      </c>
    </row>
    <row r="707">
      <c r="A707" s="4" t="inlineStr">
        <is>
          <t>240</t>
        </is>
      </c>
      <c r="B707" s="4" t="inlineStr">
        <is>
          <t>mule deer</t>
        </is>
      </c>
      <c r="C707" s="4" t="inlineStr">
        <is>
          <t>General Deer License</t>
        </is>
      </c>
      <c r="D707" s="13" t="inlineStr">
        <is>
          <t>General license</t>
        </is>
      </c>
      <c r="E707" s="4" t="inlineStr">
        <is>
          <t>Antlered Buck Mule Deer</t>
        </is>
      </c>
      <c r="F707" s="4" t="inlineStr">
        <is>
          <t>Sep 05-Oct 18</t>
        </is>
      </c>
      <c r="G707" s="4" t="inlineStr">
        <is>
          <t>Oct 24-Nov 15</t>
        </is>
      </c>
      <c r="H707" s="4" t="n"/>
      <c r="I707" s="4" t="n"/>
      <c r="J707" s="4" t="n"/>
      <c r="K707" s="4" t="n"/>
      <c r="L707" s="4" t="n"/>
    </row>
    <row r="708">
      <c r="A708" s="4" t="inlineStr">
        <is>
          <t>240</t>
        </is>
      </c>
      <c r="B708" s="4" t="inlineStr">
        <is>
          <t>mule deer</t>
        </is>
      </c>
      <c r="C708" s="4" t="inlineStr">
        <is>
          <t>Deer Permit: 240-50</t>
        </is>
      </c>
      <c r="D708" s="15" t="inlineStr">
        <is>
          <t>Drawing</t>
        </is>
      </c>
      <c r="E708" s="4" t="inlineStr">
        <is>
          <t>Antlered Buck Mule Deer</t>
        </is>
      </c>
      <c r="F708" s="4" t="n"/>
      <c r="G708" s="4" t="inlineStr">
        <is>
          <t>Oct 01-Nov 29</t>
        </is>
      </c>
      <c r="H708" s="4" t="inlineStr">
        <is>
          <t>Dec 12-Dec 20</t>
        </is>
      </c>
      <c r="I708" s="4" t="n"/>
      <c r="J708" s="4" t="inlineStr">
        <is>
          <t>April 1</t>
        </is>
      </c>
      <c r="K708" s="4" t="inlineStr">
        <is>
          <t>25</t>
        </is>
      </c>
      <c r="L708" s="4" t="inlineStr">
        <is>
          <t>Only valid inside wilderness boundary. Permit must be used with a valid General Deer License. Holders may not hunt Antlered Buck Mule Deer in any other HD. 63 2026 Deer • Elk • Antelope Visit fwp.mt.gov LICENSE/PERMIT OPPORTUNITY APPL Y BY DATE QUOTA QUOTA RANGE EARL Y SEASON DATES ARCHERY ONL Y SEA</t>
        </is>
      </c>
    </row>
    <row r="709">
      <c r="A709" s="4" t="inlineStr">
        <is>
          <t>250</t>
        </is>
      </c>
      <c r="B709" s="4" t="inlineStr">
        <is>
          <t>mule deer</t>
        </is>
      </c>
      <c r="C709" s="4" t="inlineStr">
        <is>
          <t>Deer Permit: 250-50</t>
        </is>
      </c>
      <c r="D709" s="15" t="inlineStr">
        <is>
          <t>Drawing</t>
        </is>
      </c>
      <c r="E709" s="4" t="inlineStr">
        <is>
          <t>Antlered Buck Mule Deer</t>
        </is>
      </c>
      <c r="F709" s="4" t="inlineStr">
        <is>
          <t>Sep 05-Oct 18</t>
        </is>
      </c>
      <c r="G709" s="4" t="inlineStr">
        <is>
          <t>Oct 24-Nov 29</t>
        </is>
      </c>
      <c r="H709" s="4" t="inlineStr">
        <is>
          <t>Dec 12-Dec 20</t>
        </is>
      </c>
      <c r="I709" s="4" t="n"/>
      <c r="J709" s="4" t="inlineStr">
        <is>
          <t>April 1</t>
        </is>
      </c>
      <c r="K709" s="4" t="inlineStr">
        <is>
          <t>25</t>
        </is>
      </c>
      <c r="L709" s="4" t="inlineStr">
        <is>
          <t>Permit must be used with a valid General Deer License. Holders may not hunt Antlered Buck Mule Deer in any other HD.</t>
        </is>
      </c>
    </row>
    <row r="710">
      <c r="A710" s="4" t="inlineStr">
        <is>
          <t>260</t>
        </is>
      </c>
      <c r="B710" s="4" t="inlineStr">
        <is>
          <t>mule deer</t>
        </is>
      </c>
      <c r="C710" s="4" t="inlineStr">
        <is>
          <t>General Deer License</t>
        </is>
      </c>
      <c r="D710" s="13" t="inlineStr">
        <is>
          <t>General license</t>
        </is>
      </c>
      <c r="E710" s="4" t="inlineStr">
        <is>
          <t>Either-sex Mule Deer</t>
        </is>
      </c>
      <c r="F710" s="4" t="inlineStr">
        <is>
          <t>Sep 05-Oct 18</t>
        </is>
      </c>
      <c r="G710" s="4" t="inlineStr">
        <is>
          <t>Oct 19-Nov 29</t>
        </is>
      </c>
      <c r="H710" s="4" t="n"/>
      <c r="I710" s="4" t="inlineStr">
        <is>
          <t>Nov 30-Jan 15</t>
        </is>
      </c>
      <c r="J710" s="4" t="n"/>
      <c r="K710" s="4" t="n"/>
      <c r="L710" s="4" t="inlineStr">
        <is>
          <t>ArchEquip only.</t>
        </is>
      </c>
    </row>
    <row r="711">
      <c r="A711" s="4" t="inlineStr">
        <is>
          <t>261</t>
        </is>
      </c>
      <c r="B711" s="4" t="inlineStr">
        <is>
          <t>mule deer</t>
        </is>
      </c>
      <c r="C711" s="4" t="inlineStr">
        <is>
          <t>Deer B License: 261-01</t>
        </is>
      </c>
      <c r="D711" s="15" t="inlineStr">
        <is>
          <t>Drawing</t>
        </is>
      </c>
      <c r="E711" s="4" t="inlineStr">
        <is>
          <t>Antlerless Mule Deer</t>
        </is>
      </c>
      <c r="F711" s="4" t="inlineStr">
        <is>
          <t>Sep 05-Oct 18</t>
        </is>
      </c>
      <c r="G711" s="4" t="inlineStr">
        <is>
          <t>Oct 24-Nov 29</t>
        </is>
      </c>
      <c r="H711" s="4" t="inlineStr">
        <is>
          <t>Dec 12-Dec 20</t>
        </is>
      </c>
      <c r="I711" s="4" t="n"/>
      <c r="J711" s="4" t="inlineStr">
        <is>
          <t>Jun 1</t>
        </is>
      </c>
      <c r="K711" s="4" t="inlineStr">
        <is>
          <t>10</t>
        </is>
      </c>
      <c r="L711" s="4" t="inlineStr">
        <is>
          <t>Only valid on private land.</t>
        </is>
      </c>
    </row>
    <row r="712">
      <c r="A712" s="4" t="inlineStr">
        <is>
          <t>261</t>
        </is>
      </c>
      <c r="B712" s="4" t="inlineStr">
        <is>
          <t>mule deer</t>
        </is>
      </c>
      <c r="C712" s="4" t="inlineStr">
        <is>
          <t>Deer Permit: 261-50</t>
        </is>
      </c>
      <c r="D712" s="15" t="inlineStr">
        <is>
          <t>Drawing</t>
        </is>
      </c>
      <c r="E712" s="4" t="inlineStr">
        <is>
          <t>Antlered Buck Mule Deer</t>
        </is>
      </c>
      <c r="F712" s="4" t="inlineStr">
        <is>
          <t>Sep 05-Oct 18</t>
        </is>
      </c>
      <c r="G712" s="4" t="inlineStr">
        <is>
          <t>Oct 24-Nov 29</t>
        </is>
      </c>
      <c r="H712" s="4" t="inlineStr">
        <is>
          <t>Dec 12-Dec 20</t>
        </is>
      </c>
      <c r="I712" s="4" t="n"/>
      <c r="J712" s="4" t="inlineStr">
        <is>
          <t>April 1</t>
        </is>
      </c>
      <c r="K712" s="4" t="inlineStr">
        <is>
          <t>10</t>
        </is>
      </c>
      <c r="L712" s="4" t="inlineStr">
        <is>
          <t>Permit must be used with a valid General Deer License. Holders may not hunt Antlered Buck Mule Deer in any other HD. 65 2026 Deer • Elk • Antelope Visit fwp.mt.gov LICENSE/PERMIT OPPORTUNITY APPL Y BY DATE QUOTA QUOTA RANGE EARL Y SEASON DATES ARCHERY ONL Y SEASON DATES GENERAL SEASON DATES HERITAGE</t>
        </is>
      </c>
    </row>
    <row r="713">
      <c r="A713" s="4" t="inlineStr">
        <is>
          <t>262</t>
        </is>
      </c>
      <c r="B713" s="4" t="inlineStr">
        <is>
          <t>mule deer</t>
        </is>
      </c>
      <c r="C713" s="4" t="inlineStr">
        <is>
          <t>General Deer License</t>
        </is>
      </c>
      <c r="D713" s="13" t="inlineStr">
        <is>
          <t>General license</t>
        </is>
      </c>
      <c r="E713" s="4" t="inlineStr">
        <is>
          <t>Antlerless Mule Deer</t>
        </is>
      </c>
      <c r="F713" s="4" t="inlineStr">
        <is>
          <t>Sep 05-Oct 18</t>
        </is>
      </c>
      <c r="G713" s="4" t="inlineStr">
        <is>
          <t>Oct 19-Nov 29</t>
        </is>
      </c>
      <c r="H713" s="4" t="n"/>
      <c r="I713" s="4" t="inlineStr">
        <is>
          <t>Nov 30-Jan 15</t>
        </is>
      </c>
      <c r="J713" s="4" t="n"/>
      <c r="K713" s="4" t="n"/>
      <c r="L713" s="4" t="inlineStr">
        <is>
          <t>ArchEquip only.</t>
        </is>
      </c>
    </row>
    <row r="714">
      <c r="A714" s="4" t="inlineStr">
        <is>
          <t>262</t>
        </is>
      </c>
      <c r="B714" s="4" t="inlineStr">
        <is>
          <t>mule deer</t>
        </is>
      </c>
      <c r="C714" s="4" t="inlineStr">
        <is>
          <t>Deer B License: 262-00</t>
        </is>
      </c>
      <c r="D714" s="15" t="inlineStr">
        <is>
          <t>Drawing</t>
        </is>
      </c>
      <c r="E714" s="4" t="inlineStr">
        <is>
          <t>Antlerless Mule Deer</t>
        </is>
      </c>
      <c r="F714" s="4" t="n"/>
      <c r="G714" s="4" t="n"/>
      <c r="H714" s="4" t="n"/>
      <c r="I714" s="4" t="inlineStr">
        <is>
          <t>Nov 30-Jan 15</t>
        </is>
      </c>
      <c r="J714" s="4" t="inlineStr">
        <is>
          <t>Jun 1</t>
        </is>
      </c>
      <c r="K714" s="4" t="inlineStr">
        <is>
          <t>100</t>
        </is>
      </c>
      <c r="L714" s="4" t="inlineStr">
        <is>
          <t>ArchEquip, shotgun, traditional handgun, muzzleloader, or crossbow only. Only valid on private land. Only valid on private land.</t>
        </is>
      </c>
    </row>
    <row r="715">
      <c r="A715" s="4" t="inlineStr">
        <is>
          <t>262</t>
        </is>
      </c>
      <c r="B715" s="4" t="inlineStr">
        <is>
          <t>mule deer</t>
        </is>
      </c>
      <c r="C715" s="4" t="inlineStr">
        <is>
          <t>Deer Permit: 262-51</t>
        </is>
      </c>
      <c r="D715" s="15" t="inlineStr">
        <is>
          <t>Drawing</t>
        </is>
      </c>
      <c r="E715" s="4" t="inlineStr">
        <is>
          <t>Antlered Buck Mule Deer</t>
        </is>
      </c>
      <c r="F715" s="4" t="inlineStr">
        <is>
          <t>Sep 05-Oct 18</t>
        </is>
      </c>
      <c r="G715" s="4" t="inlineStr">
        <is>
          <t>Oct 24-Nov 29</t>
        </is>
      </c>
      <c r="H715" s="4" t="inlineStr">
        <is>
          <t>Dec 12-Dec 20</t>
        </is>
      </c>
      <c r="I715" s="4" t="n"/>
      <c r="J715" s="4" t="inlineStr">
        <is>
          <t>April 1</t>
        </is>
      </c>
      <c r="K715" s="4" t="inlineStr">
        <is>
          <t>20</t>
        </is>
      </c>
      <c r="L715" s="4" t="inlineStr">
        <is>
          <t>Permit must be used with a valid General Deer License. Holders may not hunt Antlered Buck Mule Deer in any other HD.</t>
        </is>
      </c>
    </row>
    <row r="716">
      <c r="A716" s="4" t="inlineStr">
        <is>
          <t>262</t>
        </is>
      </c>
      <c r="B716" s="4" t="inlineStr">
        <is>
          <t>mule deer</t>
        </is>
      </c>
      <c r="C716" s="4" t="inlineStr">
        <is>
          <t>Deer Permit: 262-52</t>
        </is>
      </c>
      <c r="D716" s="15" t="inlineStr">
        <is>
          <t>Drawing</t>
        </is>
      </c>
      <c r="E716" s="4" t="inlineStr">
        <is>
          <t>Antlered Buck Mule Deer</t>
        </is>
      </c>
      <c r="F716" s="4" t="inlineStr">
        <is>
          <t>Sep 05-Oct 18</t>
        </is>
      </c>
      <c r="G716" s="4" t="inlineStr">
        <is>
          <t>Oct 24-Nov 29</t>
        </is>
      </c>
      <c r="H716" s="4" t="inlineStr">
        <is>
          <t>Dec 12-Dec 20</t>
        </is>
      </c>
      <c r="I716" s="4" t="n"/>
      <c r="J716" s="4" t="inlineStr">
        <is>
          <t>April 1</t>
        </is>
      </c>
      <c r="K716" s="4" t="inlineStr">
        <is>
          <t>10</t>
        </is>
      </c>
      <c r="L716" s="4" t="inlineStr">
        <is>
          <t>Only youth ages 12-15. Permit must be used with a valid General Deer License. Holders may not hunt Antlered Buck Mule Deer in any other HD. LICENSE/PERMIT OPPORTUNITY APPL Y BY DATE QUOTA QUOTA RANGE EARL Y SEASON DATES ARCHERY ONL Y SEASON DATES GENERAL SEASON DATES HERITAGE MUZZLELOADER SEASON DAT</t>
        </is>
      </c>
    </row>
    <row r="717">
      <c r="A717" s="4" t="inlineStr">
        <is>
          <t>270</t>
        </is>
      </c>
      <c r="B717" s="4" t="inlineStr">
        <is>
          <t>mule deer</t>
        </is>
      </c>
      <c r="C717" s="4" t="inlineStr">
        <is>
          <t>Deer B License: 270-01</t>
        </is>
      </c>
      <c r="D717" s="15" t="inlineStr">
        <is>
          <t>Drawing</t>
        </is>
      </c>
      <c r="E717" s="4" t="inlineStr">
        <is>
          <t>Antlerless Mule Deer</t>
        </is>
      </c>
      <c r="F717" s="4" t="inlineStr">
        <is>
          <t>Sep 05-Oct 18</t>
        </is>
      </c>
      <c r="G717" s="4" t="inlineStr">
        <is>
          <t>Oct 24-Nov 29</t>
        </is>
      </c>
      <c r="H717" s="4" t="inlineStr">
        <is>
          <t>Dec 12-Dec 20</t>
        </is>
      </c>
      <c r="I717" s="4" t="n"/>
      <c r="J717" s="4" t="inlineStr">
        <is>
          <t>Jun 1</t>
        </is>
      </c>
      <c r="K717" s="4" t="inlineStr">
        <is>
          <t>25</t>
        </is>
      </c>
      <c r="L717" s="4" t="n"/>
    </row>
    <row r="718">
      <c r="A718" s="4" t="inlineStr">
        <is>
          <t>270</t>
        </is>
      </c>
      <c r="B718" s="4" t="inlineStr">
        <is>
          <t>mule deer</t>
        </is>
      </c>
      <c r="C718" s="4" t="inlineStr">
        <is>
          <t>Deer Permit: 270-50</t>
        </is>
      </c>
      <c r="D718" s="15" t="inlineStr">
        <is>
          <t>Drawing</t>
        </is>
      </c>
      <c r="E718" s="4" t="inlineStr">
        <is>
          <t>Antlered Buck Mule Deer</t>
        </is>
      </c>
      <c r="F718" s="4" t="inlineStr">
        <is>
          <t>Sep 05-Oct 18</t>
        </is>
      </c>
      <c r="G718" s="4" t="inlineStr">
        <is>
          <t>Oct 24-Nov 29</t>
        </is>
      </c>
      <c r="H718" s="4" t="inlineStr">
        <is>
          <t>Dec 12-Dec 20</t>
        </is>
      </c>
      <c r="I718" s="4" t="n"/>
      <c r="J718" s="4" t="inlineStr">
        <is>
          <t>April 1</t>
        </is>
      </c>
      <c r="K718" s="4" t="inlineStr">
        <is>
          <t>45</t>
        </is>
      </c>
      <c r="L718" s="4" t="inlineStr">
        <is>
          <t>Permit must be used with a valid General Deer License. Holders may not hunt Antlered Buck Mule Deer in any other HD.</t>
        </is>
      </c>
    </row>
    <row r="719">
      <c r="A719" s="4" t="inlineStr">
        <is>
          <t>270</t>
        </is>
      </c>
      <c r="B719" s="4" t="inlineStr">
        <is>
          <t>mule deer</t>
        </is>
      </c>
      <c r="C719" s="4" t="inlineStr">
        <is>
          <t>Deer Permit: 270-51</t>
        </is>
      </c>
      <c r="D719" s="15" t="inlineStr">
        <is>
          <t>Drawing</t>
        </is>
      </c>
      <c r="E719" s="4" t="inlineStr">
        <is>
          <t>Antlered Buck Mule Deer</t>
        </is>
      </c>
      <c r="F719" s="4" t="inlineStr">
        <is>
          <t>Sep 05-Oct 18</t>
        </is>
      </c>
      <c r="G719" s="4" t="inlineStr">
        <is>
          <t>Oct 24-Nov 29</t>
        </is>
      </c>
      <c r="H719" s="4" t="inlineStr">
        <is>
          <t>Dec 12-Dec 20</t>
        </is>
      </c>
      <c r="I719" s="4" t="n"/>
      <c r="J719" s="4" t="inlineStr">
        <is>
          <t>April 1</t>
        </is>
      </c>
      <c r="K719" s="4" t="inlineStr">
        <is>
          <t>15</t>
        </is>
      </c>
      <c r="L719" s="4" t="inlineStr">
        <is>
          <t>Antlers must be 3 points or fewer on one side (not including eye guard). Mandatory check required. Successful applicants will be contacted by FWP staf. Permit must be used with a valid General Deer License. Holders may not hunt Antlered Buck Mule Deer in any other HD. 67 2026 Deer • Elk • Antelope V</t>
        </is>
      </c>
    </row>
    <row r="720">
      <c r="A720" s="4" t="inlineStr">
        <is>
          <t>280</t>
        </is>
      </c>
      <c r="B720" s="4" t="inlineStr">
        <is>
          <t>mule deer</t>
        </is>
      </c>
      <c r="C720" s="4" t="inlineStr">
        <is>
          <t>General Deer License</t>
        </is>
      </c>
      <c r="D720" s="13" t="inlineStr">
        <is>
          <t>General license</t>
        </is>
      </c>
      <c r="E720" s="4" t="inlineStr">
        <is>
          <t>Antlered Buck Mule Deer</t>
        </is>
      </c>
      <c r="F720" s="4" t="inlineStr">
        <is>
          <t>Sep 05-Sep 14</t>
        </is>
      </c>
      <c r="G720" s="4" t="inlineStr">
        <is>
          <t>Sep 15-Nov 29</t>
        </is>
      </c>
      <c r="H720" s="4" t="inlineStr">
        <is>
          <t>Dec 12-Dec 20</t>
        </is>
      </c>
      <c r="I720" s="4" t="n"/>
      <c r="J720" s="4" t="n"/>
      <c r="K720" s="4" t="n"/>
      <c r="L720" s="4" t="n"/>
    </row>
    <row r="721">
      <c r="A721" s="4" t="inlineStr">
        <is>
          <t>281</t>
        </is>
      </c>
      <c r="B721" s="4" t="inlineStr">
        <is>
          <t>mule deer</t>
        </is>
      </c>
      <c r="C721" s="4" t="inlineStr">
        <is>
          <t>General Deer License</t>
        </is>
      </c>
      <c r="D721" s="13" t="inlineStr">
        <is>
          <t>General license</t>
        </is>
      </c>
      <c r="E721" s="4" t="inlineStr">
        <is>
          <t>Antlered Buck Mule Deer</t>
        </is>
      </c>
      <c r="F721" s="4" t="inlineStr">
        <is>
          <t>Sep 05-Oct 18</t>
        </is>
      </c>
      <c r="G721" s="4" t="inlineStr">
        <is>
          <t>Oct 24-Nov 29</t>
        </is>
      </c>
      <c r="H721" s="4" t="inlineStr">
        <is>
          <t>Dec 12-Dec 20</t>
        </is>
      </c>
      <c r="I721" s="4" t="n"/>
      <c r="J721" s="4" t="n"/>
      <c r="K721" s="4" t="n"/>
      <c r="L721" s="4" t="n"/>
    </row>
    <row r="722">
      <c r="A722" s="4" t="inlineStr">
        <is>
          <t>282</t>
        </is>
      </c>
      <c r="B722" s="4" t="inlineStr">
        <is>
          <t>mule deer</t>
        </is>
      </c>
      <c r="C722" s="4" t="inlineStr">
        <is>
          <t>General Deer License</t>
        </is>
      </c>
      <c r="D722" s="13" t="inlineStr">
        <is>
          <t>General license</t>
        </is>
      </c>
      <c r="E722" s="4" t="inlineStr">
        <is>
          <t>Antlered Buck Mule Deer</t>
        </is>
      </c>
      <c r="F722" s="4" t="inlineStr">
        <is>
          <t>Sep 05-Oct 18</t>
        </is>
      </c>
      <c r="G722" s="4" t="n"/>
      <c r="H722" s="4" t="n"/>
      <c r="I722" s="4" t="n"/>
      <c r="J722" s="4" t="n"/>
      <c r="K722" s="4" t="n"/>
      <c r="L722" s="4" t="n"/>
    </row>
    <row r="723">
      <c r="A723" s="4" t="inlineStr">
        <is>
          <t>282</t>
        </is>
      </c>
      <c r="B723" s="4" t="inlineStr">
        <is>
          <t>mule deer</t>
        </is>
      </c>
      <c r="C723" s="4" t="inlineStr">
        <is>
          <t>Deer Permit: 282-50</t>
        </is>
      </c>
      <c r="D723" s="15" t="inlineStr">
        <is>
          <t>Drawing</t>
        </is>
      </c>
      <c r="E723" s="4" t="inlineStr">
        <is>
          <t>Antlered Buck Mule Deer</t>
        </is>
      </c>
      <c r="F723" s="4" t="inlineStr">
        <is>
          <t>Sep 05-Oct 18</t>
        </is>
      </c>
      <c r="G723" s="4" t="inlineStr">
        <is>
          <t>Oct 24-Nov 29</t>
        </is>
      </c>
      <c r="H723" s="4" t="inlineStr">
        <is>
          <t>Dec 12-Dec 20</t>
        </is>
      </c>
      <c r="I723" s="4" t="n"/>
      <c r="J723" s="4" t="inlineStr">
        <is>
          <t>April 1</t>
        </is>
      </c>
      <c r="K723" s="4" t="inlineStr">
        <is>
          <t>6</t>
        </is>
      </c>
      <c r="L723" s="4" t="inlineStr">
        <is>
          <t>Permit must be used with a valid General Deer License. Holders may not hunt Antlered Buck Mule Deer in any other HD.</t>
        </is>
      </c>
    </row>
    <row r="724">
      <c r="A724" s="4" t="inlineStr">
        <is>
          <t>284</t>
        </is>
      </c>
      <c r="B724" s="4" t="inlineStr">
        <is>
          <t>mule deer</t>
        </is>
      </c>
      <c r="C724" s="4" t="inlineStr">
        <is>
          <t>General Deer License</t>
        </is>
      </c>
      <c r="D724" s="13" t="inlineStr">
        <is>
          <t>General license</t>
        </is>
      </c>
      <c r="E724" s="4" t="inlineStr">
        <is>
          <t>Antlered Buck Mule Deer</t>
        </is>
      </c>
      <c r="F724" s="4" t="n"/>
      <c r="G724" s="4" t="inlineStr">
        <is>
          <t>Sep 05-Nov 29</t>
        </is>
      </c>
      <c r="H724" s="4" t="n"/>
      <c r="I724" s="4" t="n"/>
      <c r="J724" s="4" t="n"/>
      <c r="K724" s="4" t="n"/>
      <c r="L724" s="4" t="inlineStr">
        <is>
          <t>ArchEquip only.</t>
        </is>
      </c>
    </row>
    <row r="725">
      <c r="A725" s="4" t="inlineStr">
        <is>
          <t>285</t>
        </is>
      </c>
      <c r="B725" s="4" t="inlineStr">
        <is>
          <t>mule deer</t>
        </is>
      </c>
      <c r="C725" s="4" t="inlineStr">
        <is>
          <t>General Deer License</t>
        </is>
      </c>
      <c r="D725" s="13" t="inlineStr">
        <is>
          <t>General license</t>
        </is>
      </c>
      <c r="E725" s="4" t="inlineStr">
        <is>
          <t>Antlered Buck Mule Deer</t>
        </is>
      </c>
      <c r="F725" s="4" t="inlineStr">
        <is>
          <t>Sep 05-Oct 18</t>
        </is>
      </c>
      <c r="G725" s="4" t="inlineStr">
        <is>
          <t>Oct 24-Nov 29</t>
        </is>
      </c>
      <c r="H725" s="4" t="inlineStr">
        <is>
          <t>Dec 12-Dec 20</t>
        </is>
      </c>
      <c r="I725" s="4" t="n"/>
      <c r="J725" s="4" t="n"/>
      <c r="K725" s="4" t="n"/>
      <c r="L725" s="4" t="n"/>
    </row>
    <row r="726">
      <c r="A726" s="4" t="inlineStr">
        <is>
          <t>290</t>
        </is>
      </c>
      <c r="B726" s="4" t="inlineStr">
        <is>
          <t>mule deer</t>
        </is>
      </c>
      <c r="C726" s="4" t="inlineStr">
        <is>
          <t>General Deer License</t>
        </is>
      </c>
      <c r="D726" s="13" t="inlineStr">
        <is>
          <t>General license</t>
        </is>
      </c>
      <c r="E726" s="4" t="inlineStr">
        <is>
          <t>Antlered Buck Mule Deer</t>
        </is>
      </c>
      <c r="F726" s="4" t="n"/>
      <c r="G726" s="4" t="inlineStr">
        <is>
          <t>Sep 05-Nov 29</t>
        </is>
      </c>
      <c r="H726" s="4" t="n"/>
      <c r="I726" s="4" t="inlineStr">
        <is>
          <t>Nov 30-Dec 15</t>
        </is>
      </c>
      <c r="J726" s="4" t="n"/>
      <c r="K726" s="4" t="n"/>
      <c r="L726" s="4" t="inlineStr">
        <is>
          <t>ArchEquip only.</t>
        </is>
      </c>
    </row>
    <row r="727">
      <c r="A727" s="4" t="inlineStr">
        <is>
          <t>291</t>
        </is>
      </c>
      <c r="B727" s="4" t="inlineStr">
        <is>
          <t>mule deer</t>
        </is>
      </c>
      <c r="C727" s="4" t="inlineStr">
        <is>
          <t>Deer Permit: 291-50</t>
        </is>
      </c>
      <c r="D727" s="15" t="inlineStr">
        <is>
          <t>Drawing</t>
        </is>
      </c>
      <c r="E727" s="4" t="inlineStr">
        <is>
          <t>Antlered Buck Mule Deer</t>
        </is>
      </c>
      <c r="F727" s="4" t="inlineStr">
        <is>
          <t>Sep 05-Oct 18</t>
        </is>
      </c>
      <c r="G727" s="4" t="inlineStr">
        <is>
          <t>Oct 24-Nov 29</t>
        </is>
      </c>
      <c r="H727" s="4" t="inlineStr">
        <is>
          <t>Dec 12-Dec 20</t>
        </is>
      </c>
      <c r="I727" s="4" t="n"/>
      <c r="J727" s="4" t="inlineStr">
        <is>
          <t>April 1</t>
        </is>
      </c>
      <c r="K727" s="4" t="inlineStr">
        <is>
          <t>30</t>
        </is>
      </c>
      <c r="L727" s="4" t="inlineStr">
        <is>
          <t>Permit must be used with a valid General Deer License. Holders may not hunt Antlered Buck Mule Deer in any other HD.</t>
        </is>
      </c>
    </row>
    <row r="728">
      <c r="A728" s="4" t="inlineStr">
        <is>
          <t>291</t>
        </is>
      </c>
      <c r="B728" s="4" t="inlineStr">
        <is>
          <t>mule deer</t>
        </is>
      </c>
      <c r="C728" s="4" t="inlineStr">
        <is>
          <t>Deer Permit: 291-51</t>
        </is>
      </c>
      <c r="D728" s="15" t="inlineStr">
        <is>
          <t>Drawing</t>
        </is>
      </c>
      <c r="E728" s="4" t="inlineStr">
        <is>
          <t>Antlered Buck Mule Deer</t>
        </is>
      </c>
      <c r="F728" s="4" t="inlineStr">
        <is>
          <t>Sep 05-Oct 18</t>
        </is>
      </c>
      <c r="G728" s="4" t="inlineStr">
        <is>
          <t>Oct 24-Nov 29</t>
        </is>
      </c>
      <c r="H728" s="4" t="inlineStr">
        <is>
          <t>Dec 12-Dec 20</t>
        </is>
      </c>
      <c r="I728" s="4" t="n"/>
      <c r="J728" s="4" t="inlineStr">
        <is>
          <t>April 1</t>
        </is>
      </c>
      <c r="K728" s="4" t="inlineStr">
        <is>
          <t>30</t>
        </is>
      </c>
      <c r="L728" s="4" t="inlineStr">
        <is>
          <t>Only youth ages 12-15. Permit must be used with a valid General Deer License. Holders may not hunt Antlered Buck Mule Deer in any other HD.</t>
        </is>
      </c>
    </row>
    <row r="729">
      <c r="A729" s="4" t="inlineStr">
        <is>
          <t>292</t>
        </is>
      </c>
      <c r="B729" s="4" t="inlineStr">
        <is>
          <t>mule deer</t>
        </is>
      </c>
      <c r="C729" s="4" t="inlineStr">
        <is>
          <t>General Deer License</t>
        </is>
      </c>
      <c r="D729" s="13" t="inlineStr">
        <is>
          <t>General license</t>
        </is>
      </c>
      <c r="E729" s="4" t="inlineStr">
        <is>
          <t>Antlered Buck Mule Deer</t>
        </is>
      </c>
      <c r="F729" s="4" t="inlineStr">
        <is>
          <t>Sep 05-Oct 18</t>
        </is>
      </c>
      <c r="G729" s="4" t="inlineStr">
        <is>
          <t>Oct 24-Nov 15</t>
        </is>
      </c>
      <c r="H729" s="4" t="n"/>
      <c r="I729" s="4" t="n"/>
      <c r="J729" s="4" t="n"/>
      <c r="K729" s="4" t="n"/>
      <c r="L729" s="4" t="n"/>
    </row>
    <row r="730">
      <c r="A730" s="4" t="inlineStr">
        <is>
          <t>293</t>
        </is>
      </c>
      <c r="B730" s="4" t="inlineStr">
        <is>
          <t>mule deer</t>
        </is>
      </c>
      <c r="C730" s="4" t="inlineStr">
        <is>
          <t>General Deer License</t>
        </is>
      </c>
      <c r="D730" s="13" t="inlineStr">
        <is>
          <t>General license</t>
        </is>
      </c>
      <c r="E730" s="4" t="inlineStr">
        <is>
          <t>Antlered Buck Mule Deer</t>
        </is>
      </c>
      <c r="F730" s="4" t="inlineStr">
        <is>
          <t>Sep 05-Oct 18</t>
        </is>
      </c>
      <c r="G730" s="4" t="inlineStr">
        <is>
          <t>Oct 24-Nov 29</t>
        </is>
      </c>
      <c r="H730" s="4" t="inlineStr">
        <is>
          <t>Dec 12-Dec 20</t>
        </is>
      </c>
      <c r="I730" s="4" t="n"/>
      <c r="J730" s="4" t="n"/>
      <c r="K730" s="4" t="n"/>
      <c r="L730" s="4" t="n"/>
    </row>
    <row r="731">
      <c r="A731" s="4" t="inlineStr">
        <is>
          <t>298</t>
        </is>
      </c>
      <c r="B731" s="4" t="inlineStr">
        <is>
          <t>mule deer</t>
        </is>
      </c>
      <c r="C731" s="4" t="inlineStr">
        <is>
          <t>General Deer License</t>
        </is>
      </c>
      <c r="D731" s="13" t="inlineStr">
        <is>
          <t>General license</t>
        </is>
      </c>
      <c r="E731" s="4" t="inlineStr">
        <is>
          <t>Antlered Buck Mule Deer</t>
        </is>
      </c>
      <c r="F731" s="4" t="inlineStr">
        <is>
          <t>Sep 05-Oct 18</t>
        </is>
      </c>
      <c r="G731" s="4" t="inlineStr">
        <is>
          <t>Oct 24-Nov 15</t>
        </is>
      </c>
      <c r="H731" s="4" t="n"/>
      <c r="I731" s="4" t="n"/>
      <c r="J731" s="4" t="n"/>
      <c r="K731" s="4" t="n"/>
      <c r="L731" s="4" t="n"/>
    </row>
    <row r="732">
      <c r="A732" s="4" t="inlineStr">
        <is>
          <t>301</t>
        </is>
      </c>
      <c r="B732" s="4" t="inlineStr">
        <is>
          <t>mule deer</t>
        </is>
      </c>
      <c r="C732" s="4" t="inlineStr">
        <is>
          <t>General Deer License</t>
        </is>
      </c>
      <c r="D732" s="13" t="inlineStr">
        <is>
          <t>General license</t>
        </is>
      </c>
      <c r="E732" s="4" t="inlineStr">
        <is>
          <t>Antlered Buck Mule Deer</t>
        </is>
      </c>
      <c r="F732" s="4" t="inlineStr">
        <is>
          <t>Sep 05-Oct 18</t>
        </is>
      </c>
      <c r="G732" s="4" t="inlineStr">
        <is>
          <t>Oct 24-Nov 29</t>
        </is>
      </c>
      <c r="H732" s="4" t="inlineStr">
        <is>
          <t>Dec 12-Dec 20</t>
        </is>
      </c>
      <c r="I732" s="4" t="n"/>
      <c r="J732" s="4" t="n"/>
      <c r="K732" s="4" t="n"/>
      <c r="L732" s="4" t="n"/>
    </row>
    <row r="733">
      <c r="A733" s="4" t="inlineStr">
        <is>
          <t>302</t>
        </is>
      </c>
      <c r="B733" s="4" t="inlineStr">
        <is>
          <t>mule deer</t>
        </is>
      </c>
      <c r="C733" s="4" t="inlineStr">
        <is>
          <t>General Deer License</t>
        </is>
      </c>
      <c r="D733" s="13" t="inlineStr">
        <is>
          <t>General license</t>
        </is>
      </c>
      <c r="E733" s="4" t="inlineStr">
        <is>
          <t>Either-sex Mule Deer</t>
        </is>
      </c>
      <c r="F733" s="4" t="inlineStr">
        <is>
          <t>Sep 05-Oct 18</t>
        </is>
      </c>
      <c r="G733" s="4" t="inlineStr">
        <is>
          <t>Oct 24-Nov 29</t>
        </is>
      </c>
      <c r="H733" s="4" t="inlineStr">
        <is>
          <t>Dec 12-Dec 20</t>
        </is>
      </c>
      <c r="I733" s="4" t="n"/>
      <c r="J733" s="4" t="n"/>
      <c r="K733" s="4" t="n"/>
      <c r="L733" s="4" t="n"/>
    </row>
    <row r="734">
      <c r="A734" s="4" t="inlineStr">
        <is>
          <t>303</t>
        </is>
      </c>
      <c r="B734" s="4" t="inlineStr">
        <is>
          <t>mule deer</t>
        </is>
      </c>
      <c r="C734" s="4" t="inlineStr">
        <is>
          <t>General Deer License</t>
        </is>
      </c>
      <c r="D734" s="13" t="inlineStr">
        <is>
          <t>General license</t>
        </is>
      </c>
      <c r="E734" s="4" t="inlineStr">
        <is>
          <t>Antlerless Mule Deer</t>
        </is>
      </c>
      <c r="F734" s="4" t="inlineStr">
        <is>
          <t>Sep 05-Oct 18</t>
        </is>
      </c>
      <c r="G734" s="4" t="inlineStr">
        <is>
          <t>Oct 24-Nov 29</t>
        </is>
      </c>
      <c r="H734" s="4" t="inlineStr">
        <is>
          <t>Dec 12-Dec 20</t>
        </is>
      </c>
      <c r="I734" s="4" t="n"/>
      <c r="J734" s="4" t="n"/>
      <c r="K734" s="4" t="n"/>
      <c r="L734" s="4" t="n"/>
    </row>
    <row r="735">
      <c r="A735" s="4" t="inlineStr">
        <is>
          <t>303</t>
        </is>
      </c>
      <c r="B735" s="4" t="inlineStr">
        <is>
          <t>mule deer</t>
        </is>
      </c>
      <c r="C735" s="4" t="inlineStr">
        <is>
          <t>Deer Permit: 300-50</t>
        </is>
      </c>
      <c r="D735" s="15" t="inlineStr">
        <is>
          <t>Drawing</t>
        </is>
      </c>
      <c r="E735" s="4" t="inlineStr">
        <is>
          <t>Antlered Buck Mule Deer</t>
        </is>
      </c>
      <c r="F735" s="4" t="inlineStr">
        <is>
          <t>Sep 05-Oct 18</t>
        </is>
      </c>
      <c r="G735" s="4" t="inlineStr">
        <is>
          <t>Oct 24-Nov 29</t>
        </is>
      </c>
      <c r="H735" s="4" t="inlineStr">
        <is>
          <t>Dec 12-Dec 20</t>
        </is>
      </c>
      <c r="I735" s="4" t="n"/>
      <c r="J735" s="4" t="inlineStr">
        <is>
          <t>April 1</t>
        </is>
      </c>
      <c r="K735" s="4" t="inlineStr">
        <is>
          <t>30</t>
        </is>
      </c>
      <c r="L735" s="4" t="inlineStr">
        <is>
          <t>Permit must be used with a valid General Deer License. Holders may not hunt Antlered Buck Mule Deer in any other HD.</t>
        </is>
      </c>
    </row>
    <row r="736">
      <c r="A736" s="4" t="inlineStr">
        <is>
          <t>304</t>
        </is>
      </c>
      <c r="B736" s="4" t="inlineStr">
        <is>
          <t>mule deer</t>
        </is>
      </c>
      <c r="C736" s="4" t="inlineStr">
        <is>
          <t>General Deer License</t>
        </is>
      </c>
      <c r="D736" s="13" t="inlineStr">
        <is>
          <t>General license</t>
        </is>
      </c>
      <c r="E736" s="4" t="inlineStr">
        <is>
          <t>Either-sex Mule Deer</t>
        </is>
      </c>
      <c r="F736" s="4" t="inlineStr">
        <is>
          <t>Sep 05-Oct 18</t>
        </is>
      </c>
      <c r="G736" s="4" t="n"/>
      <c r="H736" s="4" t="n"/>
      <c r="I736" s="4" t="n"/>
      <c r="J736" s="4" t="n"/>
      <c r="K736" s="4" t="n"/>
      <c r="L736" s="4" t="n"/>
    </row>
    <row r="737">
      <c r="A737" s="4" t="inlineStr">
        <is>
          <t>304</t>
        </is>
      </c>
      <c r="B737" s="4" t="inlineStr">
        <is>
          <t>mule deer</t>
        </is>
      </c>
      <c r="C737" s="4" t="inlineStr">
        <is>
          <t>General Deer License</t>
        </is>
      </c>
      <c r="D737" s="13" t="inlineStr">
        <is>
          <t>General license</t>
        </is>
      </c>
      <c r="E737" s="4" t="inlineStr">
        <is>
          <t>Antlered Buck Mule Deer</t>
        </is>
      </c>
      <c r="F737" s="4" t="n"/>
      <c r="G737" s="4" t="inlineStr">
        <is>
          <t>Oct 24-Nov 29</t>
        </is>
      </c>
      <c r="H737" s="4" t="inlineStr">
        <is>
          <t>Dec 12-Dec 20</t>
        </is>
      </c>
      <c r="I737" s="4" t="n"/>
      <c r="J737" s="4" t="n"/>
      <c r="K737" s="4" t="n"/>
      <c r="L737" s="4" t="n"/>
    </row>
    <row r="738">
      <c r="A738" s="4" t="inlineStr">
        <is>
          <t>309</t>
        </is>
      </c>
      <c r="B738" s="4" t="inlineStr">
        <is>
          <t>mule deer</t>
        </is>
      </c>
      <c r="C738" s="4" t="inlineStr">
        <is>
          <t>General Deer License</t>
        </is>
      </c>
      <c r="D738" s="13" t="inlineStr">
        <is>
          <t>General license</t>
        </is>
      </c>
      <c r="E738" s="4" t="inlineStr">
        <is>
          <t>Either-sex Mule Deer</t>
        </is>
      </c>
      <c r="F738" s="4" t="n"/>
      <c r="G738" s="4" t="inlineStr">
        <is>
          <t>Sep 05-Nov 29</t>
        </is>
      </c>
      <c r="H738" s="4" t="inlineStr">
        <is>
          <t>Dec 12-Dec 20</t>
        </is>
      </c>
      <c r="I738" s="4" t="n"/>
      <c r="J738" s="4" t="n"/>
      <c r="K738" s="4" t="n"/>
      <c r="L738" s="4" t="n"/>
    </row>
    <row r="739">
      <c r="A739" s="4" t="inlineStr">
        <is>
          <t>310</t>
        </is>
      </c>
      <c r="B739" s="4" t="inlineStr">
        <is>
          <t>mule deer</t>
        </is>
      </c>
      <c r="C739" s="4" t="inlineStr">
        <is>
          <t>General Deer License</t>
        </is>
      </c>
      <c r="D739" s="13" t="inlineStr">
        <is>
          <t>General license</t>
        </is>
      </c>
      <c r="E739" s="4" t="inlineStr">
        <is>
          <t>Either-sex Mule Deer</t>
        </is>
      </c>
      <c r="F739" s="4" t="inlineStr">
        <is>
          <t>Sep 05-Oct 18</t>
        </is>
      </c>
      <c r="G739" s="4" t="n"/>
      <c r="H739" s="4" t="n"/>
      <c r="I739" s="4" t="n"/>
      <c r="J739" s="4" t="n"/>
      <c r="K739" s="4" t="n"/>
      <c r="L739" s="4" t="n"/>
    </row>
    <row r="740">
      <c r="A740" s="4" t="inlineStr">
        <is>
          <t>310</t>
        </is>
      </c>
      <c r="B740" s="4" t="inlineStr">
        <is>
          <t>mule deer</t>
        </is>
      </c>
      <c r="C740" s="4" t="inlineStr">
        <is>
          <t>General Deer License</t>
        </is>
      </c>
      <c r="D740" s="13" t="inlineStr">
        <is>
          <t>General license</t>
        </is>
      </c>
      <c r="E740" s="4" t="inlineStr">
        <is>
          <t>Antlered Buck Mule Deer</t>
        </is>
      </c>
      <c r="F740" s="4" t="n"/>
      <c r="G740" s="4" t="inlineStr">
        <is>
          <t>Oct 24-Nov 29</t>
        </is>
      </c>
      <c r="H740" s="4" t="inlineStr">
        <is>
          <t>Dec 12-Dec 20</t>
        </is>
      </c>
      <c r="I740" s="4" t="n"/>
      <c r="J740" s="4" t="n"/>
      <c r="K740" s="4" t="n"/>
      <c r="L740" s="4" t="n"/>
    </row>
    <row r="741">
      <c r="A741" s="4" t="inlineStr">
        <is>
          <t>311</t>
        </is>
      </c>
      <c r="B741" s="4" t="inlineStr">
        <is>
          <t>mule deer</t>
        </is>
      </c>
      <c r="C741" s="4" t="inlineStr">
        <is>
          <t>General Deer License</t>
        </is>
      </c>
      <c r="D741" s="13" t="inlineStr">
        <is>
          <t>General license</t>
        </is>
      </c>
      <c r="E741" s="4" t="inlineStr">
        <is>
          <t>Either-sex Mule Deer</t>
        </is>
      </c>
      <c r="F741" s="4" t="inlineStr">
        <is>
          <t>Sep 05-Oct 18</t>
        </is>
      </c>
      <c r="G741" s="4" t="n"/>
      <c r="H741" s="4" t="n"/>
      <c r="I741" s="4" t="n"/>
      <c r="J741" s="4" t="n"/>
      <c r="K741" s="4" t="n"/>
      <c r="L741" s="4" t="n"/>
    </row>
    <row r="742">
      <c r="A742" s="4" t="inlineStr">
        <is>
          <t>311</t>
        </is>
      </c>
      <c r="B742" s="4" t="inlineStr">
        <is>
          <t>mule deer</t>
        </is>
      </c>
      <c r="C742" s="4" t="inlineStr">
        <is>
          <t>General Deer License</t>
        </is>
      </c>
      <c r="D742" s="13" t="inlineStr">
        <is>
          <t>General license</t>
        </is>
      </c>
      <c r="E742" s="4" t="inlineStr">
        <is>
          <t>Antlered Buck Mule Deer</t>
        </is>
      </c>
      <c r="F742" s="4" t="n"/>
      <c r="G742" s="4" t="inlineStr">
        <is>
          <t>Oct 24-Nov 29</t>
        </is>
      </c>
      <c r="H742" s="4" t="inlineStr">
        <is>
          <t>Dec 12-Dec 20</t>
        </is>
      </c>
      <c r="I742" s="4" t="n"/>
      <c r="J742" s="4" t="n"/>
      <c r="K742" s="4" t="n"/>
      <c r="L742" s="4" t="n"/>
    </row>
    <row r="743">
      <c r="A743" s="4" t="inlineStr">
        <is>
          <t>311</t>
        </is>
      </c>
      <c r="B743" s="4" t="inlineStr">
        <is>
          <t>mule deer</t>
        </is>
      </c>
      <c r="C743" s="4" t="inlineStr">
        <is>
          <t>Deer B License: 311-01</t>
        </is>
      </c>
      <c r="D743" s="15" t="inlineStr">
        <is>
          <t>Drawing</t>
        </is>
      </c>
      <c r="E743" s="4" t="inlineStr">
        <is>
          <t>Antlerless Mule Deer</t>
        </is>
      </c>
      <c r="F743" s="4" t="inlineStr">
        <is>
          <t>Sep 05-Oct 18</t>
        </is>
      </c>
      <c r="G743" s="4" t="inlineStr">
        <is>
          <t>Oct 24-Nov 29</t>
        </is>
      </c>
      <c r="H743" s="4" t="inlineStr">
        <is>
          <t>Dec 12-Dec 20</t>
        </is>
      </c>
      <c r="I743" s="4" t="n"/>
      <c r="J743" s="4" t="inlineStr">
        <is>
          <t>Jun 1</t>
        </is>
      </c>
      <c r="K743" s="4" t="inlineStr">
        <is>
          <t>200</t>
        </is>
      </c>
      <c r="L743" s="4" t="n"/>
    </row>
    <row r="744">
      <c r="A744" s="4" t="inlineStr">
        <is>
          <t>312</t>
        </is>
      </c>
      <c r="B744" s="4" t="inlineStr">
        <is>
          <t>mule deer</t>
        </is>
      </c>
      <c r="C744" s="4" t="inlineStr">
        <is>
          <t>General Deer License</t>
        </is>
      </c>
      <c r="D744" s="13" t="inlineStr">
        <is>
          <t>General license</t>
        </is>
      </c>
      <c r="E744" s="4" t="inlineStr">
        <is>
          <t>Antlerless Mule Deer</t>
        </is>
      </c>
      <c r="F744" s="4" t="inlineStr">
        <is>
          <t>Sep 05-Oct 18</t>
        </is>
      </c>
      <c r="G744" s="4" t="n"/>
      <c r="H744" s="4" t="n"/>
      <c r="I744" s="4" t="n"/>
      <c r="J744" s="4" t="n"/>
      <c r="K744" s="4" t="n"/>
      <c r="L744" s="4" t="inlineStr">
        <is>
          <t>Only valid east of Springhill/ Rocky Mtn Rd.</t>
        </is>
      </c>
    </row>
    <row r="745">
      <c r="A745" s="4" t="inlineStr">
        <is>
          <t>312</t>
        </is>
      </c>
      <c r="B745" s="4" t="inlineStr">
        <is>
          <t>mule deer</t>
        </is>
      </c>
      <c r="C745" s="4" t="inlineStr">
        <is>
          <t>General Deer License</t>
        </is>
      </c>
      <c r="D745" s="13" t="inlineStr">
        <is>
          <t>General license</t>
        </is>
      </c>
      <c r="E745" s="4" t="inlineStr">
        <is>
          <t>Either-sex Mule Deer</t>
        </is>
      </c>
      <c r="F745" s="4" t="inlineStr">
        <is>
          <t>Sep 05-Oct 18</t>
        </is>
      </c>
      <c r="G745" s="4" t="n"/>
      <c r="H745" s="4" t="n"/>
      <c r="I745" s="4" t="n"/>
      <c r="J745" s="4" t="n"/>
      <c r="K745" s="4" t="n"/>
      <c r="L745" s="4" t="inlineStr">
        <is>
          <t>Only valid west of Springhill/ Rocky Mtn Rd.</t>
        </is>
      </c>
    </row>
    <row r="746">
      <c r="A746" s="4" t="inlineStr">
        <is>
          <t>312</t>
        </is>
      </c>
      <c r="B746" s="4" t="inlineStr">
        <is>
          <t>mule deer</t>
        </is>
      </c>
      <c r="C746" s="4" t="inlineStr">
        <is>
          <t>General Deer License</t>
        </is>
      </c>
      <c r="D746" s="13" t="inlineStr">
        <is>
          <t>General license</t>
        </is>
      </c>
      <c r="E746" s="4" t="inlineStr">
        <is>
          <t>Antlered Buck Mule Deer</t>
        </is>
      </c>
      <c r="F746" s="4" t="n"/>
      <c r="G746" s="4" t="inlineStr">
        <is>
          <t>Oct 24-Nov 29</t>
        </is>
      </c>
      <c r="H746" s="4" t="inlineStr">
        <is>
          <t>Dec 12-Dec 20</t>
        </is>
      </c>
      <c r="I746" s="4" t="n"/>
      <c r="J746" s="4" t="n"/>
      <c r="K746" s="4" t="n"/>
      <c r="L746" s="4" t="inlineStr">
        <is>
          <t>Only valid west of Springhill/ Rocky Mtn Rd.</t>
        </is>
      </c>
    </row>
    <row r="747">
      <c r="A747" s="4" t="inlineStr">
        <is>
          <t>312</t>
        </is>
      </c>
      <c r="B747" s="4" t="inlineStr">
        <is>
          <t>mule deer</t>
        </is>
      </c>
      <c r="C747" s="4" t="inlineStr">
        <is>
          <t>Deer B License: 312-01</t>
        </is>
      </c>
      <c r="D747" s="15" t="inlineStr">
        <is>
          <t>Drawing</t>
        </is>
      </c>
      <c r="E747" s="4" t="inlineStr">
        <is>
          <t>Antlerless Mule Deer</t>
        </is>
      </c>
      <c r="F747" s="4" t="inlineStr">
        <is>
          <t>Sep 05-Oct 18</t>
        </is>
      </c>
      <c r="G747" s="4" t="inlineStr">
        <is>
          <t>Oct 24-Nov 29</t>
        </is>
      </c>
      <c r="H747" s="4" t="inlineStr">
        <is>
          <t>Dec 12-Dec 20</t>
        </is>
      </c>
      <c r="I747" s="4" t="n"/>
      <c r="J747" s="4" t="inlineStr">
        <is>
          <t>Jun 1</t>
        </is>
      </c>
      <c r="K747" s="4" t="inlineStr">
        <is>
          <t>50</t>
        </is>
      </c>
      <c r="L747" s="4" t="inlineStr">
        <is>
          <t>Only valid on private land.</t>
        </is>
      </c>
    </row>
    <row r="748">
      <c r="A748" s="4" t="inlineStr">
        <is>
          <t>312</t>
        </is>
      </c>
      <c r="B748" s="4" t="inlineStr">
        <is>
          <t>mule deer</t>
        </is>
      </c>
      <c r="C748" s="4" t="inlineStr">
        <is>
          <t>Deer Permit: 312-50</t>
        </is>
      </c>
      <c r="D748" s="15" t="inlineStr">
        <is>
          <t>Drawing</t>
        </is>
      </c>
      <c r="E748" s="4" t="inlineStr">
        <is>
          <t>Antlered Buck Mule Deer</t>
        </is>
      </c>
      <c r="F748" s="4" t="inlineStr">
        <is>
          <t>Sep 05-Oct 18</t>
        </is>
      </c>
      <c r="G748" s="4" t="inlineStr">
        <is>
          <t>Oct 24-Nov 29</t>
        </is>
      </c>
      <c r="H748" s="4" t="inlineStr">
        <is>
          <t>Dec 12-Dec 20</t>
        </is>
      </c>
      <c r="I748" s="4" t="n"/>
      <c r="J748" s="4" t="inlineStr">
        <is>
          <t>April 1</t>
        </is>
      </c>
      <c r="K748" s="4" t="inlineStr">
        <is>
          <t>40</t>
        </is>
      </c>
      <c r="L748" s="4" t="inlineStr">
        <is>
          <t>Only valid east of Springhill/ Rocky Mtn Rd. Permit must be used with a valid General Deer License. Holders may not hunt Antlered Buck Mule Deer in any other HD. LICENSE/PERMIT OPPORTUNITY APPL Y BY DATE QUOTA QUOTA RANGE EARL Y SEASON DATES ARCHERY ONL Y SEASON DATES GENERAL SEASON DATES HERITAGE M</t>
        </is>
      </c>
    </row>
    <row r="749">
      <c r="A749" s="4" t="inlineStr">
        <is>
          <t>313</t>
        </is>
      </c>
      <c r="B749" s="4" t="inlineStr">
        <is>
          <t>mule deer</t>
        </is>
      </c>
      <c r="C749" s="4" t="inlineStr">
        <is>
          <t>General Deer License</t>
        </is>
      </c>
      <c r="D749" s="13" t="inlineStr">
        <is>
          <t>General license</t>
        </is>
      </c>
      <c r="E749" s="4" t="inlineStr">
        <is>
          <t>Antlered Buck Mule Deer</t>
        </is>
      </c>
      <c r="F749" s="4" t="inlineStr">
        <is>
          <t>Sep 05-Oct 18</t>
        </is>
      </c>
      <c r="G749" s="4" t="inlineStr">
        <is>
          <t>Oct 24-Nov 15</t>
        </is>
      </c>
      <c r="H749" s="4" t="n"/>
      <c r="I749" s="4" t="n"/>
      <c r="J749" s="4" t="n"/>
      <c r="K749" s="4" t="n"/>
      <c r="L749" s="4" t="n"/>
    </row>
    <row r="750">
      <c r="A750" s="4" t="inlineStr">
        <is>
          <t>313</t>
        </is>
      </c>
      <c r="B750" s="4" t="inlineStr">
        <is>
          <t>mule deer</t>
        </is>
      </c>
      <c r="C750" s="4" t="inlineStr">
        <is>
          <t>Deer B License: 313-01</t>
        </is>
      </c>
      <c r="D750" s="15" t="inlineStr">
        <is>
          <t>Drawing</t>
        </is>
      </c>
      <c r="E750" s="4" t="inlineStr">
        <is>
          <t>Antlerless Mule Deer</t>
        </is>
      </c>
      <c r="F750" s="4" t="inlineStr">
        <is>
          <t>Sep 05-Oct 18</t>
        </is>
      </c>
      <c r="G750" s="4" t="inlineStr">
        <is>
          <t>Oct 24-Nov 29</t>
        </is>
      </c>
      <c r="H750" s="4" t="inlineStr">
        <is>
          <t>Dec 12-Dec 20</t>
        </is>
      </c>
      <c r="I750" s="4" t="n"/>
      <c r="J750" s="4" t="inlineStr">
        <is>
          <t>Jun 1</t>
        </is>
      </c>
      <c r="K750" s="4" t="inlineStr">
        <is>
          <t>20</t>
        </is>
      </c>
      <c r="L750" s="4" t="inlineStr">
        <is>
          <t>Only valid on private land.</t>
        </is>
      </c>
    </row>
    <row r="751">
      <c r="A751" s="4" t="inlineStr">
        <is>
          <t>314</t>
        </is>
      </c>
      <c r="B751" s="4" t="inlineStr">
        <is>
          <t>mule deer</t>
        </is>
      </c>
      <c r="C751" s="4" t="inlineStr">
        <is>
          <t>General Deer License</t>
        </is>
      </c>
      <c r="D751" s="13" t="inlineStr">
        <is>
          <t>General license</t>
        </is>
      </c>
      <c r="E751" s="4" t="inlineStr">
        <is>
          <t>Antlered Buck Mule Deer</t>
        </is>
      </c>
      <c r="F751" s="4" t="inlineStr">
        <is>
          <t>Sep 05-Oct 18</t>
        </is>
      </c>
      <c r="G751" s="4" t="inlineStr">
        <is>
          <t>Oct 24-Nov 29</t>
        </is>
      </c>
      <c r="H751" s="4" t="inlineStr">
        <is>
          <t>Dec 12-Dec 20</t>
        </is>
      </c>
      <c r="I751" s="4" t="n"/>
      <c r="J751" s="4" t="n"/>
      <c r="K751" s="4" t="n"/>
      <c r="L751" s="4" t="n"/>
    </row>
    <row r="752">
      <c r="A752" s="4" t="inlineStr">
        <is>
          <t>314</t>
        </is>
      </c>
      <c r="B752" s="4" t="inlineStr">
        <is>
          <t>mule deer</t>
        </is>
      </c>
      <c r="C752" s="4" t="inlineStr">
        <is>
          <t>Deer B License: 314-01</t>
        </is>
      </c>
      <c r="D752" s="15" t="inlineStr">
        <is>
          <t>Drawing</t>
        </is>
      </c>
      <c r="E752" s="4" t="inlineStr">
        <is>
          <t>Antlerless Mule Deer</t>
        </is>
      </c>
      <c r="F752" s="4" t="inlineStr">
        <is>
          <t>Sep 05-Oct 18</t>
        </is>
      </c>
      <c r="G752" s="4" t="inlineStr">
        <is>
          <t>Oct 24-Nov 29</t>
        </is>
      </c>
      <c r="H752" s="4" t="inlineStr">
        <is>
          <t>Dec 12-Dec 20</t>
        </is>
      </c>
      <c r="I752" s="4" t="n"/>
      <c r="J752" s="4" t="inlineStr">
        <is>
          <t>Jun 1</t>
        </is>
      </c>
      <c r="K752" s="4" t="inlineStr">
        <is>
          <t>100</t>
        </is>
      </c>
      <c r="L752" s="4" t="inlineStr">
        <is>
          <t>Only valid on private land.</t>
        </is>
      </c>
    </row>
    <row r="753">
      <c r="A753" s="4" t="inlineStr">
        <is>
          <t>315</t>
        </is>
      </c>
      <c r="B753" s="4" t="inlineStr">
        <is>
          <t>mule deer</t>
        </is>
      </c>
      <c r="C753" s="4" t="inlineStr">
        <is>
          <t>General Deer License</t>
        </is>
      </c>
      <c r="D753" s="13" t="inlineStr">
        <is>
          <t>General license</t>
        </is>
      </c>
      <c r="E753" s="4" t="inlineStr">
        <is>
          <t>Antlered Buck Mule Deer</t>
        </is>
      </c>
      <c r="F753" s="4" t="inlineStr">
        <is>
          <t>Sep 05-Oct 18</t>
        </is>
      </c>
      <c r="G753" s="4" t="inlineStr">
        <is>
          <t>Oct 24-Nov 29</t>
        </is>
      </c>
      <c r="H753" s="4" t="inlineStr">
        <is>
          <t>Dec 12-Dec 20</t>
        </is>
      </c>
      <c r="I753" s="4" t="n"/>
      <c r="J753" s="4" t="n"/>
      <c r="K753" s="4" t="n"/>
      <c r="L753" s="4" t="n"/>
    </row>
    <row r="754">
      <c r="A754" s="4" t="inlineStr">
        <is>
          <t>315</t>
        </is>
      </c>
      <c r="B754" s="4" t="inlineStr">
        <is>
          <t>mule deer</t>
        </is>
      </c>
      <c r="C754" s="4" t="inlineStr">
        <is>
          <t>Deer B License: 315-02</t>
        </is>
      </c>
      <c r="D754" s="15" t="inlineStr">
        <is>
          <t>Drawing</t>
        </is>
      </c>
      <c r="E754" s="4" t="inlineStr">
        <is>
          <t>Antlerless Mule Deer</t>
        </is>
      </c>
      <c r="F754" s="4" t="inlineStr">
        <is>
          <t>Sep 05-Oct 18</t>
        </is>
      </c>
      <c r="G754" s="4" t="inlineStr">
        <is>
          <t>Oct 24-Nov 29</t>
        </is>
      </c>
      <c r="H754" s="4" t="inlineStr">
        <is>
          <t>Dec 12-Dec 20</t>
        </is>
      </c>
      <c r="I754" s="4" t="n"/>
      <c r="J754" s="4" t="inlineStr">
        <is>
          <t>Jun 1</t>
        </is>
      </c>
      <c r="K754" s="4" t="inlineStr">
        <is>
          <t>70</t>
        </is>
      </c>
      <c r="L754" s="4" t="inlineStr">
        <is>
          <t>Valid on private land only.</t>
        </is>
      </c>
    </row>
    <row r="755">
      <c r="A755" s="4" t="inlineStr">
        <is>
          <t>316</t>
        </is>
      </c>
      <c r="B755" s="4" t="inlineStr">
        <is>
          <t>mule deer</t>
        </is>
      </c>
      <c r="C755" s="4" t="inlineStr">
        <is>
          <t>General Deer License</t>
        </is>
      </c>
      <c r="D755" s="13" t="inlineStr">
        <is>
          <t>General license</t>
        </is>
      </c>
      <c r="E755" s="4" t="inlineStr">
        <is>
          <t>Antlered Buck Mule Deer</t>
        </is>
      </c>
      <c r="F755" s="4" t="n"/>
      <c r="G755" s="4" t="inlineStr">
        <is>
          <t>Sep 15-Nov 29</t>
        </is>
      </c>
      <c r="H755" s="4" t="inlineStr">
        <is>
          <t>Dec 12-Dec 20</t>
        </is>
      </c>
      <c r="I755" s="4" t="n"/>
      <c r="J755" s="4" t="n"/>
      <c r="K755" s="4" t="n"/>
      <c r="L755" s="4" t="n"/>
    </row>
    <row r="756">
      <c r="A756" s="4" t="inlineStr">
        <is>
          <t>317</t>
        </is>
      </c>
      <c r="B756" s="4" t="inlineStr">
        <is>
          <t>mule deer</t>
        </is>
      </c>
      <c r="C756" s="4" t="inlineStr">
        <is>
          <t>General Deer License</t>
        </is>
      </c>
      <c r="D756" s="13" t="inlineStr">
        <is>
          <t>General license</t>
        </is>
      </c>
      <c r="E756" s="4" t="inlineStr">
        <is>
          <t>Antlered Buck Mule Deer</t>
        </is>
      </c>
      <c r="F756" s="4" t="inlineStr">
        <is>
          <t>Sep 05-Oct 18</t>
        </is>
      </c>
      <c r="G756" s="4" t="inlineStr">
        <is>
          <t>Oct 24-Nov 29</t>
        </is>
      </c>
      <c r="H756" s="4" t="inlineStr">
        <is>
          <t>Dec 12-Dec 20</t>
        </is>
      </c>
      <c r="I756" s="4" t="n"/>
      <c r="J756" s="4" t="n"/>
      <c r="K756" s="4" t="n"/>
      <c r="L756" s="4" t="n"/>
    </row>
    <row r="757">
      <c r="A757" s="4" t="inlineStr">
        <is>
          <t>317</t>
        </is>
      </c>
      <c r="B757" s="4" t="inlineStr">
        <is>
          <t>mule deer</t>
        </is>
      </c>
      <c r="C757" s="4" t="inlineStr">
        <is>
          <t>Deer B License: 317-01</t>
        </is>
      </c>
      <c r="D757" s="15" t="inlineStr">
        <is>
          <t>Drawing</t>
        </is>
      </c>
      <c r="E757" s="4" t="inlineStr">
        <is>
          <t>Antlerless Mule Deer</t>
        </is>
      </c>
      <c r="F757" s="4" t="inlineStr">
        <is>
          <t>Sep 05-Oct 18</t>
        </is>
      </c>
      <c r="G757" s="4" t="inlineStr">
        <is>
          <t>Oct 24-Nov 29</t>
        </is>
      </c>
      <c r="H757" s="4" t="inlineStr">
        <is>
          <t>Dec 12-Dec 20</t>
        </is>
      </c>
      <c r="I757" s="4" t="n"/>
      <c r="J757" s="4" t="inlineStr">
        <is>
          <t>Jun 1</t>
        </is>
      </c>
      <c r="K757" s="4" t="inlineStr">
        <is>
          <t>85</t>
        </is>
      </c>
      <c r="L757" s="4" t="inlineStr">
        <is>
          <t>Only valid on private land.</t>
        </is>
      </c>
    </row>
    <row r="758">
      <c r="A758" s="4" t="inlineStr">
        <is>
          <t>318</t>
        </is>
      </c>
      <c r="B758" s="4" t="inlineStr">
        <is>
          <t>mule deer</t>
        </is>
      </c>
      <c r="C758" s="4" t="inlineStr">
        <is>
          <t>General Deer License</t>
        </is>
      </c>
      <c r="D758" s="13" t="inlineStr">
        <is>
          <t>General license</t>
        </is>
      </c>
      <c r="E758" s="4" t="inlineStr">
        <is>
          <t>Either-sex Mule Deer</t>
        </is>
      </c>
      <c r="F758" s="4" t="inlineStr">
        <is>
          <t>Sep 05-Oct 18</t>
        </is>
      </c>
      <c r="G758" s="4" t="n"/>
      <c r="H758" s="4" t="n"/>
      <c r="I758" s="4" t="n"/>
      <c r="J758" s="4" t="n"/>
      <c r="K758" s="4" t="n"/>
      <c r="L758" s="4" t="n"/>
    </row>
    <row r="759">
      <c r="A759" s="4" t="inlineStr">
        <is>
          <t>318</t>
        </is>
      </c>
      <c r="B759" s="4" t="inlineStr">
        <is>
          <t>mule deer</t>
        </is>
      </c>
      <c r="C759" s="4" t="inlineStr">
        <is>
          <t>General Deer License</t>
        </is>
      </c>
      <c r="D759" s="13" t="inlineStr">
        <is>
          <t>General license</t>
        </is>
      </c>
      <c r="E759" s="4" t="inlineStr">
        <is>
          <t>Antlered Buck Mule Deer</t>
        </is>
      </c>
      <c r="F759" s="4" t="n"/>
      <c r="G759" s="4" t="inlineStr">
        <is>
          <t>Oct 24-Nov 29</t>
        </is>
      </c>
      <c r="H759" s="4" t="inlineStr">
        <is>
          <t>Dec 12-Dec 20</t>
        </is>
      </c>
      <c r="I759" s="4" t="n"/>
      <c r="J759" s="4" t="n"/>
      <c r="K759" s="4" t="n"/>
      <c r="L759" s="4" t="n"/>
    </row>
    <row r="760">
      <c r="A760" s="4" t="inlineStr">
        <is>
          <t>318</t>
        </is>
      </c>
      <c r="B760" s="4" t="inlineStr">
        <is>
          <t>mule deer</t>
        </is>
      </c>
      <c r="C760" s="4" t="inlineStr">
        <is>
          <t>Deer B License: 318-00</t>
        </is>
      </c>
      <c r="D760" s="15" t="inlineStr">
        <is>
          <t>Drawing</t>
        </is>
      </c>
      <c r="E760" s="4" t="inlineStr">
        <is>
          <t>Antlerless Mule Deer</t>
        </is>
      </c>
      <c r="F760" s="4" t="inlineStr">
        <is>
          <t>Sep 05-Oct 18</t>
        </is>
      </c>
      <c r="G760" s="4" t="inlineStr">
        <is>
          <t>Oct 24-Nov 29</t>
        </is>
      </c>
      <c r="H760" s="4" t="inlineStr">
        <is>
          <t>Dec 12-Dec 20</t>
        </is>
      </c>
      <c r="I760" s="4" t="n"/>
      <c r="J760" s="4" t="inlineStr">
        <is>
          <t>Jun 1</t>
        </is>
      </c>
      <c r="K760" s="4" t="inlineStr">
        <is>
          <t>25</t>
        </is>
      </c>
      <c r="L760" s="4" t="inlineStr">
        <is>
          <t>Only valid on private land. 79 2026 Deer • Elk • Antelope Visit fwp.mt.gov LICENSE/PERMIT OPPORTUNITY APPL Y BY DATE QUOTA QUOTA RANGE EARL Y SEASON DATES ARCHERY ONL Y SEASON DATES GENERAL SEASON DATES HERITAGE MUZZLELOADER SEASON DATES LATE SEASON DATES OPPORTUNITY SPECIFIC DETAILS AND/ORRESTRICTI</t>
        </is>
      </c>
    </row>
    <row r="761">
      <c r="A761" s="4" t="inlineStr">
        <is>
          <t>319</t>
        </is>
      </c>
      <c r="B761" s="4" t="inlineStr">
        <is>
          <t>mule deer</t>
        </is>
      </c>
      <c r="C761" s="4" t="inlineStr">
        <is>
          <t>Deer B License: 319-01</t>
        </is>
      </c>
      <c r="D761" s="15" t="inlineStr">
        <is>
          <t>Drawing</t>
        </is>
      </c>
      <c r="E761" s="4" t="inlineStr">
        <is>
          <t>Antlerless Mule Deer</t>
        </is>
      </c>
      <c r="F761" s="4" t="inlineStr">
        <is>
          <t>Sep 05-Oct 18</t>
        </is>
      </c>
      <c r="G761" s="4" t="inlineStr">
        <is>
          <t>Oct 24-Nov 29</t>
        </is>
      </c>
      <c r="H761" s="4" t="inlineStr">
        <is>
          <t>Dec 12-Dec 20</t>
        </is>
      </c>
      <c r="I761" s="4" t="n"/>
      <c r="J761" s="4" t="inlineStr">
        <is>
          <t>Jun 1</t>
        </is>
      </c>
      <c r="K761" s="4" t="inlineStr">
        <is>
          <t>50</t>
        </is>
      </c>
      <c r="L761" s="4" t="inlineStr">
        <is>
          <t>Only valid on private land.</t>
        </is>
      </c>
    </row>
    <row r="762">
      <c r="A762" s="4" t="inlineStr">
        <is>
          <t>319</t>
        </is>
      </c>
      <c r="B762" s="4" t="inlineStr">
        <is>
          <t>mule deer</t>
        </is>
      </c>
      <c r="C762" s="4" t="inlineStr">
        <is>
          <t>Deer Permit: 319-50</t>
        </is>
      </c>
      <c r="D762" s="15" t="inlineStr">
        <is>
          <t>Drawing</t>
        </is>
      </c>
      <c r="E762" s="4" t="inlineStr">
        <is>
          <t>Antlered Buck Mule Deer</t>
        </is>
      </c>
      <c r="F762" s="4" t="inlineStr">
        <is>
          <t>Sep 05-Oct 18</t>
        </is>
      </c>
      <c r="G762" s="4" t="inlineStr">
        <is>
          <t>Oct 24-Nov 29</t>
        </is>
      </c>
      <c r="H762" s="4" t="inlineStr">
        <is>
          <t>Dec 12-Dec 20</t>
        </is>
      </c>
      <c r="I762" s="4" t="n"/>
      <c r="J762" s="4" t="inlineStr">
        <is>
          <t>April 1</t>
        </is>
      </c>
      <c r="K762" s="4" t="inlineStr">
        <is>
          <t>125</t>
        </is>
      </c>
      <c r="L762" s="4" t="inlineStr">
        <is>
          <t>One per hunter. Permit must be used with a valid General Deer License. Holders may not hunt Antlered Buck Mule Deer in any other HD.</t>
        </is>
      </c>
    </row>
    <row r="763">
      <c r="A763" s="4" t="inlineStr">
        <is>
          <t>320</t>
        </is>
      </c>
      <c r="B763" s="4" t="inlineStr">
        <is>
          <t>mule deer</t>
        </is>
      </c>
      <c r="C763" s="4" t="inlineStr">
        <is>
          <t>General Deer License</t>
        </is>
      </c>
      <c r="D763" s="13" t="inlineStr">
        <is>
          <t>General license</t>
        </is>
      </c>
      <c r="E763" s="4" t="inlineStr">
        <is>
          <t>Either-sex Mule Deer</t>
        </is>
      </c>
      <c r="F763" s="4" t="inlineStr">
        <is>
          <t>Sep 05-Oct 18</t>
        </is>
      </c>
      <c r="G763" s="4" t="inlineStr">
        <is>
          <t>Oct 24-Nov 29</t>
        </is>
      </c>
      <c r="H763" s="4" t="inlineStr">
        <is>
          <t>Dec 12-Dec 20</t>
        </is>
      </c>
      <c r="I763" s="4" t="n"/>
      <c r="J763" s="4" t="n"/>
      <c r="K763" s="4" t="n"/>
      <c r="L763" s="4" t="n"/>
    </row>
    <row r="764">
      <c r="A764" s="4" t="inlineStr">
        <is>
          <t>321</t>
        </is>
      </c>
      <c r="B764" s="4" t="inlineStr">
        <is>
          <t>mule deer</t>
        </is>
      </c>
      <c r="C764" s="4" t="inlineStr">
        <is>
          <t>General Deer License</t>
        </is>
      </c>
      <c r="D764" s="13" t="inlineStr">
        <is>
          <t>General license</t>
        </is>
      </c>
      <c r="E764" s="4" t="inlineStr">
        <is>
          <t>Either-sex Mule Deer</t>
        </is>
      </c>
      <c r="F764" s="4" t="inlineStr">
        <is>
          <t>Sep 05-Oct 18</t>
        </is>
      </c>
      <c r="G764" s="4" t="inlineStr">
        <is>
          <t>Oct 24-Nov 29</t>
        </is>
      </c>
      <c r="H764" s="4" t="inlineStr">
        <is>
          <t>Dec 12-Dec 20</t>
        </is>
      </c>
      <c r="I764" s="4" t="n"/>
      <c r="J764" s="4" t="n"/>
      <c r="K764" s="4" t="n"/>
      <c r="L764" s="4" t="n"/>
    </row>
    <row r="765">
      <c r="A765" s="4" t="inlineStr">
        <is>
          <t>322</t>
        </is>
      </c>
      <c r="B765" s="4" t="inlineStr">
        <is>
          <t>mule deer</t>
        </is>
      </c>
      <c r="C765" s="4" t="inlineStr">
        <is>
          <t>General Deer License</t>
        </is>
      </c>
      <c r="D765" s="13" t="inlineStr">
        <is>
          <t>General license</t>
        </is>
      </c>
      <c r="E765" s="4" t="inlineStr">
        <is>
          <t>Either-sex Mule Deer</t>
        </is>
      </c>
      <c r="F765" s="4" t="inlineStr">
        <is>
          <t>Sep 05-Oct 18</t>
        </is>
      </c>
      <c r="G765" s="4" t="inlineStr">
        <is>
          <t>Oct 24-Nov 29</t>
        </is>
      </c>
      <c r="H765" s="4" t="inlineStr">
        <is>
          <t>Dec 12-Dec 20</t>
        </is>
      </c>
      <c r="I765" s="4" t="n"/>
      <c r="J765" s="4" t="n"/>
      <c r="K765" s="4" t="n"/>
      <c r="L765" s="4" t="n"/>
    </row>
    <row r="766">
      <c r="A766" s="4" t="inlineStr">
        <is>
          <t>323</t>
        </is>
      </c>
      <c r="B766" s="4" t="inlineStr">
        <is>
          <t>mule deer</t>
        </is>
      </c>
      <c r="C766" s="4" t="inlineStr">
        <is>
          <t>General Deer License</t>
        </is>
      </c>
      <c r="D766" s="13" t="inlineStr">
        <is>
          <t>General license</t>
        </is>
      </c>
      <c r="E766" s="4" t="inlineStr">
        <is>
          <t>Either-sex Mule Deer</t>
        </is>
      </c>
      <c r="F766" s="4" t="inlineStr">
        <is>
          <t>Sep 05-Oct 18</t>
        </is>
      </c>
      <c r="G766" s="4" t="inlineStr">
        <is>
          <t>Oct 24-Nov 29</t>
        </is>
      </c>
      <c r="H766" s="4" t="inlineStr">
        <is>
          <t>Dec 12-Dec 20</t>
        </is>
      </c>
      <c r="I766" s="4" t="n"/>
      <c r="J766" s="4" t="n"/>
      <c r="K766" s="4" t="n"/>
      <c r="L766" s="4" t="n"/>
    </row>
    <row r="767">
      <c r="A767" s="4" t="inlineStr">
        <is>
          <t>324</t>
        </is>
      </c>
      <c r="B767" s="4" t="inlineStr">
        <is>
          <t>mule deer</t>
        </is>
      </c>
      <c r="C767" s="4" t="inlineStr">
        <is>
          <t>General Deer License</t>
        </is>
      </c>
      <c r="D767" s="13" t="inlineStr">
        <is>
          <t>General license</t>
        </is>
      </c>
      <c r="E767" s="4" t="inlineStr">
        <is>
          <t>Either-sex Mule Deer</t>
        </is>
      </c>
      <c r="F767" s="4" t="inlineStr">
        <is>
          <t>Sep 05-Oct 18</t>
        </is>
      </c>
      <c r="G767" s="4" t="inlineStr">
        <is>
          <t>Oct 24-Nov 29</t>
        </is>
      </c>
      <c r="H767" s="4" t="inlineStr">
        <is>
          <t>Dec 12-Dec 20</t>
        </is>
      </c>
      <c r="I767" s="4" t="n"/>
      <c r="J767" s="4" t="n"/>
      <c r="K767" s="4" t="n"/>
      <c r="L767" s="4" t="n"/>
    </row>
    <row r="768">
      <c r="A768" s="4" t="inlineStr">
        <is>
          <t>329</t>
        </is>
      </c>
      <c r="B768" s="4" t="inlineStr">
        <is>
          <t>mule deer</t>
        </is>
      </c>
      <c r="C768" s="4" t="inlineStr">
        <is>
          <t>General Deer License</t>
        </is>
      </c>
      <c r="D768" s="13" t="inlineStr">
        <is>
          <t>General license</t>
        </is>
      </c>
      <c r="E768" s="4" t="inlineStr">
        <is>
          <t>Either-sex Mule Deer</t>
        </is>
      </c>
      <c r="F768" s="4" t="inlineStr">
        <is>
          <t>Sep 05-Oct 18</t>
        </is>
      </c>
      <c r="G768" s="4" t="inlineStr">
        <is>
          <t>Oct 24-Nov 29</t>
        </is>
      </c>
      <c r="H768" s="4" t="inlineStr">
        <is>
          <t>Dec 12-Dec 20</t>
        </is>
      </c>
      <c r="I768" s="4" t="n"/>
      <c r="J768" s="4" t="n"/>
      <c r="K768" s="4" t="n"/>
      <c r="L768" s="4" t="n"/>
    </row>
    <row r="769">
      <c r="A769" s="4" t="inlineStr">
        <is>
          <t>331</t>
        </is>
      </c>
      <c r="B769" s="4" t="inlineStr">
        <is>
          <t>mule deer</t>
        </is>
      </c>
      <c r="C769" s="4" t="inlineStr">
        <is>
          <t>General Deer License</t>
        </is>
      </c>
      <c r="D769" s="13" t="inlineStr">
        <is>
          <t>General license</t>
        </is>
      </c>
      <c r="E769" s="4" t="inlineStr">
        <is>
          <t>Either-sex Mule Deer</t>
        </is>
      </c>
      <c r="F769" s="4" t="inlineStr">
        <is>
          <t>Sep 05-Oct 18</t>
        </is>
      </c>
      <c r="G769" s="4" t="inlineStr">
        <is>
          <t>Oct 24-Nov 29</t>
        </is>
      </c>
      <c r="H769" s="4" t="inlineStr">
        <is>
          <t>Dec 12-Dec 20</t>
        </is>
      </c>
      <c r="I769" s="4" t="n"/>
      <c r="J769" s="4" t="n"/>
      <c r="K769" s="4" t="n"/>
      <c r="L769" s="4" t="n"/>
    </row>
    <row r="770">
      <c r="A770" s="4" t="inlineStr">
        <is>
          <t>335</t>
        </is>
      </c>
      <c r="B770" s="4" t="inlineStr">
        <is>
          <t>mule deer</t>
        </is>
      </c>
      <c r="C770" s="4" t="inlineStr">
        <is>
          <t>General Deer License</t>
        </is>
      </c>
      <c r="D770" s="13" t="inlineStr">
        <is>
          <t>General license</t>
        </is>
      </c>
      <c r="E770" s="4" t="inlineStr">
        <is>
          <t>Either-sex Mule Deer</t>
        </is>
      </c>
      <c r="F770" s="4" t="inlineStr">
        <is>
          <t>Sep 05-Oct 18</t>
        </is>
      </c>
      <c r="G770" s="4" t="n"/>
      <c r="H770" s="4" t="n"/>
      <c r="I770" s="4" t="n"/>
      <c r="J770" s="4" t="n"/>
      <c r="K770" s="4" t="n"/>
      <c r="L770" s="4" t="n"/>
    </row>
    <row r="771">
      <c r="A771" s="4" t="inlineStr">
        <is>
          <t>335</t>
        </is>
      </c>
      <c r="B771" s="4" t="inlineStr">
        <is>
          <t>mule deer</t>
        </is>
      </c>
      <c r="C771" s="4" t="inlineStr">
        <is>
          <t>General Deer License</t>
        </is>
      </c>
      <c r="D771" s="13" t="inlineStr">
        <is>
          <t>General license</t>
        </is>
      </c>
      <c r="E771" s="4" t="inlineStr">
        <is>
          <t>Antlered Buck Mule Deer</t>
        </is>
      </c>
      <c r="F771" s="4" t="n"/>
      <c r="G771" s="4" t="inlineStr">
        <is>
          <t>Oct 24-Nov 29</t>
        </is>
      </c>
      <c r="H771" s="4" t="inlineStr">
        <is>
          <t>Dec 12-Dec 20</t>
        </is>
      </c>
      <c r="I771" s="4" t="n"/>
      <c r="J771" s="4" t="n"/>
      <c r="K771" s="4" t="n"/>
      <c r="L771" s="4" t="n"/>
    </row>
    <row r="772">
      <c r="A772" s="4" t="inlineStr">
        <is>
          <t>335</t>
        </is>
      </c>
      <c r="B772" s="4" t="inlineStr">
        <is>
          <t>mule deer</t>
        </is>
      </c>
      <c r="C772" s="4" t="inlineStr">
        <is>
          <t>Deer B License: 335-00</t>
        </is>
      </c>
      <c r="D772" s="15" t="inlineStr">
        <is>
          <t>Drawing</t>
        </is>
      </c>
      <c r="E772" s="4" t="inlineStr">
        <is>
          <t>Antlerless Mule Deer</t>
        </is>
      </c>
      <c r="F772" s="4" t="inlineStr">
        <is>
          <t>Sep 05-Oct 18</t>
        </is>
      </c>
      <c r="G772" s="4" t="inlineStr">
        <is>
          <t>Oct 24-Nov 29</t>
        </is>
      </c>
      <c r="H772" s="4" t="inlineStr">
        <is>
          <t>Dec 12-Dec 20</t>
        </is>
      </c>
      <c r="I772" s="4" t="n"/>
      <c r="J772" s="4" t="inlineStr">
        <is>
          <t>Jun 1</t>
        </is>
      </c>
      <c r="K772" s="4" t="inlineStr">
        <is>
          <t>25</t>
        </is>
      </c>
      <c r="L772" s="4" t="inlineStr">
        <is>
          <t>Only valid on private land.</t>
        </is>
      </c>
    </row>
    <row r="773">
      <c r="A773" s="4" t="inlineStr">
        <is>
          <t>339</t>
        </is>
      </c>
      <c r="B773" s="4" t="inlineStr">
        <is>
          <t>mule deer</t>
        </is>
      </c>
      <c r="C773" s="4" t="inlineStr">
        <is>
          <t>General Deer License</t>
        </is>
      </c>
      <c r="D773" s="13" t="inlineStr">
        <is>
          <t>General license</t>
        </is>
      </c>
      <c r="E773" s="4" t="inlineStr">
        <is>
          <t>Either-sex Mule Deer</t>
        </is>
      </c>
      <c r="F773" s="4" t="inlineStr">
        <is>
          <t>Sep 05-Oct 18</t>
        </is>
      </c>
      <c r="G773" s="4" t="n"/>
      <c r="H773" s="4" t="n"/>
      <c r="I773" s="4" t="n"/>
      <c r="J773" s="4" t="n"/>
      <c r="K773" s="4" t="n"/>
      <c r="L773" s="4" t="n"/>
    </row>
    <row r="774">
      <c r="A774" s="4" t="inlineStr">
        <is>
          <t>339</t>
        </is>
      </c>
      <c r="B774" s="4" t="inlineStr">
        <is>
          <t>mule deer</t>
        </is>
      </c>
      <c r="C774" s="4" t="inlineStr">
        <is>
          <t>General Deer License</t>
        </is>
      </c>
      <c r="D774" s="13" t="inlineStr">
        <is>
          <t>General license</t>
        </is>
      </c>
      <c r="E774" s="4" t="inlineStr">
        <is>
          <t>Antlered Buck Mule Deer</t>
        </is>
      </c>
      <c r="F774" s="4" t="n"/>
      <c r="G774" s="4" t="inlineStr">
        <is>
          <t>Oct 24-Nov 29</t>
        </is>
      </c>
      <c r="H774" s="4" t="inlineStr">
        <is>
          <t>Dec 12-Dec 20</t>
        </is>
      </c>
      <c r="I774" s="4" t="n"/>
      <c r="J774" s="4" t="n"/>
      <c r="K774" s="4" t="n"/>
      <c r="L774" s="4" t="n"/>
    </row>
    <row r="775">
      <c r="A775" s="4" t="inlineStr">
        <is>
          <t>339</t>
        </is>
      </c>
      <c r="B775" s="4" t="inlineStr">
        <is>
          <t>mule deer</t>
        </is>
      </c>
      <c r="C775" s="4" t="inlineStr">
        <is>
          <t>Deer B License: 396-01</t>
        </is>
      </c>
      <c r="D775" s="15" t="inlineStr">
        <is>
          <t>Drawing</t>
        </is>
      </c>
      <c r="E775" s="4" t="inlineStr">
        <is>
          <t>Antlerless Mule Deer</t>
        </is>
      </c>
      <c r="F775" s="4" t="inlineStr">
        <is>
          <t>Sep 05-Oct 18</t>
        </is>
      </c>
      <c r="G775" s="4" t="inlineStr">
        <is>
          <t>Oct 24-Nov 29</t>
        </is>
      </c>
      <c r="H775" s="4" t="inlineStr">
        <is>
          <t>Dec 12-Dec 20</t>
        </is>
      </c>
      <c r="I775" s="4" t="n"/>
      <c r="J775" s="4" t="inlineStr">
        <is>
          <t>Jun 1</t>
        </is>
      </c>
      <c r="K775" s="4" t="inlineStr">
        <is>
          <t>25</t>
        </is>
      </c>
      <c r="L775" s="4" t="inlineStr">
        <is>
          <t>Only valid on private land. Also valid in HD 343. 83 2026 Deer • Elk • Antelope Visit fwp.mt.gov LICENSE/PERMIT OPPORTUNITY APPL Y BY DATE QUOTA QUOTA RANGE EARL Y SEASON DATES ARCHERY ONL Y SEASON DATES GENERAL SEASON DATES HERITAGE MUZZLELOADER SEASON DATES LATE SEASON DATES OPPORTUNITY SPECIFIC D</t>
        </is>
      </c>
    </row>
    <row r="776">
      <c r="A776" s="4" t="inlineStr">
        <is>
          <t>340</t>
        </is>
      </c>
      <c r="B776" s="4" t="inlineStr">
        <is>
          <t>mule deer</t>
        </is>
      </c>
      <c r="C776" s="4" t="inlineStr">
        <is>
          <t>General Deer License</t>
        </is>
      </c>
      <c r="D776" s="13" t="inlineStr">
        <is>
          <t>General license</t>
        </is>
      </c>
      <c r="E776" s="4" t="inlineStr">
        <is>
          <t>Either-sex Mule Deer</t>
        </is>
      </c>
      <c r="F776" s="4" t="inlineStr">
        <is>
          <t>Sep 05-Oct 18</t>
        </is>
      </c>
      <c r="G776" s="4" t="n"/>
      <c r="H776" s="4" t="n"/>
      <c r="I776" s="4" t="n"/>
      <c r="J776" s="4" t="n"/>
      <c r="K776" s="4" t="n"/>
      <c r="L776" s="4" t="n"/>
    </row>
    <row r="777">
      <c r="A777" s="4" t="inlineStr">
        <is>
          <t>340</t>
        </is>
      </c>
      <c r="B777" s="4" t="inlineStr">
        <is>
          <t>mule deer</t>
        </is>
      </c>
      <c r="C777" s="4" t="inlineStr">
        <is>
          <t>General Deer License</t>
        </is>
      </c>
      <c r="D777" s="13" t="inlineStr">
        <is>
          <t>General license</t>
        </is>
      </c>
      <c r="E777" s="4" t="inlineStr">
        <is>
          <t>Antlered Buck Mule Deer</t>
        </is>
      </c>
      <c r="F777" s="4" t="n"/>
      <c r="G777" s="4" t="inlineStr">
        <is>
          <t>Oct 24-Nov 29</t>
        </is>
      </c>
      <c r="H777" s="4" t="inlineStr">
        <is>
          <t>Dec 12-Dec 20</t>
        </is>
      </c>
      <c r="I777" s="4" t="n"/>
      <c r="J777" s="4" t="n"/>
      <c r="K777" s="4" t="n"/>
      <c r="L777" s="4" t="n"/>
    </row>
    <row r="778">
      <c r="A778" s="4" t="inlineStr">
        <is>
          <t>340</t>
        </is>
      </c>
      <c r="B778" s="4" t="inlineStr">
        <is>
          <t>mule deer</t>
        </is>
      </c>
      <c r="C778" s="4" t="inlineStr">
        <is>
          <t>Deer B License: 340-00</t>
        </is>
      </c>
      <c r="D778" s="15" t="inlineStr">
        <is>
          <t>Drawing</t>
        </is>
      </c>
      <c r="E778" s="4" t="inlineStr">
        <is>
          <t>Antlerless Mule Deer</t>
        </is>
      </c>
      <c r="F778" s="4" t="inlineStr">
        <is>
          <t>Sep 05-Oct 18</t>
        </is>
      </c>
      <c r="G778" s="4" t="inlineStr">
        <is>
          <t>Oct 24-Nov 29</t>
        </is>
      </c>
      <c r="H778" s="4" t="inlineStr">
        <is>
          <t>Dec 12-Dec 20</t>
        </is>
      </c>
      <c r="I778" s="4" t="n"/>
      <c r="J778" s="4" t="inlineStr">
        <is>
          <t>Jun 1</t>
        </is>
      </c>
      <c r="K778" s="4" t="inlineStr">
        <is>
          <t>100</t>
        </is>
      </c>
      <c r="L778" s="4" t="inlineStr">
        <is>
          <t>Only valid on private land.</t>
        </is>
      </c>
    </row>
    <row r="779">
      <c r="A779" s="4" t="inlineStr">
        <is>
          <t>343</t>
        </is>
      </c>
      <c r="B779" s="4" t="inlineStr">
        <is>
          <t>mule deer</t>
        </is>
      </c>
      <c r="C779" s="4" t="inlineStr">
        <is>
          <t>General Deer License</t>
        </is>
      </c>
      <c r="D779" s="13" t="inlineStr">
        <is>
          <t>General license</t>
        </is>
      </c>
      <c r="E779" s="4" t="inlineStr">
        <is>
          <t>Either-sex Mule Deer</t>
        </is>
      </c>
      <c r="F779" s="4" t="inlineStr">
        <is>
          <t>Sep 05-Oct 18</t>
        </is>
      </c>
      <c r="G779" s="4" t="n"/>
      <c r="H779" s="4" t="n"/>
      <c r="I779" s="4" t="n"/>
      <c r="J779" s="4" t="n"/>
      <c r="K779" s="4" t="n"/>
      <c r="L779" s="4" t="n"/>
    </row>
    <row r="780">
      <c r="A780" s="4" t="inlineStr">
        <is>
          <t>343</t>
        </is>
      </c>
      <c r="B780" s="4" t="inlineStr">
        <is>
          <t>mule deer</t>
        </is>
      </c>
      <c r="C780" s="4" t="inlineStr">
        <is>
          <t>General Deer License</t>
        </is>
      </c>
      <c r="D780" s="13" t="inlineStr">
        <is>
          <t>General license</t>
        </is>
      </c>
      <c r="E780" s="4" t="inlineStr">
        <is>
          <t>Antlered Buck Mule Deer</t>
        </is>
      </c>
      <c r="F780" s="4" t="n"/>
      <c r="G780" s="4" t="inlineStr">
        <is>
          <t>Oct 24-Nov 29</t>
        </is>
      </c>
      <c r="H780" s="4" t="inlineStr">
        <is>
          <t>Dec 12-Dec 20</t>
        </is>
      </c>
      <c r="I780" s="4" t="n"/>
      <c r="J780" s="4" t="n"/>
      <c r="K780" s="4" t="n"/>
      <c r="L780" s="4" t="n"/>
    </row>
    <row r="781">
      <c r="A781" s="4" t="inlineStr">
        <is>
          <t>343</t>
        </is>
      </c>
      <c r="B781" s="4" t="inlineStr">
        <is>
          <t>mule deer</t>
        </is>
      </c>
      <c r="C781" s="4" t="inlineStr">
        <is>
          <t>Deer B License: 396-01</t>
        </is>
      </c>
      <c r="D781" s="15" t="inlineStr">
        <is>
          <t>Drawing</t>
        </is>
      </c>
      <c r="E781" s="4" t="inlineStr">
        <is>
          <t>Antlerless Mule Deer</t>
        </is>
      </c>
      <c r="F781" s="4" t="inlineStr">
        <is>
          <t>Sep 05-Oct 18</t>
        </is>
      </c>
      <c r="G781" s="4" t="inlineStr">
        <is>
          <t>Oct 24-Nov 29</t>
        </is>
      </c>
      <c r="H781" s="4" t="inlineStr">
        <is>
          <t>Dec 12-Dec 20</t>
        </is>
      </c>
      <c r="I781" s="4" t="n"/>
      <c r="J781" s="4" t="inlineStr">
        <is>
          <t>Jun 1</t>
        </is>
      </c>
      <c r="K781" s="4" t="inlineStr">
        <is>
          <t>25</t>
        </is>
      </c>
      <c r="L781" s="4" t="inlineStr">
        <is>
          <t>Only valid on private land. Also valid in HD 339. LICENSE/PERMIT OPPORTUNITY APPL Y BY DATE QUOTA QUOTA RANGE EARL Y SEASON DATES ARCHERY ONL Y SEASON DATES GENERAL SEASON DATES HERITAGE MUZZLELOADER SEASON DATES LATE SEASON DATES OPPORTUNITY SPECIFIC DETAILS AND/ORRESTRICTIONS NOTE: Canyon Creek WM</t>
        </is>
      </c>
    </row>
    <row r="782">
      <c r="A782" s="4" t="inlineStr">
        <is>
          <t>350</t>
        </is>
      </c>
      <c r="B782" s="4" t="inlineStr">
        <is>
          <t>mule deer</t>
        </is>
      </c>
      <c r="C782" s="4" t="inlineStr">
        <is>
          <t>General Deer License</t>
        </is>
      </c>
      <c r="D782" s="13" t="inlineStr">
        <is>
          <t>General license</t>
        </is>
      </c>
      <c r="E782" s="4" t="inlineStr">
        <is>
          <t>Either-sex Mule Deer</t>
        </is>
      </c>
      <c r="F782" s="4" t="inlineStr">
        <is>
          <t>Sep 05-Oct 18</t>
        </is>
      </c>
      <c r="G782" s="4" t="n"/>
      <c r="H782" s="4" t="n"/>
      <c r="I782" s="4" t="n"/>
      <c r="J782" s="4" t="n"/>
      <c r="K782" s="4" t="n"/>
      <c r="L782" s="4" t="n"/>
    </row>
    <row r="783">
      <c r="A783" s="4" t="inlineStr">
        <is>
          <t>350</t>
        </is>
      </c>
      <c r="B783" s="4" t="inlineStr">
        <is>
          <t>mule deer</t>
        </is>
      </c>
      <c r="C783" s="4" t="inlineStr">
        <is>
          <t>General Deer License</t>
        </is>
      </c>
      <c r="D783" s="13" t="inlineStr">
        <is>
          <t>General license</t>
        </is>
      </c>
      <c r="E783" s="4" t="inlineStr">
        <is>
          <t>Antlered Buck Mule Deer</t>
        </is>
      </c>
      <c r="F783" s="4" t="n"/>
      <c r="G783" s="4" t="inlineStr">
        <is>
          <t>Oct 24-Nov 29</t>
        </is>
      </c>
      <c r="H783" s="4" t="inlineStr">
        <is>
          <t>Dec 12-Dec 20</t>
        </is>
      </c>
      <c r="I783" s="4" t="n"/>
      <c r="J783" s="4" t="n"/>
      <c r="K783" s="4" t="n"/>
      <c r="L783" s="4" t="n"/>
    </row>
    <row r="784">
      <c r="A784" s="4" t="inlineStr">
        <is>
          <t>350</t>
        </is>
      </c>
      <c r="B784" s="4" t="inlineStr">
        <is>
          <t>mule deer</t>
        </is>
      </c>
      <c r="C784" s="4" t="inlineStr">
        <is>
          <t>Deer B License: 350-01</t>
        </is>
      </c>
      <c r="D784" s="15" t="inlineStr">
        <is>
          <t>Drawing</t>
        </is>
      </c>
      <c r="E784" s="4" t="inlineStr">
        <is>
          <t>Antlerless Mule Deer</t>
        </is>
      </c>
      <c r="F784" s="4" t="inlineStr">
        <is>
          <t>Sep 05-Oct 18</t>
        </is>
      </c>
      <c r="G784" s="4" t="inlineStr">
        <is>
          <t>Oct 24-Nov 29</t>
        </is>
      </c>
      <c r="H784" s="4" t="inlineStr">
        <is>
          <t>Dec 12-Dec 20</t>
        </is>
      </c>
      <c r="I784" s="4" t="n"/>
      <c r="J784" s="4" t="inlineStr">
        <is>
          <t>Jun 1</t>
        </is>
      </c>
      <c r="K784" s="4" t="inlineStr">
        <is>
          <t>50</t>
        </is>
      </c>
      <c r="L784" s="4" t="inlineStr">
        <is>
          <t>Only valid on private land.</t>
        </is>
      </c>
    </row>
    <row r="785">
      <c r="A785" s="4" t="inlineStr">
        <is>
          <t>360</t>
        </is>
      </c>
      <c r="B785" s="4" t="inlineStr">
        <is>
          <t>mule deer</t>
        </is>
      </c>
      <c r="C785" s="4" t="inlineStr">
        <is>
          <t>General Deer License</t>
        </is>
      </c>
      <c r="D785" s="13" t="inlineStr">
        <is>
          <t>General license</t>
        </is>
      </c>
      <c r="E785" s="4" t="inlineStr">
        <is>
          <t>Either-sex Mule Deer</t>
        </is>
      </c>
      <c r="F785" s="4" t="inlineStr">
        <is>
          <t>Sep 05-Oct 18</t>
        </is>
      </c>
      <c r="G785" s="4" t="n"/>
      <c r="H785" s="4" t="n"/>
      <c r="I785" s="4" t="n"/>
      <c r="J785" s="4" t="n"/>
      <c r="K785" s="4" t="n"/>
      <c r="L785" s="4" t="n"/>
    </row>
    <row r="786">
      <c r="A786" s="4" t="inlineStr">
        <is>
          <t>360</t>
        </is>
      </c>
      <c r="B786" s="4" t="inlineStr">
        <is>
          <t>mule deer</t>
        </is>
      </c>
      <c r="C786" s="4" t="inlineStr">
        <is>
          <t>General Deer License</t>
        </is>
      </c>
      <c r="D786" s="13" t="inlineStr">
        <is>
          <t>General license</t>
        </is>
      </c>
      <c r="E786" s="4" t="inlineStr">
        <is>
          <t>Antlered Buck Mule Deer</t>
        </is>
      </c>
      <c r="F786" s="4" t="n"/>
      <c r="G786" s="4" t="inlineStr">
        <is>
          <t>Oct 24-Nov 29</t>
        </is>
      </c>
      <c r="H786" s="4" t="inlineStr">
        <is>
          <t>Dec 12-Dec 20</t>
        </is>
      </c>
      <c r="I786" s="4" t="n"/>
      <c r="J786" s="4" t="n"/>
      <c r="K786" s="4" t="n"/>
      <c r="L786" s="4" t="n"/>
    </row>
    <row r="787">
      <c r="A787" s="4" t="inlineStr">
        <is>
          <t>361</t>
        </is>
      </c>
      <c r="B787" s="4" t="inlineStr">
        <is>
          <t>mule deer</t>
        </is>
      </c>
      <c r="C787" s="4" t="inlineStr">
        <is>
          <t>General Deer License</t>
        </is>
      </c>
      <c r="D787" s="13" t="inlineStr">
        <is>
          <t>General license</t>
        </is>
      </c>
      <c r="E787" s="4" t="inlineStr">
        <is>
          <t>Either-sex Mule Deer</t>
        </is>
      </c>
      <c r="F787" s="4" t="inlineStr">
        <is>
          <t>Sep 05-Oct 18</t>
        </is>
      </c>
      <c r="G787" s="4" t="n"/>
      <c r="H787" s="4" t="n"/>
      <c r="I787" s="4" t="n"/>
      <c r="J787" s="4" t="n"/>
      <c r="K787" s="4" t="n"/>
      <c r="L787" s="4" t="n"/>
    </row>
    <row r="788">
      <c r="A788" s="4" t="inlineStr">
        <is>
          <t>361</t>
        </is>
      </c>
      <c r="B788" s="4" t="inlineStr">
        <is>
          <t>mule deer</t>
        </is>
      </c>
      <c r="C788" s="4" t="inlineStr">
        <is>
          <t>General Deer License</t>
        </is>
      </c>
      <c r="D788" s="13" t="inlineStr">
        <is>
          <t>General license</t>
        </is>
      </c>
      <c r="E788" s="4" t="inlineStr">
        <is>
          <t>Antlered Buck Mule Deer</t>
        </is>
      </c>
      <c r="F788" s="4" t="n"/>
      <c r="G788" s="4" t="inlineStr">
        <is>
          <t>Oct 24-Nov 29</t>
        </is>
      </c>
      <c r="H788" s="4" t="inlineStr">
        <is>
          <t>Dec 12-Dec 20</t>
        </is>
      </c>
      <c r="I788" s="4" t="n"/>
      <c r="J788" s="4" t="n"/>
      <c r="K788" s="4" t="n"/>
      <c r="L788" s="4" t="n"/>
    </row>
    <row r="789">
      <c r="A789" s="4" t="inlineStr">
        <is>
          <t>370</t>
        </is>
      </c>
      <c r="B789" s="4" t="inlineStr">
        <is>
          <t>mule deer</t>
        </is>
      </c>
      <c r="C789" s="4" t="inlineStr">
        <is>
          <t>General Deer License</t>
        </is>
      </c>
      <c r="D789" s="13" t="inlineStr">
        <is>
          <t>General license</t>
        </is>
      </c>
      <c r="E789" s="4" t="inlineStr">
        <is>
          <t>Either-sex Mule Deer</t>
        </is>
      </c>
      <c r="F789" s="4" t="inlineStr">
        <is>
          <t>Sep 05-Oct 18</t>
        </is>
      </c>
      <c r="G789" s="4" t="n"/>
      <c r="H789" s="4" t="n"/>
      <c r="I789" s="4" t="n"/>
      <c r="J789" s="4" t="n"/>
      <c r="K789" s="4" t="n"/>
      <c r="L789" s="4" t="n"/>
    </row>
    <row r="790">
      <c r="A790" s="4" t="inlineStr">
        <is>
          <t>370</t>
        </is>
      </c>
      <c r="B790" s="4" t="inlineStr">
        <is>
          <t>mule deer</t>
        </is>
      </c>
      <c r="C790" s="4" t="inlineStr">
        <is>
          <t>General Deer License</t>
        </is>
      </c>
      <c r="D790" s="13" t="inlineStr">
        <is>
          <t>General license</t>
        </is>
      </c>
      <c r="E790" s="4" t="inlineStr">
        <is>
          <t>Antlered Buck Mule Deer</t>
        </is>
      </c>
      <c r="F790" s="4" t="n"/>
      <c r="G790" s="4" t="inlineStr">
        <is>
          <t>Oct 24-Nov 29</t>
        </is>
      </c>
      <c r="H790" s="4" t="inlineStr">
        <is>
          <t>Dec 12-Dec 20</t>
        </is>
      </c>
      <c r="I790" s="4" t="n"/>
      <c r="J790" s="4" t="n"/>
      <c r="K790" s="4" t="n"/>
      <c r="L790" s="4" t="n"/>
    </row>
    <row r="791">
      <c r="A791" s="4" t="inlineStr">
        <is>
          <t>370</t>
        </is>
      </c>
      <c r="B791" s="4" t="inlineStr">
        <is>
          <t>mule deer</t>
        </is>
      </c>
      <c r="C791" s="4" t="inlineStr">
        <is>
          <t>Deer B License: 370-01</t>
        </is>
      </c>
      <c r="D791" s="15" t="inlineStr">
        <is>
          <t>Drawing</t>
        </is>
      </c>
      <c r="E791" s="4" t="inlineStr">
        <is>
          <t>Antlerless Mule Deer</t>
        </is>
      </c>
      <c r="F791" s="4" t="inlineStr">
        <is>
          <t>Sep 05-Oct 18</t>
        </is>
      </c>
      <c r="G791" s="4" t="inlineStr">
        <is>
          <t>Oct 24-Nov 29</t>
        </is>
      </c>
      <c r="H791" s="4" t="inlineStr">
        <is>
          <t>Dec 12-Dec 20</t>
        </is>
      </c>
      <c r="I791" s="4" t="n"/>
      <c r="J791" s="4" t="inlineStr">
        <is>
          <t>Jun 1</t>
        </is>
      </c>
      <c r="K791" s="4" t="inlineStr">
        <is>
          <t>50</t>
        </is>
      </c>
      <c r="L791" s="4" t="inlineStr">
        <is>
          <t>Only valid on private land.</t>
        </is>
      </c>
    </row>
    <row r="792">
      <c r="A792" s="4" t="inlineStr">
        <is>
          <t>380</t>
        </is>
      </c>
      <c r="B792" s="4" t="inlineStr">
        <is>
          <t>mule deer</t>
        </is>
      </c>
      <c r="C792" s="4" t="inlineStr">
        <is>
          <t>General Deer License</t>
        </is>
      </c>
      <c r="D792" s="13" t="inlineStr">
        <is>
          <t>General license</t>
        </is>
      </c>
      <c r="E792" s="4" t="inlineStr">
        <is>
          <t>Antlerless Mule Deer</t>
        </is>
      </c>
      <c r="F792" s="4" t="inlineStr">
        <is>
          <t>Sep 05-Oct 18</t>
        </is>
      </c>
      <c r="G792" s="4" t="n"/>
      <c r="H792" s="4" t="n"/>
      <c r="I792" s="4" t="n"/>
      <c r="J792" s="4" t="n"/>
      <c r="K792" s="4" t="n"/>
      <c r="L792" s="4" t="n"/>
    </row>
    <row r="793">
      <c r="A793" s="4" t="inlineStr">
        <is>
          <t>380</t>
        </is>
      </c>
      <c r="B793" s="4" t="inlineStr">
        <is>
          <t>mule deer</t>
        </is>
      </c>
      <c r="C793" s="4" t="inlineStr">
        <is>
          <t>Deer B License: 380-02</t>
        </is>
      </c>
      <c r="D793" s="15" t="inlineStr">
        <is>
          <t>Drawing</t>
        </is>
      </c>
      <c r="E793" s="4" t="inlineStr">
        <is>
          <t>Antlerless Mule Deer</t>
        </is>
      </c>
      <c r="F793" s="4" t="inlineStr">
        <is>
          <t>Sep 05-Oct 18</t>
        </is>
      </c>
      <c r="G793" s="4" t="inlineStr">
        <is>
          <t>Oct 24-Nov 29</t>
        </is>
      </c>
      <c r="H793" s="4" t="inlineStr">
        <is>
          <t>Dec 12-Dec 20</t>
        </is>
      </c>
      <c r="I793" s="4" t="n"/>
      <c r="J793" s="4" t="inlineStr">
        <is>
          <t>Jun 1</t>
        </is>
      </c>
      <c r="K793" s="4" t="inlineStr">
        <is>
          <t>75</t>
        </is>
      </c>
      <c r="L793" s="4" t="inlineStr">
        <is>
          <t>Not valid on National Forest lands.</t>
        </is>
      </c>
    </row>
    <row r="794">
      <c r="A794" s="4" t="inlineStr">
        <is>
          <t>380</t>
        </is>
      </c>
      <c r="B794" s="4" t="inlineStr">
        <is>
          <t>mule deer</t>
        </is>
      </c>
      <c r="C794" s="4" t="inlineStr">
        <is>
          <t>Deer Permit: 380-50</t>
        </is>
      </c>
      <c r="D794" s="15" t="inlineStr">
        <is>
          <t>Drawing</t>
        </is>
      </c>
      <c r="E794" s="4" t="inlineStr">
        <is>
          <t>Antlered Buck Mule Deer</t>
        </is>
      </c>
      <c r="F794" s="4" t="inlineStr">
        <is>
          <t>Sep 05-Oct 18</t>
        </is>
      </c>
      <c r="G794" s="4" t="inlineStr">
        <is>
          <t>Oct 24-Nov 29</t>
        </is>
      </c>
      <c r="H794" s="4" t="inlineStr">
        <is>
          <t>Dec 12-Dec 20</t>
        </is>
      </c>
      <c r="I794" s="4" t="n"/>
      <c r="J794" s="4" t="inlineStr">
        <is>
          <t>April 1</t>
        </is>
      </c>
      <c r="K794" s="4" t="inlineStr">
        <is>
          <t>700</t>
        </is>
      </c>
      <c r="L794" s="4" t="inlineStr">
        <is>
          <t>One per hunter. Permit must be used with a valid General Deer License. Holders may not hunt Antlered Buck Mule Deer in any other HD.</t>
        </is>
      </c>
    </row>
    <row r="795">
      <c r="A795" s="4" t="inlineStr">
        <is>
          <t>388</t>
        </is>
      </c>
      <c r="B795" s="4" t="inlineStr">
        <is>
          <t>mule deer</t>
        </is>
      </c>
      <c r="C795" s="4" t="inlineStr">
        <is>
          <t>General Deer License</t>
        </is>
      </c>
      <c r="D795" s="13" t="inlineStr">
        <is>
          <t>General license</t>
        </is>
      </c>
      <c r="E795" s="4" t="inlineStr">
        <is>
          <t>Either-sex Mule Deer</t>
        </is>
      </c>
      <c r="F795" s="4" t="inlineStr">
        <is>
          <t>Sep 05-Oct 18</t>
        </is>
      </c>
      <c r="G795" s="4" t="inlineStr">
        <is>
          <t>Oct 24-Nov 29</t>
        </is>
      </c>
      <c r="H795" s="4" t="inlineStr">
        <is>
          <t>Dec 12-Dec 20</t>
        </is>
      </c>
      <c r="I795" s="4" t="n"/>
      <c r="J795" s="4" t="n"/>
      <c r="K795" s="4" t="n"/>
      <c r="L795" s="4" t="inlineStr">
        <is>
          <t>Outside Weapons Restriction Area.</t>
        </is>
      </c>
    </row>
    <row r="796">
      <c r="A796" s="4" t="inlineStr">
        <is>
          <t>388</t>
        </is>
      </c>
      <c r="B796" s="4" t="inlineStr">
        <is>
          <t>mule deer</t>
        </is>
      </c>
      <c r="C796" s="4" t="inlineStr">
        <is>
          <t>Deer B License: 388-00</t>
        </is>
      </c>
      <c r="D796" s="4" t="inlineStr">
        <is>
          <t>Over the counter</t>
        </is>
      </c>
      <c r="E796" s="4" t="inlineStr">
        <is>
          <t>Antlerless Mule Deer</t>
        </is>
      </c>
      <c r="F796" s="4" t="inlineStr">
        <is>
          <t>Sep 05-Oct 18</t>
        </is>
      </c>
      <c r="G796" s="4" t="inlineStr">
        <is>
          <t>Oct 24-Nov 29</t>
        </is>
      </c>
      <c r="H796" s="4" t="inlineStr">
        <is>
          <t>Dec 12-Dec 20</t>
        </is>
      </c>
      <c r="I796" s="4" t="n"/>
      <c r="J796" s="4" t="inlineStr">
        <is>
          <t>OTC: Jun 15</t>
        </is>
      </c>
      <c r="K796" s="4" t="inlineStr">
        <is>
          <t>UNL</t>
        </is>
      </c>
      <c r="L796" s="4" t="inlineStr">
        <is>
          <t>Outside Weapons Restriction Area. Two per hunter. DEER Inside the Weapons Restriction Area General Deer License Either-sex Mule Deer Sep 05-NOV 29 Dec 12-Dec 20 - Weapons Restriction Area.</t>
        </is>
      </c>
    </row>
    <row r="797">
      <c r="A797" s="4" t="inlineStr">
        <is>
          <t>388</t>
        </is>
      </c>
      <c r="B797" s="4" t="inlineStr">
        <is>
          <t>mule deer</t>
        </is>
      </c>
      <c r="C797" s="4" t="inlineStr">
        <is>
          <t>Deer B License: 388-00</t>
        </is>
      </c>
      <c r="D797" s="4" t="inlineStr">
        <is>
          <t>Over the counter</t>
        </is>
      </c>
      <c r="E797" s="4" t="inlineStr">
        <is>
          <t>Antlerless Mule Deer</t>
        </is>
      </c>
      <c r="F797" s="4" t="n"/>
      <c r="G797" s="4" t="inlineStr">
        <is>
          <t>Sep 05-Nov 29</t>
        </is>
      </c>
      <c r="H797" s="4" t="inlineStr">
        <is>
          <t>Dec 12-Dec 20</t>
        </is>
      </c>
      <c r="I797" s="4" t="n"/>
      <c r="J797" s="4" t="inlineStr">
        <is>
          <t>OTC: Jun 15</t>
        </is>
      </c>
      <c r="K797" s="4" t="inlineStr">
        <is>
          <t>UNL</t>
        </is>
      </c>
      <c r="L797" s="4" t="inlineStr">
        <is>
          <t>Weapons Restriction Area. Two per hunter.</t>
        </is>
      </c>
    </row>
    <row r="798">
      <c r="A798" s="4" t="inlineStr">
        <is>
          <t>390</t>
        </is>
      </c>
      <c r="B798" s="4" t="inlineStr">
        <is>
          <t>mule deer</t>
        </is>
      </c>
      <c r="C798" s="4" t="inlineStr">
        <is>
          <t>General Deer License</t>
        </is>
      </c>
      <c r="D798" s="13" t="inlineStr">
        <is>
          <t>General license</t>
        </is>
      </c>
      <c r="E798" s="4" t="inlineStr">
        <is>
          <t>Either-sex Mule Deer</t>
        </is>
      </c>
      <c r="F798" s="4" t="inlineStr">
        <is>
          <t>Sep 05-Oct 18</t>
        </is>
      </c>
      <c r="G798" s="4" t="n"/>
      <c r="H798" s="4" t="n"/>
      <c r="I798" s="4" t="n"/>
      <c r="J798" s="4" t="n"/>
      <c r="K798" s="4" t="n"/>
      <c r="L798" s="4" t="n"/>
    </row>
    <row r="799">
      <c r="A799" s="4" t="inlineStr">
        <is>
          <t>390</t>
        </is>
      </c>
      <c r="B799" s="4" t="inlineStr">
        <is>
          <t>mule deer</t>
        </is>
      </c>
      <c r="C799" s="4" t="inlineStr">
        <is>
          <t>General Deer License</t>
        </is>
      </c>
      <c r="D799" s="13" t="inlineStr">
        <is>
          <t>General license</t>
        </is>
      </c>
      <c r="E799" s="4" t="inlineStr">
        <is>
          <t>Antlered Buck Mule Deer</t>
        </is>
      </c>
      <c r="F799" s="4" t="n"/>
      <c r="G799" s="4" t="inlineStr">
        <is>
          <t>Oct 24-Nov 29</t>
        </is>
      </c>
      <c r="H799" s="4" t="inlineStr">
        <is>
          <t>Dec 12-Dec 20</t>
        </is>
      </c>
      <c r="I799" s="4" t="n"/>
      <c r="J799" s="4" t="n"/>
      <c r="K799" s="4" t="n"/>
      <c r="L799" s="4" t="n"/>
    </row>
    <row r="800">
      <c r="A800" s="4" t="inlineStr">
        <is>
          <t>390</t>
        </is>
      </c>
      <c r="B800" s="4" t="inlineStr">
        <is>
          <t>mule deer</t>
        </is>
      </c>
      <c r="C800" s="4" t="inlineStr">
        <is>
          <t>Deer B License: 390-01</t>
        </is>
      </c>
      <c r="D800" s="15" t="inlineStr">
        <is>
          <t>Drawing</t>
        </is>
      </c>
      <c r="E800" s="4" t="inlineStr">
        <is>
          <t>Antlerless Mule Deer</t>
        </is>
      </c>
      <c r="F800" s="4" t="inlineStr">
        <is>
          <t>Sep 05-Oct 18</t>
        </is>
      </c>
      <c r="G800" s="4" t="inlineStr">
        <is>
          <t>Oct 24-Nov 29</t>
        </is>
      </c>
      <c r="H800" s="4" t="inlineStr">
        <is>
          <t>Dec 12-Dec 20</t>
        </is>
      </c>
      <c r="I800" s="4" t="n"/>
      <c r="J800" s="4" t="inlineStr">
        <is>
          <t>Jun 1</t>
        </is>
      </c>
      <c r="K800" s="4" t="inlineStr">
        <is>
          <t>75</t>
        </is>
      </c>
      <c r="L800" s="4" t="inlineStr">
        <is>
          <t>Only valid on private land.</t>
        </is>
      </c>
    </row>
    <row r="801">
      <c r="A801" s="4" t="inlineStr">
        <is>
          <t>391</t>
        </is>
      </c>
      <c r="B801" s="4" t="inlineStr">
        <is>
          <t>mule deer</t>
        </is>
      </c>
      <c r="C801" s="4" t="inlineStr">
        <is>
          <t>General Deer License</t>
        </is>
      </c>
      <c r="D801" s="13" t="inlineStr">
        <is>
          <t>General license</t>
        </is>
      </c>
      <c r="E801" s="4" t="inlineStr">
        <is>
          <t>Either-sex Mule Deer</t>
        </is>
      </c>
      <c r="F801" s="4" t="inlineStr">
        <is>
          <t>Sep 05-Oct 18</t>
        </is>
      </c>
      <c r="G801" s="4" t="n"/>
      <c r="H801" s="4" t="n"/>
      <c r="I801" s="4" t="n"/>
      <c r="J801" s="4" t="n"/>
      <c r="K801" s="4" t="n"/>
      <c r="L801" s="4" t="n"/>
    </row>
    <row r="802">
      <c r="A802" s="4" t="inlineStr">
        <is>
          <t>391</t>
        </is>
      </c>
      <c r="B802" s="4" t="inlineStr">
        <is>
          <t>mule deer</t>
        </is>
      </c>
      <c r="C802" s="4" t="inlineStr">
        <is>
          <t>General Deer License</t>
        </is>
      </c>
      <c r="D802" s="13" t="inlineStr">
        <is>
          <t>General license</t>
        </is>
      </c>
      <c r="E802" s="4" t="inlineStr">
        <is>
          <t>Antlered Buck Mule Deer</t>
        </is>
      </c>
      <c r="F802" s="4" t="n"/>
      <c r="G802" s="4" t="inlineStr">
        <is>
          <t>Oct 24-Nov 29</t>
        </is>
      </c>
      <c r="H802" s="4" t="inlineStr">
        <is>
          <t>Dec 12-Dec 20</t>
        </is>
      </c>
      <c r="I802" s="4" t="n"/>
      <c r="J802" s="4" t="n"/>
      <c r="K802" s="4" t="n"/>
      <c r="L802" s="4" t="n"/>
    </row>
    <row r="803">
      <c r="A803" s="4" t="inlineStr">
        <is>
          <t>391</t>
        </is>
      </c>
      <c r="B803" s="4" t="inlineStr">
        <is>
          <t>mule deer</t>
        </is>
      </c>
      <c r="C803" s="4" t="inlineStr">
        <is>
          <t>Deer B License: 391-02</t>
        </is>
      </c>
      <c r="D803" s="15" t="inlineStr">
        <is>
          <t>Drawing</t>
        </is>
      </c>
      <c r="E803" s="4" t="inlineStr">
        <is>
          <t>Antlerless Mule Deer</t>
        </is>
      </c>
      <c r="F803" s="4" t="inlineStr">
        <is>
          <t>Sep 05-Oct 18</t>
        </is>
      </c>
      <c r="G803" s="4" t="inlineStr">
        <is>
          <t>Oct 24-Nov 29</t>
        </is>
      </c>
      <c r="H803" s="4" t="inlineStr">
        <is>
          <t>Dec 12-Dec 20</t>
        </is>
      </c>
      <c r="I803" s="4" t="n"/>
      <c r="J803" s="4" t="inlineStr">
        <is>
          <t>Jun 1</t>
        </is>
      </c>
      <c r="K803" s="4" t="inlineStr">
        <is>
          <t>175</t>
        </is>
      </c>
      <c r="L803" s="4" t="inlineStr">
        <is>
          <t>Only valid on private land.</t>
        </is>
      </c>
    </row>
    <row r="804">
      <c r="A804" s="4" t="inlineStr">
        <is>
          <t>392</t>
        </is>
      </c>
      <c r="B804" s="4" t="inlineStr">
        <is>
          <t>mule deer</t>
        </is>
      </c>
      <c r="C804" s="4" t="inlineStr">
        <is>
          <t>General Deer License</t>
        </is>
      </c>
      <c r="D804" s="13" t="inlineStr">
        <is>
          <t>General license</t>
        </is>
      </c>
      <c r="E804" s="4" t="inlineStr">
        <is>
          <t>Antlerless Mule Deer</t>
        </is>
      </c>
      <c r="F804" s="4" t="inlineStr">
        <is>
          <t>Sep 05-Oct 18</t>
        </is>
      </c>
      <c r="G804" s="4" t="n"/>
      <c r="H804" s="4" t="n"/>
      <c r="I804" s="4" t="n"/>
      <c r="J804" s="4" t="n"/>
      <c r="K804" s="4" t="n"/>
      <c r="L804" s="4" t="n"/>
    </row>
    <row r="805">
      <c r="A805" s="4" t="inlineStr">
        <is>
          <t>392</t>
        </is>
      </c>
      <c r="B805" s="4" t="inlineStr">
        <is>
          <t>mule deer</t>
        </is>
      </c>
      <c r="C805" s="4" t="inlineStr">
        <is>
          <t>Deer B License: 392-01</t>
        </is>
      </c>
      <c r="D805" s="15" t="inlineStr">
        <is>
          <t>Drawing</t>
        </is>
      </c>
      <c r="E805" s="4" t="inlineStr">
        <is>
          <t>Antlerless Mule Deer</t>
        </is>
      </c>
      <c r="F805" s="4" t="inlineStr">
        <is>
          <t>Sep 05-Oct 18</t>
        </is>
      </c>
      <c r="G805" s="4" t="inlineStr">
        <is>
          <t>Oct 24-Nov 29</t>
        </is>
      </c>
      <c r="H805" s="4" t="inlineStr">
        <is>
          <t>Dec 12-Dec 20</t>
        </is>
      </c>
      <c r="I805" s="4" t="n"/>
      <c r="J805" s="4" t="inlineStr">
        <is>
          <t>Jun 1</t>
        </is>
      </c>
      <c r="K805" s="4" t="inlineStr">
        <is>
          <t>50</t>
        </is>
      </c>
      <c r="L805" s="4" t="n"/>
    </row>
    <row r="806">
      <c r="A806" s="4" t="inlineStr">
        <is>
          <t>392</t>
        </is>
      </c>
      <c r="B806" s="4" t="inlineStr">
        <is>
          <t>mule deer</t>
        </is>
      </c>
      <c r="C806" s="4" t="inlineStr">
        <is>
          <t>Deer Permit: 392-50</t>
        </is>
      </c>
      <c r="D806" s="15" t="inlineStr">
        <is>
          <t>Drawing</t>
        </is>
      </c>
      <c r="E806" s="4" t="inlineStr">
        <is>
          <t>Antlered Buck Mule Deer</t>
        </is>
      </c>
      <c r="F806" s="4" t="inlineStr">
        <is>
          <t>Sep 05-Oct 18</t>
        </is>
      </c>
      <c r="G806" s="4" t="inlineStr">
        <is>
          <t>Oct 24-Nov 29</t>
        </is>
      </c>
      <c r="H806" s="4" t="inlineStr">
        <is>
          <t>Dec 12-Dec 20</t>
        </is>
      </c>
      <c r="I806" s="4" t="n"/>
      <c r="J806" s="4" t="inlineStr">
        <is>
          <t>April 1</t>
        </is>
      </c>
      <c r="K806" s="4" t="inlineStr">
        <is>
          <t>500</t>
        </is>
      </c>
      <c r="L806" s="4" t="inlineStr">
        <is>
          <t>Permit must be used with a valid General Deer License. Holders may not hunt Antlered Buck Mule Deer in any other HD.</t>
        </is>
      </c>
    </row>
    <row r="807">
      <c r="A807" s="4" t="inlineStr">
        <is>
          <t>393</t>
        </is>
      </c>
      <c r="B807" s="4" t="inlineStr">
        <is>
          <t>mule deer</t>
        </is>
      </c>
      <c r="C807" s="4" t="inlineStr">
        <is>
          <t>General Deer License</t>
        </is>
      </c>
      <c r="D807" s="13" t="inlineStr">
        <is>
          <t>General license</t>
        </is>
      </c>
      <c r="E807" s="4" t="inlineStr">
        <is>
          <t>Antlered Buck Mule Deer</t>
        </is>
      </c>
      <c r="F807" s="4" t="inlineStr">
        <is>
          <t>Sep 05-Oct 18</t>
        </is>
      </c>
      <c r="G807" s="4" t="inlineStr">
        <is>
          <t>Oct 24-Nov 29</t>
        </is>
      </c>
      <c r="H807" s="4" t="inlineStr">
        <is>
          <t>Dec 12-Dec 20</t>
        </is>
      </c>
      <c r="I807" s="4" t="n"/>
      <c r="J807" s="4" t="n"/>
      <c r="K807" s="4" t="n"/>
      <c r="L807" s="4" t="n"/>
    </row>
    <row r="808">
      <c r="A808" s="4" t="inlineStr">
        <is>
          <t>393</t>
        </is>
      </c>
      <c r="B808" s="4" t="inlineStr">
        <is>
          <t>mule deer</t>
        </is>
      </c>
      <c r="C808" s="4" t="inlineStr">
        <is>
          <t>Deer B License: 393-01</t>
        </is>
      </c>
      <c r="D808" s="15" t="inlineStr">
        <is>
          <t>Drawing</t>
        </is>
      </c>
      <c r="E808" s="4" t="inlineStr">
        <is>
          <t>Antlerless Mule Deer</t>
        </is>
      </c>
      <c r="F808" s="4" t="inlineStr">
        <is>
          <t>Sep 05-Oct 18</t>
        </is>
      </c>
      <c r="G808" s="4" t="inlineStr">
        <is>
          <t>Oct 24-Nov 29</t>
        </is>
      </c>
      <c r="H808" s="4" t="inlineStr">
        <is>
          <t>Dec 12-Dec 20</t>
        </is>
      </c>
      <c r="I808" s="4" t="n"/>
      <c r="J808" s="4" t="inlineStr">
        <is>
          <t>Jun 1</t>
        </is>
      </c>
      <c r="K808" s="4" t="inlineStr">
        <is>
          <t>100</t>
        </is>
      </c>
      <c r="L808" s="4" t="inlineStr">
        <is>
          <t>Valid on private land only.</t>
        </is>
      </c>
    </row>
    <row r="809">
      <c r="A809" s="4" t="inlineStr">
        <is>
          <t>400</t>
        </is>
      </c>
      <c r="B809" s="4" t="inlineStr">
        <is>
          <t>mule deer</t>
        </is>
      </c>
      <c r="C809" s="4" t="inlineStr">
        <is>
          <t>General Deer License</t>
        </is>
      </c>
      <c r="D809" s="13" t="inlineStr">
        <is>
          <t>General license</t>
        </is>
      </c>
      <c r="E809" s="4" t="inlineStr">
        <is>
          <t>Either-sex Mule Deer</t>
        </is>
      </c>
      <c r="F809" s="4" t="inlineStr">
        <is>
          <t>Sep 05-Oct 18</t>
        </is>
      </c>
      <c r="G809" s="4" t="n"/>
      <c r="H809" s="4" t="n"/>
      <c r="I809" s="4" t="n"/>
      <c r="J809" s="4" t="n"/>
      <c r="K809" s="4" t="n"/>
      <c r="L809" s="4" t="n"/>
    </row>
    <row r="810">
      <c r="A810" s="4" t="inlineStr">
        <is>
          <t>400</t>
        </is>
      </c>
      <c r="B810" s="4" t="inlineStr">
        <is>
          <t>mule deer</t>
        </is>
      </c>
      <c r="C810" s="4" t="inlineStr">
        <is>
          <t>General Deer License</t>
        </is>
      </c>
      <c r="D810" s="13" t="inlineStr">
        <is>
          <t>General license</t>
        </is>
      </c>
      <c r="E810" s="4" t="inlineStr">
        <is>
          <t>Either-sex Mule Deer</t>
        </is>
      </c>
      <c r="F810" s="4" t="n"/>
      <c r="G810" s="4" t="inlineStr">
        <is>
          <t>Oct 24-Nov 15</t>
        </is>
      </c>
      <c r="H810" s="4" t="n"/>
      <c r="I810" s="4" t="n"/>
      <c r="J810" s="4" t="n"/>
      <c r="K810" s="4" t="n"/>
      <c r="L810" s="4" t="inlineStr">
        <is>
          <t>3-week general season.</t>
        </is>
      </c>
    </row>
    <row r="811">
      <c r="A811" s="4" t="inlineStr">
        <is>
          <t>400</t>
        </is>
      </c>
      <c r="B811" s="4" t="inlineStr">
        <is>
          <t>mule deer</t>
        </is>
      </c>
      <c r="C811" s="4" t="inlineStr">
        <is>
          <t>Deer B License: 400-00</t>
        </is>
      </c>
      <c r="D811" s="15" t="inlineStr">
        <is>
          <t>Drawing</t>
        </is>
      </c>
      <c r="E811" s="4" t="inlineStr">
        <is>
          <t>Antlerless Mule Deer</t>
        </is>
      </c>
      <c r="F811" s="4" t="inlineStr">
        <is>
          <t>Sep 05-Oct 18</t>
        </is>
      </c>
      <c r="G811" s="4" t="inlineStr">
        <is>
          <t>Oct 24-Nov 15</t>
        </is>
      </c>
      <c r="H811" s="4" t="n"/>
      <c r="I811" s="4" t="n"/>
      <c r="J811" s="4" t="inlineStr">
        <is>
          <t>Jun 1</t>
        </is>
      </c>
      <c r="K811" s="4" t="inlineStr">
        <is>
          <t>300</t>
        </is>
      </c>
      <c r="L811" s="4" t="n"/>
    </row>
    <row r="812">
      <c r="A812" s="4" t="inlineStr">
        <is>
          <t>400</t>
        </is>
      </c>
      <c r="B812" s="4" t="inlineStr">
        <is>
          <t>mule deer</t>
        </is>
      </c>
      <c r="C812" s="4" t="inlineStr">
        <is>
          <t>Deer Permit: 400-50</t>
        </is>
      </c>
      <c r="D812" s="15" t="inlineStr">
        <is>
          <t>Drawing</t>
        </is>
      </c>
      <c r="E812" s="4" t="inlineStr">
        <is>
          <t>Antlered Buck Mule Deer</t>
        </is>
      </c>
      <c r="F812" s="4" t="n"/>
      <c r="G812" s="4" t="inlineStr">
        <is>
          <t>Nov 16-Nov 29</t>
        </is>
      </c>
      <c r="H812" s="4" t="inlineStr">
        <is>
          <t>Dec 12-Dec 20</t>
        </is>
      </c>
      <c r="I812" s="4" t="n"/>
      <c r="J812" s="4" t="inlineStr">
        <is>
          <t>April 1</t>
        </is>
      </c>
      <c r="K812" s="4" t="inlineStr">
        <is>
          <t>110</t>
        </is>
      </c>
      <c r="L812" s="4" t="inlineStr">
        <is>
          <t>Permit must be used with a valid General Deer License. Holders may not hunt Antlered Buck Mule Deer in any other HD.</t>
        </is>
      </c>
    </row>
    <row r="813">
      <c r="A813" s="4" t="inlineStr">
        <is>
          <t>401</t>
        </is>
      </c>
      <c r="B813" s="4" t="inlineStr">
        <is>
          <t>mule deer</t>
        </is>
      </c>
      <c r="C813" s="4" t="inlineStr">
        <is>
          <t>General Deer License</t>
        </is>
      </c>
      <c r="D813" s="13" t="inlineStr">
        <is>
          <t>General license</t>
        </is>
      </c>
      <c r="E813" s="4" t="inlineStr">
        <is>
          <t>Either-sex Mule Deer</t>
        </is>
      </c>
      <c r="F813" s="4" t="inlineStr">
        <is>
          <t>Sep 05-Oct 18</t>
        </is>
      </c>
      <c r="G813" s="4" t="inlineStr">
        <is>
          <t>Oct 24-Nov 15</t>
        </is>
      </c>
      <c r="H813" s="4" t="n"/>
      <c r="I813" s="4" t="n"/>
      <c r="J813" s="4" t="n"/>
      <c r="K813" s="4" t="n"/>
      <c r="L813" s="4" t="inlineStr">
        <is>
          <t>3 week general season.</t>
        </is>
      </c>
    </row>
    <row r="814">
      <c r="A814" s="4" t="inlineStr">
        <is>
          <t>401</t>
        </is>
      </c>
      <c r="B814" s="4" t="inlineStr">
        <is>
          <t>mule deer</t>
        </is>
      </c>
      <c r="C814" s="4" t="inlineStr">
        <is>
          <t>Deer B License: 401-00</t>
        </is>
      </c>
      <c r="D814" s="15" t="inlineStr">
        <is>
          <t>Drawing</t>
        </is>
      </c>
      <c r="E814" s="4" t="inlineStr">
        <is>
          <t>Antlerless Mule Deer</t>
        </is>
      </c>
      <c r="F814" s="4" t="inlineStr">
        <is>
          <t>Sep 05-Oct 18</t>
        </is>
      </c>
      <c r="G814" s="4" t="inlineStr">
        <is>
          <t>Oct 24-Nov 15</t>
        </is>
      </c>
      <c r="H814" s="4" t="n"/>
      <c r="I814" s="4" t="n"/>
      <c r="J814" s="4" t="inlineStr">
        <is>
          <t>Jun 1</t>
        </is>
      </c>
      <c r="K814" s="4" t="inlineStr">
        <is>
          <t>200</t>
        </is>
      </c>
      <c r="L814" s="4" t="n"/>
    </row>
    <row r="815">
      <c r="A815" s="4" t="inlineStr">
        <is>
          <t>401</t>
        </is>
      </c>
      <c r="B815" s="4" t="inlineStr">
        <is>
          <t>mule deer</t>
        </is>
      </c>
      <c r="C815" s="4" t="inlineStr">
        <is>
          <t>Deer Permit: 401-50</t>
        </is>
      </c>
      <c r="D815" s="15" t="inlineStr">
        <is>
          <t>Drawing</t>
        </is>
      </c>
      <c r="E815" s="4" t="inlineStr">
        <is>
          <t>Antlered Buck Mule Deer</t>
        </is>
      </c>
      <c r="F815" s="4" t="n"/>
      <c r="G815" s="4" t="inlineStr">
        <is>
          <t>Nov 16-Nov 29</t>
        </is>
      </c>
      <c r="H815" s="4" t="inlineStr">
        <is>
          <t>Dec 12-Dec 20</t>
        </is>
      </c>
      <c r="I815" s="4" t="n"/>
      <c r="J815" s="4" t="inlineStr">
        <is>
          <t>April 1</t>
        </is>
      </c>
      <c r="K815" s="4" t="inlineStr">
        <is>
          <t>135</t>
        </is>
      </c>
      <c r="L815" s="4" t="inlineStr">
        <is>
          <t>Permit must be used with a valid General Deer License. Holders may not hunt Antlered Buck Mule Deer in any other HD.</t>
        </is>
      </c>
    </row>
    <row r="816">
      <c r="A816" s="4" t="inlineStr">
        <is>
          <t>403</t>
        </is>
      </c>
      <c r="B816" s="4" t="inlineStr">
        <is>
          <t>mule deer</t>
        </is>
      </c>
      <c r="C816" s="4" t="inlineStr">
        <is>
          <t>General Deer License</t>
        </is>
      </c>
      <c r="D816" s="13" t="inlineStr">
        <is>
          <t>General license</t>
        </is>
      </c>
      <c r="E816" s="4" t="inlineStr">
        <is>
          <t>Either-sex Mule Deer</t>
        </is>
      </c>
      <c r="F816" s="4" t="inlineStr">
        <is>
          <t>Sep 05-Oct 18</t>
        </is>
      </c>
      <c r="G816" s="4" t="inlineStr">
        <is>
          <t>Oct 24-Nov 15</t>
        </is>
      </c>
      <c r="H816" s="4" t="n"/>
      <c r="I816" s="4" t="n"/>
      <c r="J816" s="4" t="n"/>
      <c r="K816" s="4" t="n"/>
      <c r="L816" s="4" t="inlineStr">
        <is>
          <t>3 week general season.</t>
        </is>
      </c>
    </row>
    <row r="817">
      <c r="A817" s="4" t="inlineStr">
        <is>
          <t>403</t>
        </is>
      </c>
      <c r="B817" s="4" t="inlineStr">
        <is>
          <t>mule deer</t>
        </is>
      </c>
      <c r="C817" s="4" t="inlineStr">
        <is>
          <t>Deer B License: 403-00</t>
        </is>
      </c>
      <c r="D817" s="15" t="inlineStr">
        <is>
          <t>Drawing</t>
        </is>
      </c>
      <c r="E817" s="4" t="inlineStr">
        <is>
          <t>Antlerless Mule Deer</t>
        </is>
      </c>
      <c r="F817" s="4" t="inlineStr">
        <is>
          <t>Sep 05-Oct 18</t>
        </is>
      </c>
      <c r="G817" s="4" t="inlineStr">
        <is>
          <t>Oct 24-Nov 15</t>
        </is>
      </c>
      <c r="H817" s="4" t="n"/>
      <c r="I817" s="4" t="n"/>
      <c r="J817" s="4" t="inlineStr">
        <is>
          <t>Jun 1</t>
        </is>
      </c>
      <c r="K817" s="4" t="inlineStr">
        <is>
          <t>100</t>
        </is>
      </c>
      <c r="L817" s="4" t="n"/>
    </row>
    <row r="818">
      <c r="A818" s="4" t="inlineStr">
        <is>
          <t>403</t>
        </is>
      </c>
      <c r="B818" s="4" t="inlineStr">
        <is>
          <t>mule deer</t>
        </is>
      </c>
      <c r="C818" s="4" t="inlineStr">
        <is>
          <t>Deer Permit: 403-50</t>
        </is>
      </c>
      <c r="D818" s="15" t="inlineStr">
        <is>
          <t>Drawing</t>
        </is>
      </c>
      <c r="E818" s="4" t="inlineStr">
        <is>
          <t>Antlered Buck Mule Deer</t>
        </is>
      </c>
      <c r="F818" s="4" t="n"/>
      <c r="G818" s="4" t="inlineStr">
        <is>
          <t>Nov 16-Nov 29</t>
        </is>
      </c>
      <c r="H818" s="4" t="inlineStr">
        <is>
          <t>Dec 12-Dec 20</t>
        </is>
      </c>
      <c r="I818" s="4" t="n"/>
      <c r="J818" s="4" t="inlineStr">
        <is>
          <t>April 1</t>
        </is>
      </c>
      <c r="K818" s="4" t="inlineStr">
        <is>
          <t>30</t>
        </is>
      </c>
      <c r="L818" s="4" t="inlineStr">
        <is>
          <t>Permit must be used with a valid General Deer License. Holders may not hunt Antlered Buck Mule Deer in any other HD.</t>
        </is>
      </c>
    </row>
    <row r="819">
      <c r="A819" s="4" t="inlineStr">
        <is>
          <t>404</t>
        </is>
      </c>
      <c r="B819" s="4" t="inlineStr">
        <is>
          <t>mule deer</t>
        </is>
      </c>
      <c r="C819" s="4" t="inlineStr">
        <is>
          <t>General Deer License</t>
        </is>
      </c>
      <c r="D819" s="13" t="inlineStr">
        <is>
          <t>General license</t>
        </is>
      </c>
      <c r="E819" s="4" t="inlineStr">
        <is>
          <t>Either-sex Mule Deer</t>
        </is>
      </c>
      <c r="F819" s="4" t="inlineStr">
        <is>
          <t>Sep 05-Oct 18</t>
        </is>
      </c>
      <c r="G819" s="4" t="inlineStr">
        <is>
          <t>Oct 24-Nov 29</t>
        </is>
      </c>
      <c r="H819" s="4" t="inlineStr">
        <is>
          <t>Dec 12-Dec 20</t>
        </is>
      </c>
      <c r="I819" s="4" t="n"/>
      <c r="J819" s="4" t="n"/>
      <c r="K819" s="4" t="n"/>
      <c r="L819" s="4" t="n"/>
    </row>
    <row r="820">
      <c r="A820" s="4" t="inlineStr">
        <is>
          <t>404</t>
        </is>
      </c>
      <c r="B820" s="4" t="inlineStr">
        <is>
          <t>mule deer</t>
        </is>
      </c>
      <c r="C820" s="4" t="inlineStr">
        <is>
          <t>Deer B License: 404-00</t>
        </is>
      </c>
      <c r="D820" s="15" t="inlineStr">
        <is>
          <t>Drawing</t>
        </is>
      </c>
      <c r="E820" s="4" t="inlineStr">
        <is>
          <t>Antlerless Mule Deer</t>
        </is>
      </c>
      <c r="F820" s="4" t="inlineStr">
        <is>
          <t>Sep 05-Oct 18</t>
        </is>
      </c>
      <c r="G820" s="4" t="inlineStr">
        <is>
          <t>Oct 24-Nov 29</t>
        </is>
      </c>
      <c r="H820" s="4" t="inlineStr">
        <is>
          <t>Dec 12-Dec 20</t>
        </is>
      </c>
      <c r="I820" s="4" t="n"/>
      <c r="J820" s="4" t="inlineStr">
        <is>
          <t>Jun 1</t>
        </is>
      </c>
      <c r="K820" s="4" t="inlineStr">
        <is>
          <t>100</t>
        </is>
      </c>
      <c r="L820" s="4" t="n"/>
    </row>
    <row r="821">
      <c r="A821" s="4" t="inlineStr">
        <is>
          <t>405</t>
        </is>
      </c>
      <c r="B821" s="4" t="inlineStr">
        <is>
          <t>mule deer</t>
        </is>
      </c>
      <c r="C821" s="4" t="inlineStr">
        <is>
          <t>General Deer License</t>
        </is>
      </c>
      <c r="D821" s="13" t="inlineStr">
        <is>
          <t>General license</t>
        </is>
      </c>
      <c r="E821" s="4" t="inlineStr">
        <is>
          <t>Either-sex Mule Deer</t>
        </is>
      </c>
      <c r="F821" s="4" t="inlineStr">
        <is>
          <t>Sep 05-Oct 18</t>
        </is>
      </c>
      <c r="G821" s="4" t="inlineStr">
        <is>
          <t>Oct 24-Nov 29</t>
        </is>
      </c>
      <c r="H821" s="4" t="inlineStr">
        <is>
          <t>Dec 12-Dec 20</t>
        </is>
      </c>
      <c r="I821" s="4" t="n"/>
      <c r="J821" s="4" t="n"/>
      <c r="K821" s="4" t="n"/>
      <c r="L821" s="4" t="n"/>
    </row>
    <row r="822">
      <c r="A822" s="4" t="inlineStr">
        <is>
          <t>405</t>
        </is>
      </c>
      <c r="B822" s="4" t="inlineStr">
        <is>
          <t>mule deer</t>
        </is>
      </c>
      <c r="C822" s="4" t="inlineStr">
        <is>
          <t>Deer B License: 405-00</t>
        </is>
      </c>
      <c r="D822" s="15" t="inlineStr">
        <is>
          <t>Drawing</t>
        </is>
      </c>
      <c r="E822" s="4" t="inlineStr">
        <is>
          <t>Antlerless Mule Deer</t>
        </is>
      </c>
      <c r="F822" s="4" t="inlineStr">
        <is>
          <t>Sep 05-Oct 18</t>
        </is>
      </c>
      <c r="G822" s="4" t="inlineStr">
        <is>
          <t>Oct 24-Nov 29</t>
        </is>
      </c>
      <c r="H822" s="4" t="inlineStr">
        <is>
          <t>Dec 12-Dec 20</t>
        </is>
      </c>
      <c r="I822" s="4" t="n"/>
      <c r="J822" s="4" t="inlineStr">
        <is>
          <t>Jun 1</t>
        </is>
      </c>
      <c r="K822" s="4" t="inlineStr">
        <is>
          <t>400</t>
        </is>
      </c>
      <c r="L822" s="4" t="n"/>
    </row>
    <row r="823">
      <c r="A823" s="4" t="inlineStr">
        <is>
          <t>406</t>
        </is>
      </c>
      <c r="B823" s="4" t="inlineStr">
        <is>
          <t>mule deer</t>
        </is>
      </c>
      <c r="C823" s="4" t="inlineStr">
        <is>
          <t>General Deer License</t>
        </is>
      </c>
      <c r="D823" s="13" t="inlineStr">
        <is>
          <t>General license</t>
        </is>
      </c>
      <c r="E823" s="4" t="inlineStr">
        <is>
          <t>Either-sex Mule Deer</t>
        </is>
      </c>
      <c r="F823" s="4" t="inlineStr">
        <is>
          <t>Sep 05-Oct 18</t>
        </is>
      </c>
      <c r="G823" s="4" t="inlineStr">
        <is>
          <t>Oct 24-Nov 15</t>
        </is>
      </c>
      <c r="H823" s="4" t="n"/>
      <c r="I823" s="4" t="n"/>
      <c r="J823" s="4" t="n"/>
      <c r="K823" s="4" t="n"/>
      <c r="L823" s="4" t="inlineStr">
        <is>
          <t>3 week general season.</t>
        </is>
      </c>
    </row>
    <row r="824">
      <c r="A824" s="4" t="inlineStr">
        <is>
          <t>406</t>
        </is>
      </c>
      <c r="B824" s="4" t="inlineStr">
        <is>
          <t>mule deer</t>
        </is>
      </c>
      <c r="C824" s="4" t="inlineStr">
        <is>
          <t>Deer B License: 406-00</t>
        </is>
      </c>
      <c r="D824" s="15" t="inlineStr">
        <is>
          <t>Drawing</t>
        </is>
      </c>
      <c r="E824" s="4" t="inlineStr">
        <is>
          <t>Antlerless Mule Deer</t>
        </is>
      </c>
      <c r="F824" s="4" t="inlineStr">
        <is>
          <t>Sep 05-Oct 18</t>
        </is>
      </c>
      <c r="G824" s="4" t="inlineStr">
        <is>
          <t>Oct 24-Nov 15</t>
        </is>
      </c>
      <c r="H824" s="4" t="n"/>
      <c r="I824" s="4" t="n"/>
      <c r="J824" s="4" t="inlineStr">
        <is>
          <t>Jun 1</t>
        </is>
      </c>
      <c r="K824" s="4" t="inlineStr">
        <is>
          <t>200</t>
        </is>
      </c>
      <c r="L824" s="4" t="n"/>
    </row>
    <row r="825">
      <c r="A825" s="4" t="inlineStr">
        <is>
          <t>406</t>
        </is>
      </c>
      <c r="B825" s="4" t="inlineStr">
        <is>
          <t>mule deer</t>
        </is>
      </c>
      <c r="C825" s="4" t="inlineStr">
        <is>
          <t>Deer Permit: 406-50</t>
        </is>
      </c>
      <c r="D825" s="15" t="inlineStr">
        <is>
          <t>Drawing</t>
        </is>
      </c>
      <c r="E825" s="4" t="inlineStr">
        <is>
          <t>Antlered Buck Mule Deer</t>
        </is>
      </c>
      <c r="F825" s="4" t="n"/>
      <c r="G825" s="4" t="inlineStr">
        <is>
          <t>Nov 16-Nov 29</t>
        </is>
      </c>
      <c r="H825" s="4" t="inlineStr">
        <is>
          <t>Dec 12-Dec 20</t>
        </is>
      </c>
      <c r="I825" s="4" t="n"/>
      <c r="J825" s="4" t="inlineStr">
        <is>
          <t>April 1</t>
        </is>
      </c>
      <c r="K825" s="4" t="inlineStr">
        <is>
          <t>45</t>
        </is>
      </c>
      <c r="L825" s="4" t="inlineStr">
        <is>
          <t>Permit must be used with a valid General Deer License. Holders may not hunt Antlered Buck Mule Deer in any other HD.</t>
        </is>
      </c>
    </row>
    <row r="826">
      <c r="A826" s="4" t="inlineStr">
        <is>
          <t>410</t>
        </is>
      </c>
      <c r="B826" s="4" t="inlineStr">
        <is>
          <t>mule deer</t>
        </is>
      </c>
      <c r="C826" s="4" t="inlineStr">
        <is>
          <t>Deer B License: 410-00</t>
        </is>
      </c>
      <c r="D826" s="15" t="inlineStr">
        <is>
          <t>Drawing</t>
        </is>
      </c>
      <c r="E826" s="4" t="inlineStr">
        <is>
          <t>Antlerless Mule Deer</t>
        </is>
      </c>
      <c r="F826" s="4" t="inlineStr">
        <is>
          <t>Sep 05-Oct 18</t>
        </is>
      </c>
      <c r="G826" s="4" t="inlineStr">
        <is>
          <t>Oct 24-Nov 29</t>
        </is>
      </c>
      <c r="H826" s="4" t="inlineStr">
        <is>
          <t>Dec 12-Dec 20</t>
        </is>
      </c>
      <c r="I826" s="4" t="n"/>
      <c r="J826" s="4" t="inlineStr">
        <is>
          <t>Jun 1</t>
        </is>
      </c>
      <c r="K826" s="4" t="inlineStr">
        <is>
          <t>5</t>
        </is>
      </c>
      <c r="L826" s="4" t="inlineStr">
        <is>
          <t>Only valid on private land.</t>
        </is>
      </c>
    </row>
    <row r="827">
      <c r="A827" s="4" t="inlineStr">
        <is>
          <t>410</t>
        </is>
      </c>
      <c r="B827" s="4" t="inlineStr">
        <is>
          <t>mule deer</t>
        </is>
      </c>
      <c r="C827" s="4" t="inlineStr">
        <is>
          <t>Deer Permit: 410-50</t>
        </is>
      </c>
      <c r="D827" s="15" t="inlineStr">
        <is>
          <t>Drawing</t>
        </is>
      </c>
      <c r="E827" s="4" t="inlineStr">
        <is>
          <t>Antlered Buck Mule Deer</t>
        </is>
      </c>
      <c r="F827" s="4" t="inlineStr">
        <is>
          <t>Sep 05-Oct 18</t>
        </is>
      </c>
      <c r="G827" s="4" t="inlineStr">
        <is>
          <t>Oct 24-Nov 29</t>
        </is>
      </c>
      <c r="H827" s="4" t="inlineStr">
        <is>
          <t>Dec 12-Dec 20</t>
        </is>
      </c>
      <c r="I827" s="4" t="n"/>
      <c r="J827" s="4" t="inlineStr">
        <is>
          <t>April 1</t>
        </is>
      </c>
      <c r="K827" s="4" t="inlineStr">
        <is>
          <t>100</t>
        </is>
      </c>
      <c r="L827" s="4" t="inlineStr">
        <is>
          <t>Permit must be used with a valid General Deer License. Holders may not hunt Antlered Buck Mule Deer in any other HD. ELK Hunting by Drawing Only</t>
        </is>
      </c>
    </row>
    <row r="828">
      <c r="A828" s="4" t="inlineStr">
        <is>
          <t>411</t>
        </is>
      </c>
      <c r="B828" s="4" t="inlineStr">
        <is>
          <t>mule deer</t>
        </is>
      </c>
      <c r="C828" s="4" t="inlineStr">
        <is>
          <t>General Deer License</t>
        </is>
      </c>
      <c r="D828" s="13" t="inlineStr">
        <is>
          <t>General license</t>
        </is>
      </c>
      <c r="E828" s="4" t="inlineStr">
        <is>
          <t>Antlered Buck Mule Deer</t>
        </is>
      </c>
      <c r="F828" s="4" t="inlineStr">
        <is>
          <t>Sep 05-Oct 18</t>
        </is>
      </c>
      <c r="G828" s="4" t="inlineStr">
        <is>
          <t>Oct 24-Nov 29</t>
        </is>
      </c>
      <c r="H828" s="4" t="inlineStr">
        <is>
          <t>Dec 12-Dec 20</t>
        </is>
      </c>
      <c r="I828" s="4" t="n"/>
      <c r="J828" s="4" t="n"/>
      <c r="K828" s="4" t="n"/>
      <c r="L828" s="4" t="n"/>
    </row>
    <row r="829">
      <c r="A829" s="4" t="inlineStr">
        <is>
          <t>411</t>
        </is>
      </c>
      <c r="B829" s="4" t="inlineStr">
        <is>
          <t>mule deer</t>
        </is>
      </c>
      <c r="C829" s="4" t="inlineStr">
        <is>
          <t>Deer B License: 411-01</t>
        </is>
      </c>
      <c r="D829" s="15" t="inlineStr">
        <is>
          <t>Drawing</t>
        </is>
      </c>
      <c r="E829" s="4" t="inlineStr">
        <is>
          <t>Antlerless Mule Deer</t>
        </is>
      </c>
      <c r="F829" s="4" t="inlineStr">
        <is>
          <t>Sep 05-Oct 18</t>
        </is>
      </c>
      <c r="G829" s="4" t="inlineStr">
        <is>
          <t>Oct 24-Nov 29</t>
        </is>
      </c>
      <c r="H829" s="4" t="inlineStr">
        <is>
          <t>Dec 12-Dec 20</t>
        </is>
      </c>
      <c r="I829" s="4" t="n"/>
      <c r="J829" s="4" t="inlineStr">
        <is>
          <t>Jun 1</t>
        </is>
      </c>
      <c r="K829" s="4" t="inlineStr">
        <is>
          <t>50</t>
        </is>
      </c>
      <c r="L829" s="4" t="inlineStr">
        <is>
          <t>Only valid on private land.</t>
        </is>
      </c>
    </row>
    <row r="830">
      <c r="A830" s="4" t="inlineStr">
        <is>
          <t>412</t>
        </is>
      </c>
      <c r="B830" s="4" t="inlineStr">
        <is>
          <t>mule deer</t>
        </is>
      </c>
      <c r="C830" s="4" t="inlineStr">
        <is>
          <t>General Deer License</t>
        </is>
      </c>
      <c r="D830" s="13" t="inlineStr">
        <is>
          <t>General license</t>
        </is>
      </c>
      <c r="E830" s="4" t="inlineStr">
        <is>
          <t>Antlered Buck Mule Deer</t>
        </is>
      </c>
      <c r="F830" s="4" t="inlineStr">
        <is>
          <t>Sep 05-Oct 18</t>
        </is>
      </c>
      <c r="G830" s="4" t="inlineStr">
        <is>
          <t>Oct 24-Nov 29</t>
        </is>
      </c>
      <c r="H830" s="4" t="inlineStr">
        <is>
          <t>Dec 12-Dec 20</t>
        </is>
      </c>
      <c r="I830" s="4" t="n"/>
      <c r="J830" s="4" t="n"/>
      <c r="K830" s="4" t="n"/>
      <c r="L830" s="4" t="n"/>
    </row>
    <row r="831">
      <c r="A831" s="4" t="inlineStr">
        <is>
          <t>412</t>
        </is>
      </c>
      <c r="B831" s="4" t="inlineStr">
        <is>
          <t>mule deer</t>
        </is>
      </c>
      <c r="C831" s="4" t="inlineStr">
        <is>
          <t>Deer B License: 412-01</t>
        </is>
      </c>
      <c r="D831" s="15" t="inlineStr">
        <is>
          <t>Drawing</t>
        </is>
      </c>
      <c r="E831" s="4" t="inlineStr">
        <is>
          <t>Antlerless Mule Deer</t>
        </is>
      </c>
      <c r="F831" s="4" t="inlineStr">
        <is>
          <t>Sep 05-Oct 18</t>
        </is>
      </c>
      <c r="G831" s="4" t="inlineStr">
        <is>
          <t>Oct 24-Nov 29</t>
        </is>
      </c>
      <c r="H831" s="4" t="inlineStr">
        <is>
          <t>Dec 12-Dec 20</t>
        </is>
      </c>
      <c r="I831" s="4" t="n"/>
      <c r="J831" s="4" t="inlineStr">
        <is>
          <t>Jun 1</t>
        </is>
      </c>
      <c r="K831" s="4" t="inlineStr">
        <is>
          <t>50</t>
        </is>
      </c>
      <c r="L831" s="4" t="inlineStr">
        <is>
          <t>Only valid on private land. LICENSE/PERMIT OPPORTUNITY APPL Y BY DATE QUOTA QUOTA RANGE EARL Y SEASON DATES ARCHERY ONL Y SEASON DATES GENERAL SEASON DATES HERITAGE MUZZLELOADER SEASON DATES LATE SEASON DATES OPPORTUNITY SPECIFIC DETAILS AND/ORRESTRICTIONS</t>
        </is>
      </c>
    </row>
    <row r="832">
      <c r="A832" s="4" t="inlineStr">
        <is>
          <t>413</t>
        </is>
      </c>
      <c r="B832" s="4" t="inlineStr">
        <is>
          <t>mule deer</t>
        </is>
      </c>
      <c r="C832" s="4" t="inlineStr">
        <is>
          <t>General Deer License</t>
        </is>
      </c>
      <c r="D832" s="13" t="inlineStr">
        <is>
          <t>General license</t>
        </is>
      </c>
      <c r="E832" s="4" t="inlineStr">
        <is>
          <t>Antlered Buck Mule Deer</t>
        </is>
      </c>
      <c r="F832" s="4" t="inlineStr">
        <is>
          <t>Sep 05-Oct 18</t>
        </is>
      </c>
      <c r="G832" s="4" t="inlineStr">
        <is>
          <t>Oct 24-Nov 29</t>
        </is>
      </c>
      <c r="H832" s="4" t="inlineStr">
        <is>
          <t>Dec 12-Dec 20</t>
        </is>
      </c>
      <c r="I832" s="4" t="n"/>
      <c r="J832" s="4" t="n"/>
      <c r="K832" s="4" t="n"/>
      <c r="L832" s="4" t="n"/>
    </row>
    <row r="833">
      <c r="A833" s="4" t="inlineStr">
        <is>
          <t>413</t>
        </is>
      </c>
      <c r="B833" s="4" t="inlineStr">
        <is>
          <t>mule deer</t>
        </is>
      </c>
      <c r="C833" s="4" t="inlineStr">
        <is>
          <t>Deer B License: 413-00</t>
        </is>
      </c>
      <c r="D833" s="15" t="inlineStr">
        <is>
          <t>Drawing</t>
        </is>
      </c>
      <c r="E833" s="4" t="inlineStr">
        <is>
          <t>Antlerless Mule Deer</t>
        </is>
      </c>
      <c r="F833" s="4" t="inlineStr">
        <is>
          <t>Sep 05-Oct 18</t>
        </is>
      </c>
      <c r="G833" s="4" t="inlineStr">
        <is>
          <t>Oct 24-Nov 29</t>
        </is>
      </c>
      <c r="H833" s="4" t="inlineStr">
        <is>
          <t>Dec 12-Dec 20</t>
        </is>
      </c>
      <c r="I833" s="4" t="n"/>
      <c r="J833" s="4" t="inlineStr">
        <is>
          <t>Jun 1</t>
        </is>
      </c>
      <c r="K833" s="4" t="inlineStr">
        <is>
          <t>100</t>
        </is>
      </c>
      <c r="L833" s="4" t="inlineStr">
        <is>
          <t>Only valid on private land.</t>
        </is>
      </c>
    </row>
    <row r="834">
      <c r="A834" s="4" t="inlineStr">
        <is>
          <t>415</t>
        </is>
      </c>
      <c r="B834" s="4" t="inlineStr">
        <is>
          <t>mule deer</t>
        </is>
      </c>
      <c r="C834" s="4" t="inlineStr">
        <is>
          <t>General Deer License</t>
        </is>
      </c>
      <c r="D834" s="13" t="inlineStr">
        <is>
          <t>General license</t>
        </is>
      </c>
      <c r="E834" s="4" t="inlineStr">
        <is>
          <t>Antlered Buck Mule Deer</t>
        </is>
      </c>
      <c r="F834" s="4" t="inlineStr">
        <is>
          <t>Sep 05-Oct 18</t>
        </is>
      </c>
      <c r="G834" s="4" t="inlineStr">
        <is>
          <t>Oct 24-Nov 29</t>
        </is>
      </c>
      <c r="H834" s="4" t="inlineStr">
        <is>
          <t>Dec 12-Dec 20</t>
        </is>
      </c>
      <c r="I834" s="4" t="n"/>
      <c r="J834" s="4" t="n"/>
      <c r="K834" s="4" t="n"/>
      <c r="L834" s="4" t="n"/>
    </row>
    <row r="835">
      <c r="A835" s="4" t="inlineStr">
        <is>
          <t>416</t>
        </is>
      </c>
      <c r="B835" s="4" t="inlineStr">
        <is>
          <t>mule deer</t>
        </is>
      </c>
      <c r="C835" s="4" t="inlineStr">
        <is>
          <t>General Deer License</t>
        </is>
      </c>
      <c r="D835" s="13" t="inlineStr">
        <is>
          <t>General license</t>
        </is>
      </c>
      <c r="E835" s="4" t="inlineStr">
        <is>
          <t>Antlered Buck Mule Deer</t>
        </is>
      </c>
      <c r="F835" s="4" t="inlineStr">
        <is>
          <t>Sep 05-Oct 18</t>
        </is>
      </c>
      <c r="G835" s="4" t="inlineStr">
        <is>
          <t>Oct 24-Nov 29</t>
        </is>
      </c>
      <c r="H835" s="4" t="inlineStr">
        <is>
          <t>Dec 12-Dec 20</t>
        </is>
      </c>
      <c r="I835" s="4" t="n"/>
      <c r="J835" s="4" t="n"/>
      <c r="K835" s="4" t="n"/>
      <c r="L835" s="4" t="n"/>
    </row>
    <row r="836">
      <c r="A836" s="4" t="inlineStr">
        <is>
          <t>417</t>
        </is>
      </c>
      <c r="B836" s="4" t="inlineStr">
        <is>
          <t>mule deer</t>
        </is>
      </c>
      <c r="C836" s="4" t="inlineStr">
        <is>
          <t>Deer B License: 417-00</t>
        </is>
      </c>
      <c r="D836" s="15" t="inlineStr">
        <is>
          <t>Drawing</t>
        </is>
      </c>
      <c r="E836" s="4" t="inlineStr">
        <is>
          <t>Antlerless Mule Deer</t>
        </is>
      </c>
      <c r="F836" s="4" t="inlineStr">
        <is>
          <t>Sep 05-Oct 18</t>
        </is>
      </c>
      <c r="G836" s="4" t="inlineStr">
        <is>
          <t>Oct 24-Nov 29</t>
        </is>
      </c>
      <c r="H836" s="4" t="inlineStr">
        <is>
          <t>Dec 12-Dec 20</t>
        </is>
      </c>
      <c r="I836" s="4" t="n"/>
      <c r="J836" s="4" t="inlineStr">
        <is>
          <t>Jun 1</t>
        </is>
      </c>
      <c r="K836" s="4" t="inlineStr">
        <is>
          <t>25</t>
        </is>
      </c>
      <c r="L836" s="4" t="inlineStr">
        <is>
          <t>Only valid on private land.</t>
        </is>
      </c>
    </row>
    <row r="837">
      <c r="A837" s="4" t="inlineStr">
        <is>
          <t>417</t>
        </is>
      </c>
      <c r="B837" s="4" t="inlineStr">
        <is>
          <t>mule deer</t>
        </is>
      </c>
      <c r="C837" s="4" t="inlineStr">
        <is>
          <t>Deer Permit: 417-50</t>
        </is>
      </c>
      <c r="D837" s="15" t="inlineStr">
        <is>
          <t>Drawing</t>
        </is>
      </c>
      <c r="E837" s="4" t="inlineStr">
        <is>
          <t>Antlered Buck Mule Deer</t>
        </is>
      </c>
      <c r="F837" s="4" t="inlineStr">
        <is>
          <t>Sep 05-Oct 18</t>
        </is>
      </c>
      <c r="G837" s="4" t="inlineStr">
        <is>
          <t>Oct 24-Nov 29</t>
        </is>
      </c>
      <c r="H837" s="4" t="inlineStr">
        <is>
          <t>Dec 12-Dec 20</t>
        </is>
      </c>
      <c r="I837" s="4" t="n"/>
      <c r="J837" s="4" t="inlineStr">
        <is>
          <t>April 1</t>
        </is>
      </c>
      <c r="K837" s="4" t="inlineStr">
        <is>
          <t>100</t>
        </is>
      </c>
      <c r="L837" s="4" t="inlineStr">
        <is>
          <t>Permit must be used with a valid General Deer License. Holders may not hunt Antlered Buck Mule Deer in any other HD.</t>
        </is>
      </c>
    </row>
    <row r="838">
      <c r="A838" s="4" t="inlineStr">
        <is>
          <t>418</t>
        </is>
      </c>
      <c r="B838" s="4" t="inlineStr">
        <is>
          <t>mule deer</t>
        </is>
      </c>
      <c r="C838" s="4" t="inlineStr">
        <is>
          <t>General Deer License</t>
        </is>
      </c>
      <c r="D838" s="13" t="inlineStr">
        <is>
          <t>General license</t>
        </is>
      </c>
      <c r="E838" s="4" t="inlineStr">
        <is>
          <t>Antlered Buck Mule Deer</t>
        </is>
      </c>
      <c r="F838" s="4" t="inlineStr">
        <is>
          <t>Sep 05-Oct 18</t>
        </is>
      </c>
      <c r="G838" s="4" t="inlineStr">
        <is>
          <t>Oct 24-Nov 29</t>
        </is>
      </c>
      <c r="H838" s="4" t="inlineStr">
        <is>
          <t>Dec 12-Dec 20</t>
        </is>
      </c>
      <c r="I838" s="4" t="n"/>
      <c r="J838" s="4" t="n"/>
      <c r="K838" s="4" t="n"/>
      <c r="L838" s="4" t="n"/>
    </row>
    <row r="839">
      <c r="A839" s="4" t="inlineStr">
        <is>
          <t>418</t>
        </is>
      </c>
      <c r="B839" s="4" t="inlineStr">
        <is>
          <t>mule deer</t>
        </is>
      </c>
      <c r="C839" s="4" t="inlineStr">
        <is>
          <t>Deer B License: 418-00</t>
        </is>
      </c>
      <c r="D839" s="15" t="inlineStr">
        <is>
          <t>Drawing</t>
        </is>
      </c>
      <c r="E839" s="4" t="inlineStr">
        <is>
          <t>Antlerless Mule Deer</t>
        </is>
      </c>
      <c r="F839" s="4" t="inlineStr">
        <is>
          <t>Sep 05-Oct 18</t>
        </is>
      </c>
      <c r="G839" s="4" t="inlineStr">
        <is>
          <t>Oct 24-Nov 29</t>
        </is>
      </c>
      <c r="H839" s="4" t="inlineStr">
        <is>
          <t>Dec 12-Dec 20</t>
        </is>
      </c>
      <c r="I839" s="4" t="n"/>
      <c r="J839" s="4" t="inlineStr">
        <is>
          <t>Jun 1</t>
        </is>
      </c>
      <c r="K839" s="4" t="inlineStr">
        <is>
          <t>50</t>
        </is>
      </c>
      <c r="L839" s="4" t="inlineStr">
        <is>
          <t>Only valid on private land. 97 2026 Deer • Elk • Antelope Visit fwp.mt.gov LICENSE/PERMIT OPPORTUNITY APPL Y BY DATE QUOTA QUOTA RANGE EARL Y SEASON DATES ARCHERY ONL Y SEASON DATES GENERAL SEASON DATES HERITAGE MUZZLELOADER SEASON DATES LATE SEASON DATES OPPORTUNITY SPECIFIC DETAILS AND/ORRESTRICTI</t>
        </is>
      </c>
    </row>
    <row r="840">
      <c r="A840" s="4" t="inlineStr">
        <is>
          <t>419</t>
        </is>
      </c>
      <c r="B840" s="4" t="inlineStr">
        <is>
          <t>mule deer</t>
        </is>
      </c>
      <c r="C840" s="4" t="inlineStr">
        <is>
          <t>General Deer License</t>
        </is>
      </c>
      <c r="D840" s="13" t="inlineStr">
        <is>
          <t>General license</t>
        </is>
      </c>
      <c r="E840" s="4" t="inlineStr">
        <is>
          <t>Antlered Buck Mule Deer</t>
        </is>
      </c>
      <c r="F840" s="4" t="inlineStr">
        <is>
          <t>Sep 05-Oct 18</t>
        </is>
      </c>
      <c r="G840" s="4" t="inlineStr">
        <is>
          <t>Oct 24-Nov 29</t>
        </is>
      </c>
      <c r="H840" s="4" t="inlineStr">
        <is>
          <t>Dec 12-Dec 20</t>
        </is>
      </c>
      <c r="I840" s="4" t="n"/>
      <c r="J840" s="4" t="n"/>
      <c r="K840" s="4" t="n"/>
      <c r="L840" s="4" t="n"/>
    </row>
    <row r="841">
      <c r="A841" s="4" t="inlineStr">
        <is>
          <t>419</t>
        </is>
      </c>
      <c r="B841" s="4" t="inlineStr">
        <is>
          <t>mule deer</t>
        </is>
      </c>
      <c r="C841" s="4" t="inlineStr">
        <is>
          <t>Deer B License: 419-00</t>
        </is>
      </c>
      <c r="D841" s="15" t="inlineStr">
        <is>
          <t>Drawing</t>
        </is>
      </c>
      <c r="E841" s="4" t="inlineStr">
        <is>
          <t>Antlerless Mule Deer</t>
        </is>
      </c>
      <c r="F841" s="4" t="inlineStr">
        <is>
          <t>Sep 05-Oct 18</t>
        </is>
      </c>
      <c r="G841" s="4" t="inlineStr">
        <is>
          <t>Oct 24-Nov 29</t>
        </is>
      </c>
      <c r="H841" s="4" t="inlineStr">
        <is>
          <t>Dec 12-Dec 20</t>
        </is>
      </c>
      <c r="I841" s="4" t="n"/>
      <c r="J841" s="4" t="inlineStr">
        <is>
          <t>Jun 1</t>
        </is>
      </c>
      <c r="K841" s="4" t="inlineStr">
        <is>
          <t>50</t>
        </is>
      </c>
      <c r="L841" s="4" t="inlineStr">
        <is>
          <t>Only valid on private land.</t>
        </is>
      </c>
    </row>
    <row r="842">
      <c r="A842" s="4" t="inlineStr">
        <is>
          <t>420</t>
        </is>
      </c>
      <c r="B842" s="4" t="inlineStr">
        <is>
          <t>mule deer</t>
        </is>
      </c>
      <c r="C842" s="4" t="inlineStr">
        <is>
          <t>General Deer License</t>
        </is>
      </c>
      <c r="D842" s="13" t="inlineStr">
        <is>
          <t>General license</t>
        </is>
      </c>
      <c r="E842" s="4" t="inlineStr">
        <is>
          <t>Antlered Buck Mule Deer</t>
        </is>
      </c>
      <c r="F842" s="4" t="inlineStr">
        <is>
          <t>Sep 05-Oct 18</t>
        </is>
      </c>
      <c r="G842" s="4" t="inlineStr">
        <is>
          <t>Oct 24-Nov 29</t>
        </is>
      </c>
      <c r="H842" s="4" t="inlineStr">
        <is>
          <t>Dec 12-Dec 20</t>
        </is>
      </c>
      <c r="I842" s="4" t="n"/>
      <c r="J842" s="4" t="n"/>
      <c r="K842" s="4" t="n"/>
      <c r="L842" s="4" t="n"/>
    </row>
    <row r="843">
      <c r="A843" s="4" t="inlineStr">
        <is>
          <t>421</t>
        </is>
      </c>
      <c r="B843" s="4" t="inlineStr">
        <is>
          <t>mule deer</t>
        </is>
      </c>
      <c r="C843" s="4" t="inlineStr">
        <is>
          <t>General Deer License</t>
        </is>
      </c>
      <c r="D843" s="13" t="inlineStr">
        <is>
          <t>General license</t>
        </is>
      </c>
      <c r="E843" s="4" t="inlineStr">
        <is>
          <t>Either-sex Mule Deer</t>
        </is>
      </c>
      <c r="F843" s="4" t="inlineStr">
        <is>
          <t>Sep 05-Oct 18</t>
        </is>
      </c>
      <c r="G843" s="4" t="inlineStr">
        <is>
          <t>Oct 24-Nov 29</t>
        </is>
      </c>
      <c r="H843" s="4" t="inlineStr">
        <is>
          <t>Dec 12-Dec 20</t>
        </is>
      </c>
      <c r="I843" s="4" t="n"/>
      <c r="J843" s="4" t="n"/>
      <c r="K843" s="4" t="n"/>
      <c r="L843" s="4" t="n"/>
    </row>
    <row r="844">
      <c r="A844" s="4" t="inlineStr">
        <is>
          <t>422</t>
        </is>
      </c>
      <c r="B844" s="4" t="inlineStr">
        <is>
          <t>mule deer</t>
        </is>
      </c>
      <c r="C844" s="4" t="inlineStr">
        <is>
          <t>General Deer License</t>
        </is>
      </c>
      <c r="D844" s="13" t="inlineStr">
        <is>
          <t>General license</t>
        </is>
      </c>
      <c r="E844" s="4" t="inlineStr">
        <is>
          <t>Either-sex Mule Deer</t>
        </is>
      </c>
      <c r="F844" s="4" t="inlineStr">
        <is>
          <t>Sep 05-Oct 18</t>
        </is>
      </c>
      <c r="G844" s="4" t="inlineStr">
        <is>
          <t>Oct 24-Nov 29</t>
        </is>
      </c>
      <c r="H844" s="4" t="inlineStr">
        <is>
          <t>Dec 12-Dec 20</t>
        </is>
      </c>
      <c r="I844" s="4" t="n"/>
      <c r="J844" s="4" t="n"/>
      <c r="K844" s="4" t="n"/>
      <c r="L844" s="4" t="inlineStr">
        <is>
          <t>Only valid outside National Forest boundary.</t>
        </is>
      </c>
    </row>
    <row r="845">
      <c r="A845" s="4" t="inlineStr">
        <is>
          <t>422</t>
        </is>
      </c>
      <c r="B845" s="4" t="inlineStr">
        <is>
          <t>mule deer</t>
        </is>
      </c>
      <c r="C845" s="4" t="inlineStr">
        <is>
          <t>General Deer License</t>
        </is>
      </c>
      <c r="D845" s="13" t="inlineStr">
        <is>
          <t>General license</t>
        </is>
      </c>
      <c r="E845" s="4" t="inlineStr">
        <is>
          <t>Antlered Buck Mule Deer</t>
        </is>
      </c>
      <c r="F845" s="4" t="inlineStr">
        <is>
          <t>Sep 05-Oct 18</t>
        </is>
      </c>
      <c r="G845" s="4" t="inlineStr">
        <is>
          <t>Oct 24-Nov 29</t>
        </is>
      </c>
      <c r="H845" s="4" t="inlineStr">
        <is>
          <t>Dec 12-Dec 20</t>
        </is>
      </c>
      <c r="I845" s="4" t="n"/>
      <c r="J845" s="4" t="n"/>
      <c r="K845" s="4" t="n"/>
      <c r="L845" s="4" t="inlineStr">
        <is>
          <t>Only valid inside National Forest boundary.</t>
        </is>
      </c>
    </row>
    <row r="846">
      <c r="A846" s="4" t="inlineStr">
        <is>
          <t>424</t>
        </is>
      </c>
      <c r="B846" s="4" t="inlineStr">
        <is>
          <t>mule deer</t>
        </is>
      </c>
      <c r="C846" s="4" t="inlineStr">
        <is>
          <t>General Deer License</t>
        </is>
      </c>
      <c r="D846" s="13" t="inlineStr">
        <is>
          <t>General license</t>
        </is>
      </c>
      <c r="E846" s="4" t="inlineStr">
        <is>
          <t>Antlered Buck Mule Deer</t>
        </is>
      </c>
      <c r="F846" s="4" t="inlineStr">
        <is>
          <t>Sep 05-Oct 18</t>
        </is>
      </c>
      <c r="G846" s="4" t="inlineStr">
        <is>
          <t>Oct 24-Nov 29</t>
        </is>
      </c>
      <c r="H846" s="4" t="inlineStr">
        <is>
          <t>Dec 12-Dec 20</t>
        </is>
      </c>
      <c r="I846" s="4" t="n"/>
      <c r="J846" s="4" t="n"/>
      <c r="K846" s="4" t="n"/>
      <c r="L846" s="4" t="n"/>
    </row>
    <row r="847">
      <c r="A847" s="4" t="inlineStr">
        <is>
          <t>425</t>
        </is>
      </c>
      <c r="B847" s="4" t="inlineStr">
        <is>
          <t>mule deer</t>
        </is>
      </c>
      <c r="C847" s="4" t="inlineStr">
        <is>
          <t>General Deer License</t>
        </is>
      </c>
      <c r="D847" s="13" t="inlineStr">
        <is>
          <t>General license</t>
        </is>
      </c>
      <c r="E847" s="4" t="inlineStr">
        <is>
          <t>Either-sex Mule Deer</t>
        </is>
      </c>
      <c r="F847" s="4" t="inlineStr">
        <is>
          <t>Sep 05-Oct 18</t>
        </is>
      </c>
      <c r="G847" s="4" t="inlineStr">
        <is>
          <t>Oct 24-Nov 29</t>
        </is>
      </c>
      <c r="H847" s="4" t="inlineStr">
        <is>
          <t>Dec 12-Dec 20</t>
        </is>
      </c>
      <c r="I847" s="4" t="n"/>
      <c r="J847" s="4" t="n"/>
      <c r="K847" s="4" t="n"/>
      <c r="L847" s="4" t="n"/>
    </row>
    <row r="848">
      <c r="A848" s="4" t="inlineStr">
        <is>
          <t>426</t>
        </is>
      </c>
      <c r="B848" s="4" t="inlineStr">
        <is>
          <t>mule deer</t>
        </is>
      </c>
      <c r="C848" s="4" t="inlineStr">
        <is>
          <t>General Deer License</t>
        </is>
      </c>
      <c r="D848" s="13" t="inlineStr">
        <is>
          <t>General license</t>
        </is>
      </c>
      <c r="E848" s="4" t="inlineStr">
        <is>
          <t>Antlered Buck Mule Deer</t>
        </is>
      </c>
      <c r="F848" s="4" t="inlineStr">
        <is>
          <t>Sep 05-Oct 18</t>
        </is>
      </c>
      <c r="G848" s="4" t="inlineStr">
        <is>
          <t>Oct 24-Nov 15</t>
        </is>
      </c>
      <c r="H848" s="4" t="n"/>
      <c r="I848" s="4" t="n"/>
      <c r="J848" s="4" t="n"/>
      <c r="K848" s="4" t="n"/>
      <c r="L848" s="4" t="n"/>
    </row>
    <row r="849">
      <c r="A849" s="4" t="inlineStr">
        <is>
          <t>426</t>
        </is>
      </c>
      <c r="B849" s="4" t="inlineStr">
        <is>
          <t>mule deer</t>
        </is>
      </c>
      <c r="C849" s="4" t="inlineStr">
        <is>
          <t>Deer B License: 426-00</t>
        </is>
      </c>
      <c r="D849" s="15" t="inlineStr">
        <is>
          <t>Drawing</t>
        </is>
      </c>
      <c r="E849" s="4" t="inlineStr">
        <is>
          <t>Antlerless Mule Deer</t>
        </is>
      </c>
      <c r="F849" s="4" t="inlineStr">
        <is>
          <t>Sep 05-Oct 18</t>
        </is>
      </c>
      <c r="G849" s="4" t="inlineStr">
        <is>
          <t>Oct 24-Nov 29</t>
        </is>
      </c>
      <c r="H849" s="4" t="inlineStr">
        <is>
          <t>Dec 12-Dec 20</t>
        </is>
      </c>
      <c r="I849" s="4" t="n"/>
      <c r="J849" s="4" t="inlineStr">
        <is>
          <t>Jun 1</t>
        </is>
      </c>
      <c r="K849" s="4" t="inlineStr">
        <is>
          <t>50</t>
        </is>
      </c>
      <c r="L849" s="4" t="inlineStr">
        <is>
          <t>Only valid on private land.</t>
        </is>
      </c>
    </row>
    <row r="850">
      <c r="A850" s="4" t="inlineStr">
        <is>
          <t>426</t>
        </is>
      </c>
      <c r="B850" s="4" t="inlineStr">
        <is>
          <t>mule deer</t>
        </is>
      </c>
      <c r="C850" s="4" t="inlineStr">
        <is>
          <t>Deer Permit: 426-50</t>
        </is>
      </c>
      <c r="D850" s="15" t="inlineStr">
        <is>
          <t>Drawing</t>
        </is>
      </c>
      <c r="E850" s="4" t="inlineStr">
        <is>
          <t>Antlered Buck Mule Deer</t>
        </is>
      </c>
      <c r="F850" s="4" t="n"/>
      <c r="G850" s="4" t="inlineStr">
        <is>
          <t>Nov 16-Nov 29</t>
        </is>
      </c>
      <c r="H850" s="4" t="inlineStr">
        <is>
          <t>Dec 12-Dec 20</t>
        </is>
      </c>
      <c r="I850" s="4" t="n"/>
      <c r="J850" s="4" t="inlineStr">
        <is>
          <t>April 1</t>
        </is>
      </c>
      <c r="K850" s="4" t="inlineStr">
        <is>
          <t>75</t>
        </is>
      </c>
      <c r="L850" s="4" t="inlineStr">
        <is>
          <t>Permit must be used with a valid General Deer License. Holders may not hunt Antlered Buck Mule Deer in any other HD.</t>
        </is>
      </c>
    </row>
    <row r="851">
      <c r="A851" s="4" t="inlineStr">
        <is>
          <t>432</t>
        </is>
      </c>
      <c r="B851" s="4" t="inlineStr">
        <is>
          <t>mule deer</t>
        </is>
      </c>
      <c r="C851" s="4" t="inlineStr">
        <is>
          <t>General Deer License</t>
        </is>
      </c>
      <c r="D851" s="13" t="inlineStr">
        <is>
          <t>General license</t>
        </is>
      </c>
      <c r="E851" s="4" t="inlineStr">
        <is>
          <t>Antlered Buck Mule Deer</t>
        </is>
      </c>
      <c r="F851" s="4" t="inlineStr">
        <is>
          <t>Sep 05-Oct 18</t>
        </is>
      </c>
      <c r="G851" s="4" t="inlineStr">
        <is>
          <t>Oct 24-Nov 29</t>
        </is>
      </c>
      <c r="H851" s="4" t="inlineStr">
        <is>
          <t>Dec 12-Dec 20</t>
        </is>
      </c>
      <c r="I851" s="4" t="n"/>
      <c r="J851" s="4" t="n"/>
      <c r="K851" s="4" t="n"/>
      <c r="L851" s="4" t="n"/>
    </row>
    <row r="852">
      <c r="A852" s="4" t="inlineStr">
        <is>
          <t>432</t>
        </is>
      </c>
      <c r="B852" s="4" t="inlineStr">
        <is>
          <t>mule deer</t>
        </is>
      </c>
      <c r="C852" s="4" t="inlineStr">
        <is>
          <t>Deer B License: 432-00</t>
        </is>
      </c>
      <c r="D852" s="15" t="inlineStr">
        <is>
          <t>Drawing</t>
        </is>
      </c>
      <c r="E852" s="4" t="inlineStr">
        <is>
          <t>Antlerless Mule Deer</t>
        </is>
      </c>
      <c r="F852" s="4" t="inlineStr">
        <is>
          <t>Sep 05-Oct 18</t>
        </is>
      </c>
      <c r="G852" s="4" t="inlineStr">
        <is>
          <t>Oct 24-Nov 29</t>
        </is>
      </c>
      <c r="H852" s="4" t="inlineStr">
        <is>
          <t>Dec 12-Dec 20</t>
        </is>
      </c>
      <c r="I852" s="4" t="n"/>
      <c r="J852" s="4" t="inlineStr">
        <is>
          <t>Jun 1</t>
        </is>
      </c>
      <c r="K852" s="4" t="inlineStr">
        <is>
          <t>50</t>
        </is>
      </c>
      <c r="L852" s="4" t="inlineStr">
        <is>
          <t>Only valid on private land.</t>
        </is>
      </c>
    </row>
    <row r="853">
      <c r="A853" s="4" t="inlineStr">
        <is>
          <t>441</t>
        </is>
      </c>
      <c r="B853" s="4" t="inlineStr">
        <is>
          <t>mule deer</t>
        </is>
      </c>
      <c r="C853" s="4" t="inlineStr">
        <is>
          <t>General Deer License</t>
        </is>
      </c>
      <c r="D853" s="13" t="inlineStr">
        <is>
          <t>General license</t>
        </is>
      </c>
      <c r="E853" s="4" t="inlineStr">
        <is>
          <t>Antlered Buck Mule Deer</t>
        </is>
      </c>
      <c r="F853" s="4" t="n"/>
      <c r="G853" s="4" t="inlineStr">
        <is>
          <t>Oct 24-Nov 29</t>
        </is>
      </c>
      <c r="H853" s="4" t="inlineStr">
        <is>
          <t>Dec 12-Dec 20</t>
        </is>
      </c>
      <c r="I853" s="4" t="n"/>
      <c r="J853" s="4" t="n"/>
      <c r="K853" s="4" t="n"/>
      <c r="L853" s="4" t="inlineStr">
        <is>
          <t>Only valid within National Forest boundary.</t>
        </is>
      </c>
    </row>
    <row r="854">
      <c r="A854" s="4" t="inlineStr">
        <is>
          <t>441</t>
        </is>
      </c>
      <c r="B854" s="4" t="inlineStr">
        <is>
          <t>mule deer</t>
        </is>
      </c>
      <c r="C854" s="4" t="inlineStr">
        <is>
          <t>General Deer License</t>
        </is>
      </c>
      <c r="D854" s="13" t="inlineStr">
        <is>
          <t>General license</t>
        </is>
      </c>
      <c r="E854" s="4" t="inlineStr">
        <is>
          <t>Antlered Buck Mule Deer</t>
        </is>
      </c>
      <c r="F854" s="4" t="inlineStr">
        <is>
          <t>Sep 05-Oct 18</t>
        </is>
      </c>
      <c r="G854" s="4" t="inlineStr">
        <is>
          <t>Oct 24-Nov 08</t>
        </is>
      </c>
      <c r="H854" s="4" t="n"/>
      <c r="I854" s="4" t="n"/>
      <c r="J854" s="4" t="n"/>
      <c r="K854" s="4" t="n"/>
      <c r="L854" s="4" t="inlineStr">
        <is>
          <t>2 week general season.</t>
        </is>
      </c>
    </row>
    <row r="855">
      <c r="A855" s="4" t="inlineStr">
        <is>
          <t>441</t>
        </is>
      </c>
      <c r="B855" s="4" t="inlineStr">
        <is>
          <t>mule deer</t>
        </is>
      </c>
      <c r="C855" s="4" t="inlineStr">
        <is>
          <t>Deer Permit: 441-50</t>
        </is>
      </c>
      <c r="D855" s="15" t="inlineStr">
        <is>
          <t>Drawing</t>
        </is>
      </c>
      <c r="E855" s="4" t="inlineStr">
        <is>
          <t>Antlered Buck Mule Deer</t>
        </is>
      </c>
      <c r="F855" s="4" t="n"/>
      <c r="G855" s="4" t="inlineStr">
        <is>
          <t>Nov 09-Nov 29</t>
        </is>
      </c>
      <c r="H855" s="4" t="inlineStr">
        <is>
          <t>Dec 12-Dec 20</t>
        </is>
      </c>
      <c r="I855" s="4" t="n"/>
      <c r="J855" s="4" t="inlineStr">
        <is>
          <t>April 1</t>
        </is>
      </c>
      <c r="K855" s="4" t="inlineStr">
        <is>
          <t>35</t>
        </is>
      </c>
      <c r="L855" s="4" t="inlineStr">
        <is>
          <t>Permit must be used with a valid General Deer License. Holders may not hunt Antlered Buck Mule Deer in any other HD.</t>
        </is>
      </c>
    </row>
    <row r="856">
      <c r="A856" s="4" t="inlineStr">
        <is>
          <t>442</t>
        </is>
      </c>
      <c r="B856" s="4" t="inlineStr">
        <is>
          <t>mule deer</t>
        </is>
      </c>
      <c r="C856" s="4" t="inlineStr">
        <is>
          <t>General Deer License</t>
        </is>
      </c>
      <c r="D856" s="13" t="inlineStr">
        <is>
          <t>General license</t>
        </is>
      </c>
      <c r="E856" s="4" t="inlineStr">
        <is>
          <t>Antlered Buck Mule Deer</t>
        </is>
      </c>
      <c r="F856" s="4" t="inlineStr">
        <is>
          <t>Sep 05-Oct 18</t>
        </is>
      </c>
      <c r="G856" s="4" t="inlineStr">
        <is>
          <t>Oct 24-Nov 29</t>
        </is>
      </c>
      <c r="H856" s="4" t="inlineStr">
        <is>
          <t>Dec 12-Dec 20</t>
        </is>
      </c>
      <c r="I856" s="4" t="n"/>
      <c r="J856" s="4" t="n"/>
      <c r="K856" s="4" t="n"/>
      <c r="L856" s="4" t="n"/>
    </row>
    <row r="857">
      <c r="A857" s="4" t="inlineStr">
        <is>
          <t>444</t>
        </is>
      </c>
      <c r="B857" s="4" t="inlineStr">
        <is>
          <t>mule deer</t>
        </is>
      </c>
      <c r="C857" s="4" t="inlineStr">
        <is>
          <t>General Deer License</t>
        </is>
      </c>
      <c r="D857" s="13" t="inlineStr">
        <is>
          <t>General license</t>
        </is>
      </c>
      <c r="E857" s="4" t="inlineStr">
        <is>
          <t>Either-sex Mule Deer</t>
        </is>
      </c>
      <c r="F857" s="4" t="inlineStr">
        <is>
          <t>Sep 05-Oct 18</t>
        </is>
      </c>
      <c r="G857" s="4" t="inlineStr">
        <is>
          <t>Oct 24-Nov 29</t>
        </is>
      </c>
      <c r="H857" s="4" t="inlineStr">
        <is>
          <t>Dec 12-Dec 20</t>
        </is>
      </c>
      <c r="I857" s="4" t="n"/>
      <c r="J857" s="4" t="n"/>
      <c r="K857" s="4" t="n"/>
      <c r="L857" s="4" t="n"/>
    </row>
    <row r="858">
      <c r="A858" s="4" t="inlineStr">
        <is>
          <t>444</t>
        </is>
      </c>
      <c r="B858" s="4" t="inlineStr">
        <is>
          <t>mule deer</t>
        </is>
      </c>
      <c r="C858" s="4" t="inlineStr">
        <is>
          <t>Deer B License: 444-00</t>
        </is>
      </c>
      <c r="D858" s="15" t="inlineStr">
        <is>
          <t>Drawing</t>
        </is>
      </c>
      <c r="E858" s="4" t="inlineStr">
        <is>
          <t>Antlerless Mule Deer</t>
        </is>
      </c>
      <c r="F858" s="4" t="inlineStr">
        <is>
          <t>Sep 05-Oct 18</t>
        </is>
      </c>
      <c r="G858" s="4" t="inlineStr">
        <is>
          <t>Oct 24-Nov 29</t>
        </is>
      </c>
      <c r="H858" s="4" t="inlineStr">
        <is>
          <t>Dec 12-Dec 20</t>
        </is>
      </c>
      <c r="I858" s="4" t="n"/>
      <c r="J858" s="4" t="inlineStr">
        <is>
          <t>Jun 1</t>
        </is>
      </c>
      <c r="K858" s="4" t="inlineStr">
        <is>
          <t>50</t>
        </is>
      </c>
      <c r="L858" s="4" t="inlineStr">
        <is>
          <t>Only valid on private land.</t>
        </is>
      </c>
    </row>
    <row r="859">
      <c r="A859" s="4" t="inlineStr">
        <is>
          <t>445</t>
        </is>
      </c>
      <c r="B859" s="4" t="inlineStr">
        <is>
          <t>mule deer</t>
        </is>
      </c>
      <c r="C859" s="4" t="inlineStr">
        <is>
          <t>General Deer License</t>
        </is>
      </c>
      <c r="D859" s="13" t="inlineStr">
        <is>
          <t>General license</t>
        </is>
      </c>
      <c r="E859" s="4" t="inlineStr">
        <is>
          <t>Antlered Buck Mule Deer</t>
        </is>
      </c>
      <c r="F859" s="4" t="inlineStr">
        <is>
          <t>Sep 05-Oct 18</t>
        </is>
      </c>
      <c r="G859" s="4" t="inlineStr">
        <is>
          <t>Oct 24-Nov 29</t>
        </is>
      </c>
      <c r="H859" s="4" t="inlineStr">
        <is>
          <t>Dec 12-Dec 20</t>
        </is>
      </c>
      <c r="I859" s="4" t="n"/>
      <c r="J859" s="4" t="n"/>
      <c r="K859" s="4" t="n"/>
      <c r="L859" s="4" t="n"/>
    </row>
    <row r="860">
      <c r="A860" s="4" t="inlineStr">
        <is>
          <t>445</t>
        </is>
      </c>
      <c r="B860" s="4" t="inlineStr">
        <is>
          <t>mule deer</t>
        </is>
      </c>
      <c r="C860" s="4" t="inlineStr">
        <is>
          <t>Deer B License: 445-00</t>
        </is>
      </c>
      <c r="D860" s="15" t="inlineStr">
        <is>
          <t>Drawing</t>
        </is>
      </c>
      <c r="E860" s="4" t="inlineStr">
        <is>
          <t>Antlerless Mule Deer</t>
        </is>
      </c>
      <c r="F860" s="4" t="inlineStr">
        <is>
          <t>Sep 05-Oct 18</t>
        </is>
      </c>
      <c r="G860" s="4" t="inlineStr">
        <is>
          <t>Oct 24-Nov 29</t>
        </is>
      </c>
      <c r="H860" s="4" t="inlineStr">
        <is>
          <t>Dec 12-Dec 20</t>
        </is>
      </c>
      <c r="I860" s="4" t="n"/>
      <c r="J860" s="4" t="inlineStr">
        <is>
          <t>Jun 1</t>
        </is>
      </c>
      <c r="K860" s="4" t="inlineStr">
        <is>
          <t>25</t>
        </is>
      </c>
      <c r="L860" s="4" t="inlineStr">
        <is>
          <t>Only valid on private land.</t>
        </is>
      </c>
    </row>
    <row r="861">
      <c r="A861" s="4" t="inlineStr">
        <is>
          <t>446</t>
        </is>
      </c>
      <c r="B861" s="4" t="inlineStr">
        <is>
          <t>mule deer</t>
        </is>
      </c>
      <c r="C861" s="4" t="inlineStr">
        <is>
          <t>General Deer License</t>
        </is>
      </c>
      <c r="D861" s="13" t="inlineStr">
        <is>
          <t>General license</t>
        </is>
      </c>
      <c r="E861" s="4" t="inlineStr">
        <is>
          <t>Antlered Buck Mule Deer</t>
        </is>
      </c>
      <c r="F861" s="4" t="inlineStr">
        <is>
          <t>Sep 05-Oct 18</t>
        </is>
      </c>
      <c r="G861" s="4" t="inlineStr">
        <is>
          <t>Oct 24-Nov 29</t>
        </is>
      </c>
      <c r="H861" s="4" t="inlineStr">
        <is>
          <t>Dec 12-Dec 20</t>
        </is>
      </c>
      <c r="I861" s="4" t="n"/>
      <c r="J861" s="4" t="n"/>
      <c r="K861" s="4" t="n"/>
      <c r="L861" s="4" t="n"/>
    </row>
    <row r="862">
      <c r="A862" s="4" t="inlineStr">
        <is>
          <t>447</t>
        </is>
      </c>
      <c r="B862" s="4" t="inlineStr">
        <is>
          <t>mule deer</t>
        </is>
      </c>
      <c r="C862" s="4" t="inlineStr">
        <is>
          <t>General Deer License</t>
        </is>
      </c>
      <c r="D862" s="13" t="inlineStr">
        <is>
          <t>General license</t>
        </is>
      </c>
      <c r="E862" s="4" t="inlineStr">
        <is>
          <t>Antlered Buck Mule Deer</t>
        </is>
      </c>
      <c r="F862" s="4" t="inlineStr">
        <is>
          <t>Sep 05-Oct 18</t>
        </is>
      </c>
      <c r="G862" s="4" t="inlineStr">
        <is>
          <t>Oct 24-Nov 15</t>
        </is>
      </c>
      <c r="H862" s="4" t="n"/>
      <c r="I862" s="4" t="n"/>
      <c r="J862" s="4" t="n"/>
      <c r="K862" s="4" t="n"/>
      <c r="L862" s="4" t="inlineStr">
        <is>
          <t>Only valid outside National Forest boundary.</t>
        </is>
      </c>
    </row>
    <row r="863">
      <c r="A863" s="4" t="inlineStr">
        <is>
          <t>447</t>
        </is>
      </c>
      <c r="B863" s="4" t="inlineStr">
        <is>
          <t>mule deer</t>
        </is>
      </c>
      <c r="C863" s="4" t="inlineStr">
        <is>
          <t>Deer B License: 447-00</t>
        </is>
      </c>
      <c r="D863" s="15" t="inlineStr">
        <is>
          <t>Drawing</t>
        </is>
      </c>
      <c r="E863" s="4" t="inlineStr">
        <is>
          <t>Antlerless Mule Deer</t>
        </is>
      </c>
      <c r="F863" s="4" t="inlineStr">
        <is>
          <t>Sep 05-Oct 18</t>
        </is>
      </c>
      <c r="G863" s="4" t="inlineStr">
        <is>
          <t>Oct 24-Nov 29</t>
        </is>
      </c>
      <c r="H863" s="4" t="inlineStr">
        <is>
          <t>Dec 12-Dec 20</t>
        </is>
      </c>
      <c r="I863" s="4" t="n"/>
      <c r="J863" s="4" t="inlineStr">
        <is>
          <t>Jun 1</t>
        </is>
      </c>
      <c r="K863" s="4" t="inlineStr">
        <is>
          <t>50</t>
        </is>
      </c>
      <c r="L863" s="4" t="inlineStr">
        <is>
          <t>Only valid on private land.</t>
        </is>
      </c>
    </row>
    <row r="864">
      <c r="A864" s="4" t="inlineStr">
        <is>
          <t>447</t>
        </is>
      </c>
      <c r="B864" s="4" t="inlineStr">
        <is>
          <t>mule deer</t>
        </is>
      </c>
      <c r="C864" s="4" t="inlineStr">
        <is>
          <t>Deer Permit: 447-50</t>
        </is>
      </c>
      <c r="D864" s="15" t="inlineStr">
        <is>
          <t>Drawing</t>
        </is>
      </c>
      <c r="E864" s="4" t="inlineStr">
        <is>
          <t>Antlered Buck Mule Deer</t>
        </is>
      </c>
      <c r="F864" s="4" t="n"/>
      <c r="G864" s="4" t="inlineStr">
        <is>
          <t>Nov 16-Nov 29</t>
        </is>
      </c>
      <c r="H864" s="4" t="inlineStr">
        <is>
          <t>Dec 12-Dec 20</t>
        </is>
      </c>
      <c r="I864" s="4" t="n"/>
      <c r="J864" s="4" t="inlineStr">
        <is>
          <t>April 1</t>
        </is>
      </c>
      <c r="K864" s="4" t="inlineStr">
        <is>
          <t>50</t>
        </is>
      </c>
      <c r="L864" s="4" t="inlineStr">
        <is>
          <t>Only valid outside National Forest boundary. Permit must be used with a valid General Deer License. Holders may not hunt Antlered Buck Mule Deer in any other HD.</t>
        </is>
      </c>
    </row>
    <row r="865">
      <c r="A865" s="4" t="inlineStr">
        <is>
          <t>447</t>
        </is>
      </c>
      <c r="B865" s="4" t="inlineStr">
        <is>
          <t>mule deer</t>
        </is>
      </c>
      <c r="C865" s="4" t="inlineStr">
        <is>
          <t>Deer Permit: 447-51</t>
        </is>
      </c>
      <c r="D865" s="15" t="inlineStr">
        <is>
          <t>Drawing</t>
        </is>
      </c>
      <c r="E865" s="4" t="inlineStr">
        <is>
          <t>Antlered Buck Mule Deer</t>
        </is>
      </c>
      <c r="F865" s="4" t="inlineStr">
        <is>
          <t>Sep 05-Oct 18</t>
        </is>
      </c>
      <c r="G865" s="4" t="inlineStr">
        <is>
          <t>Oct 24-Nov 29</t>
        </is>
      </c>
      <c r="H865" s="4" t="inlineStr">
        <is>
          <t>Dec 12-Dec 20</t>
        </is>
      </c>
      <c r="I865" s="4" t="n"/>
      <c r="J865" s="4" t="inlineStr">
        <is>
          <t>April 1</t>
        </is>
      </c>
      <c r="K865" s="4" t="inlineStr">
        <is>
          <t>20</t>
        </is>
      </c>
      <c r="L865" s="4" t="inlineStr">
        <is>
          <t>Only valid inside National Forest boundary. Permit must be used with a valid General Deer License. Holders may not hunt Antlered Buck Mule Deer in any other HD.</t>
        </is>
      </c>
    </row>
    <row r="866">
      <c r="A866" s="4" t="inlineStr">
        <is>
          <t>448</t>
        </is>
      </c>
      <c r="B866" s="4" t="inlineStr">
        <is>
          <t>mule deer</t>
        </is>
      </c>
      <c r="C866" s="4" t="inlineStr">
        <is>
          <t>General Deer License</t>
        </is>
      </c>
      <c r="D866" s="13" t="inlineStr">
        <is>
          <t>General license</t>
        </is>
      </c>
      <c r="E866" s="4" t="inlineStr">
        <is>
          <t>Antlered Buck Mule Deer</t>
        </is>
      </c>
      <c r="F866" s="4" t="inlineStr">
        <is>
          <t>Sep 05-Oct 18</t>
        </is>
      </c>
      <c r="G866" s="4" t="inlineStr">
        <is>
          <t>Oct 24-Nov 29</t>
        </is>
      </c>
      <c r="H866" s="4" t="inlineStr">
        <is>
          <t>Dec 12-Dec 20</t>
        </is>
      </c>
      <c r="I866" s="4" t="n"/>
      <c r="J866" s="4" t="n"/>
      <c r="K866" s="4" t="n"/>
      <c r="L866" s="4" t="n"/>
    </row>
    <row r="867">
      <c r="A867" s="4" t="inlineStr">
        <is>
          <t>448</t>
        </is>
      </c>
      <c r="B867" s="4" t="inlineStr">
        <is>
          <t>mule deer</t>
        </is>
      </c>
      <c r="C867" s="4" t="inlineStr">
        <is>
          <t>Deer B License: 448-00</t>
        </is>
      </c>
      <c r="D867" s="15" t="inlineStr">
        <is>
          <t>Drawing</t>
        </is>
      </c>
      <c r="E867" s="4" t="inlineStr">
        <is>
          <t>Antlerless Mule Deer</t>
        </is>
      </c>
      <c r="F867" s="4" t="inlineStr">
        <is>
          <t>Sep 05-Oct 18</t>
        </is>
      </c>
      <c r="G867" s="4" t="inlineStr">
        <is>
          <t>Oct 24-Nov 29</t>
        </is>
      </c>
      <c r="H867" s="4" t="inlineStr">
        <is>
          <t>Dec 12-Dec 20</t>
        </is>
      </c>
      <c r="I867" s="4" t="n"/>
      <c r="J867" s="4" t="inlineStr">
        <is>
          <t>Jun 1</t>
        </is>
      </c>
      <c r="K867" s="4" t="inlineStr">
        <is>
          <t>100</t>
        </is>
      </c>
      <c r="L867" s="4" t="inlineStr">
        <is>
          <t>Only valid on private land.</t>
        </is>
      </c>
    </row>
    <row r="868">
      <c r="A868" s="4" t="inlineStr">
        <is>
          <t>450</t>
        </is>
      </c>
      <c r="B868" s="4" t="inlineStr">
        <is>
          <t>mule deer</t>
        </is>
      </c>
      <c r="C868" s="4" t="inlineStr">
        <is>
          <t>General Deer License</t>
        </is>
      </c>
      <c r="D868" s="13" t="inlineStr">
        <is>
          <t>General license</t>
        </is>
      </c>
      <c r="E868" s="4" t="inlineStr">
        <is>
          <t>Either-sex Mule Deer</t>
        </is>
      </c>
      <c r="F868" s="4" t="inlineStr">
        <is>
          <t>Sep 05-Oct 18</t>
        </is>
      </c>
      <c r="G868" s="4" t="inlineStr">
        <is>
          <t>Oct 24-Nov 29</t>
        </is>
      </c>
      <c r="H868" s="4" t="inlineStr">
        <is>
          <t>Dec 12-Dec 20</t>
        </is>
      </c>
      <c r="I868" s="4" t="n"/>
      <c r="J868" s="4" t="n"/>
      <c r="K868" s="4" t="n"/>
      <c r="L868" s="4" t="n"/>
    </row>
    <row r="869">
      <c r="A869" s="4" t="inlineStr">
        <is>
          <t>451</t>
        </is>
      </c>
      <c r="B869" s="4" t="inlineStr">
        <is>
          <t>mule deer</t>
        </is>
      </c>
      <c r="C869" s="4" t="inlineStr">
        <is>
          <t>General Deer License</t>
        </is>
      </c>
      <c r="D869" s="13" t="inlineStr">
        <is>
          <t>General license</t>
        </is>
      </c>
      <c r="E869" s="4" t="inlineStr">
        <is>
          <t>Antlered Buck Mule Deer</t>
        </is>
      </c>
      <c r="F869" s="4" t="inlineStr">
        <is>
          <t>Sep 05-Oct 18</t>
        </is>
      </c>
      <c r="G869" s="4" t="inlineStr">
        <is>
          <t>Oct 24-Nov 29</t>
        </is>
      </c>
      <c r="H869" s="4" t="inlineStr">
        <is>
          <t>Dec 12-Dec 20</t>
        </is>
      </c>
      <c r="I869" s="4" t="n"/>
      <c r="J869" s="4" t="n"/>
      <c r="K869" s="4" t="n"/>
      <c r="L869" s="4" t="n"/>
    </row>
    <row r="870">
      <c r="A870" s="4" t="inlineStr">
        <is>
          <t>452</t>
        </is>
      </c>
      <c r="B870" s="4" t="inlineStr">
        <is>
          <t>mule deer</t>
        </is>
      </c>
      <c r="C870" s="4" t="inlineStr">
        <is>
          <t>General Deer License</t>
        </is>
      </c>
      <c r="D870" s="13" t="inlineStr">
        <is>
          <t>General license</t>
        </is>
      </c>
      <c r="E870" s="4" t="inlineStr">
        <is>
          <t>Antlered Buck Mule Deer</t>
        </is>
      </c>
      <c r="F870" s="4" t="inlineStr">
        <is>
          <t>Sep 05-Oct 18</t>
        </is>
      </c>
      <c r="G870" s="4" t="inlineStr">
        <is>
          <t>Oct 24-Nov 29</t>
        </is>
      </c>
      <c r="H870" s="4" t="inlineStr">
        <is>
          <t>Dec 12-Dec 20</t>
        </is>
      </c>
      <c r="I870" s="4" t="n"/>
      <c r="J870" s="4" t="n"/>
      <c r="K870" s="4" t="n"/>
      <c r="L870" s="4" t="n"/>
    </row>
    <row r="871">
      <c r="A871" s="4" t="inlineStr">
        <is>
          <t>455</t>
        </is>
      </c>
      <c r="B871" s="4" t="inlineStr">
        <is>
          <t>mule deer</t>
        </is>
      </c>
      <c r="C871" s="4" t="inlineStr">
        <is>
          <t>Deer Permit: 455-60</t>
        </is>
      </c>
      <c r="D871" s="15" t="inlineStr">
        <is>
          <t>Drawing</t>
        </is>
      </c>
      <c r="E871" s="4" t="inlineStr">
        <is>
          <t>Antlered Buck Mule Deer</t>
        </is>
      </c>
      <c r="F871" s="4" t="inlineStr">
        <is>
          <t>Sep 05-Oct 18</t>
        </is>
      </c>
      <c r="G871" s="4" t="inlineStr">
        <is>
          <t>Oct 24-Nov 29</t>
        </is>
      </c>
      <c r="H871" s="4" t="inlineStr">
        <is>
          <t>Dec 12-Dec 20</t>
        </is>
      </c>
      <c r="I871" s="4" t="n"/>
      <c r="J871" s="4" t="inlineStr">
        <is>
          <t>April 1</t>
        </is>
      </c>
      <c r="K871" s="4" t="inlineStr">
        <is>
          <t>15</t>
        </is>
      </c>
      <c r="L871" s="4" t="inlineStr">
        <is>
          <t>Permit must be used with a valid General Deer License. Holders may not hunt Antlered Buck Mule Deer in any other HD.</t>
        </is>
      </c>
    </row>
    <row r="872">
      <c r="A872" s="4" t="inlineStr">
        <is>
          <t>471</t>
        </is>
      </c>
      <c r="B872" s="4" t="inlineStr">
        <is>
          <t>mule deer</t>
        </is>
      </c>
      <c r="C872" s="4" t="inlineStr">
        <is>
          <t>General Deer License</t>
        </is>
      </c>
      <c r="D872" s="13" t="inlineStr">
        <is>
          <t>General license</t>
        </is>
      </c>
      <c r="E872" s="4" t="inlineStr">
        <is>
          <t>Antlered Buck Mule Deer</t>
        </is>
      </c>
      <c r="F872" s="4" t="inlineStr">
        <is>
          <t>Sep 05-Oct 18</t>
        </is>
      </c>
      <c r="G872" s="4" t="inlineStr">
        <is>
          <t>Oct 24-Nov 15</t>
        </is>
      </c>
      <c r="H872" s="4" t="n"/>
      <c r="I872" s="4" t="n"/>
      <c r="J872" s="4" t="n"/>
      <c r="K872" s="4" t="n"/>
      <c r="L872" s="4" t="n"/>
    </row>
    <row r="873">
      <c r="A873" s="4" t="inlineStr">
        <is>
          <t>471</t>
        </is>
      </c>
      <c r="B873" s="4" t="inlineStr">
        <is>
          <t>mule deer</t>
        </is>
      </c>
      <c r="C873" s="4" t="inlineStr">
        <is>
          <t>Deer B License: 471-00</t>
        </is>
      </c>
      <c r="D873" s="15" t="inlineStr">
        <is>
          <t>Drawing</t>
        </is>
      </c>
      <c r="E873" s="4" t="inlineStr">
        <is>
          <t>Antlerless Mule Deer</t>
        </is>
      </c>
      <c r="F873" s="4" t="inlineStr">
        <is>
          <t>Sep 05-Oct 18</t>
        </is>
      </c>
      <c r="G873" s="4" t="inlineStr">
        <is>
          <t>Oct 24-Nov 29</t>
        </is>
      </c>
      <c r="H873" s="4" t="inlineStr">
        <is>
          <t>Dec 12-Dec 20</t>
        </is>
      </c>
      <c r="I873" s="4" t="n"/>
      <c r="J873" s="4" t="inlineStr">
        <is>
          <t>Jun 1</t>
        </is>
      </c>
      <c r="K873" s="4" t="inlineStr">
        <is>
          <t>50</t>
        </is>
      </c>
      <c r="L873" s="4" t="inlineStr">
        <is>
          <t>Only valid on private land.</t>
        </is>
      </c>
    </row>
    <row r="874">
      <c r="A874" s="4" t="inlineStr">
        <is>
          <t>471</t>
        </is>
      </c>
      <c r="B874" s="4" t="inlineStr">
        <is>
          <t>mule deer</t>
        </is>
      </c>
      <c r="C874" s="4" t="inlineStr">
        <is>
          <t>Deer Permit: 471-50</t>
        </is>
      </c>
      <c r="D874" s="15" t="inlineStr">
        <is>
          <t>Drawing</t>
        </is>
      </c>
      <c r="E874" s="4" t="inlineStr">
        <is>
          <t>Antlered Buck Mule Deer</t>
        </is>
      </c>
      <c r="F874" s="4" t="n"/>
      <c r="G874" s="4" t="inlineStr">
        <is>
          <t>Nov 16-Nov 29</t>
        </is>
      </c>
      <c r="H874" s="4" t="inlineStr">
        <is>
          <t>Dec 12-Dec 20</t>
        </is>
      </c>
      <c r="I874" s="4" t="n"/>
      <c r="J874" s="4" t="inlineStr">
        <is>
          <t>April 1</t>
        </is>
      </c>
      <c r="K874" s="4" t="inlineStr">
        <is>
          <t>80</t>
        </is>
      </c>
      <c r="L874" s="4" t="n"/>
    </row>
    <row r="875">
      <c r="A875" s="4" t="inlineStr">
        <is>
          <t>502</t>
        </is>
      </c>
      <c r="B875" s="4" t="inlineStr">
        <is>
          <t>mule deer</t>
        </is>
      </c>
      <c r="C875" s="4" t="inlineStr">
        <is>
          <t>General Deer License</t>
        </is>
      </c>
      <c r="D875" s="13" t="inlineStr">
        <is>
          <t>General license</t>
        </is>
      </c>
      <c r="E875" s="4" t="inlineStr">
        <is>
          <t>Antlered Buck Mule Deer</t>
        </is>
      </c>
      <c r="F875" s="4" t="inlineStr">
        <is>
          <t>Sep 05-Oct 18</t>
        </is>
      </c>
      <c r="G875" s="4" t="inlineStr">
        <is>
          <t>Oct 24-Nov 29</t>
        </is>
      </c>
      <c r="H875" s="4" t="inlineStr">
        <is>
          <t>Dec 12-Dec 20</t>
        </is>
      </c>
      <c r="I875" s="4" t="n"/>
      <c r="J875" s="4" t="n"/>
      <c r="K875" s="4" t="n"/>
      <c r="L875" s="4" t="n"/>
    </row>
    <row r="876">
      <c r="A876" s="4" t="inlineStr">
        <is>
          <t>502</t>
        </is>
      </c>
      <c r="B876" s="4" t="inlineStr">
        <is>
          <t>mule deer</t>
        </is>
      </c>
      <c r="C876" s="4" t="inlineStr">
        <is>
          <t>General Deer License</t>
        </is>
      </c>
      <c r="D876" s="13" t="inlineStr">
        <is>
          <t>General license</t>
        </is>
      </c>
      <c r="E876" s="4" t="inlineStr">
        <is>
          <t>Either-sex Mule Deer</t>
        </is>
      </c>
      <c r="F876" s="4" t="inlineStr">
        <is>
          <t>Sep 05-Oct 18</t>
        </is>
      </c>
      <c r="G876" s="4" t="inlineStr">
        <is>
          <t>Oct 24-Nov 29</t>
        </is>
      </c>
      <c r="H876" s="4" t="inlineStr">
        <is>
          <t>Dec 12-Dec 20</t>
        </is>
      </c>
      <c r="I876" s="4" t="n"/>
      <c r="J876" s="4" t="n"/>
      <c r="K876" s="4" t="n"/>
      <c r="L876" s="4" t="inlineStr">
        <is>
          <t>Only youth ages 10-15. Only valid on private land.</t>
        </is>
      </c>
    </row>
    <row r="877">
      <c r="A877" s="4" t="inlineStr">
        <is>
          <t>502</t>
        </is>
      </c>
      <c r="B877" s="4" t="inlineStr">
        <is>
          <t>mule deer</t>
        </is>
      </c>
      <c r="C877" s="4" t="inlineStr">
        <is>
          <t>Deer B License: 502-00</t>
        </is>
      </c>
      <c r="D877" s="15" t="inlineStr">
        <is>
          <t>Drawing</t>
        </is>
      </c>
      <c r="E877" s="4" t="inlineStr">
        <is>
          <t>Antlerless Mule Deer</t>
        </is>
      </c>
      <c r="F877" s="4" t="inlineStr">
        <is>
          <t>Sep 05-Oct 18</t>
        </is>
      </c>
      <c r="G877" s="4" t="inlineStr">
        <is>
          <t>Oct 24-Nov 29</t>
        </is>
      </c>
      <c r="H877" s="4" t="inlineStr">
        <is>
          <t>Dec 12-Dec 20</t>
        </is>
      </c>
      <c r="I877" s="4" t="n"/>
      <c r="J877" s="4" t="inlineStr">
        <is>
          <t>Jun 1</t>
        </is>
      </c>
      <c r="K877" s="4" t="inlineStr">
        <is>
          <t>150</t>
        </is>
      </c>
      <c r="L877" s="4" t="n"/>
    </row>
    <row r="878">
      <c r="A878" s="4" t="inlineStr">
        <is>
          <t>515</t>
        </is>
      </c>
      <c r="B878" s="4" t="inlineStr">
        <is>
          <t>mule deer</t>
        </is>
      </c>
      <c r="C878" s="4" t="inlineStr">
        <is>
          <t>General Deer License</t>
        </is>
      </c>
      <c r="D878" s="13" t="inlineStr">
        <is>
          <t>General license</t>
        </is>
      </c>
      <c r="E878" s="4" t="inlineStr">
        <is>
          <t>Antlered Buck Mule Deer</t>
        </is>
      </c>
      <c r="F878" s="4" t="inlineStr">
        <is>
          <t>Sep 05-Oct 18</t>
        </is>
      </c>
      <c r="G878" s="4" t="inlineStr">
        <is>
          <t>Oct 24-Nov 29</t>
        </is>
      </c>
      <c r="H878" s="4" t="inlineStr">
        <is>
          <t>Dec 12-Dec 20</t>
        </is>
      </c>
      <c r="I878" s="4" t="n"/>
      <c r="J878" s="4" t="n"/>
      <c r="K878" s="4" t="n"/>
      <c r="L878" s="4" t="n"/>
    </row>
    <row r="879">
      <c r="A879" s="4" t="inlineStr">
        <is>
          <t>515</t>
        </is>
      </c>
      <c r="B879" s="4" t="inlineStr">
        <is>
          <t>mule deer</t>
        </is>
      </c>
      <c r="C879" s="4" t="inlineStr">
        <is>
          <t>General Deer License</t>
        </is>
      </c>
      <c r="D879" s="13" t="inlineStr">
        <is>
          <t>General license</t>
        </is>
      </c>
      <c r="E879" s="4" t="inlineStr">
        <is>
          <t>Either-sex Mule Deer</t>
        </is>
      </c>
      <c r="F879" s="4" t="inlineStr">
        <is>
          <t>Sep 05-Oct 18</t>
        </is>
      </c>
      <c r="G879" s="4" t="inlineStr">
        <is>
          <t>Oct 24-Nov 29</t>
        </is>
      </c>
      <c r="H879" s="4" t="inlineStr">
        <is>
          <t>Dec 12-Dec 20</t>
        </is>
      </c>
      <c r="I879" s="4" t="n"/>
      <c r="J879" s="4" t="n"/>
      <c r="K879" s="4" t="n"/>
      <c r="L879" s="4" t="inlineStr">
        <is>
          <t>Only youth ages 10-15. Only valid on private land.</t>
        </is>
      </c>
    </row>
    <row r="880">
      <c r="A880" s="4" t="inlineStr">
        <is>
          <t>515</t>
        </is>
      </c>
      <c r="B880" s="4" t="inlineStr">
        <is>
          <t>mule deer</t>
        </is>
      </c>
      <c r="C880" s="4" t="inlineStr">
        <is>
          <t>Deer B License: 515-00</t>
        </is>
      </c>
      <c r="D880" s="15" t="inlineStr">
        <is>
          <t>Drawing</t>
        </is>
      </c>
      <c r="E880" s="4" t="inlineStr">
        <is>
          <t>Antlerless Mule Deer</t>
        </is>
      </c>
      <c r="F880" s="4" t="inlineStr">
        <is>
          <t>Sep 05-Oct 18</t>
        </is>
      </c>
      <c r="G880" s="4" t="inlineStr">
        <is>
          <t>Oct 24-Nov 29</t>
        </is>
      </c>
      <c r="H880" s="4" t="inlineStr">
        <is>
          <t>Dec 12-Dec 20</t>
        </is>
      </c>
      <c r="I880" s="4" t="n"/>
      <c r="J880" s="4" t="inlineStr">
        <is>
          <t>Jun 1</t>
        </is>
      </c>
      <c r="K880" s="4" t="inlineStr">
        <is>
          <t>100</t>
        </is>
      </c>
      <c r="L880" s="4" t="n"/>
    </row>
    <row r="881">
      <c r="A881" s="4" t="inlineStr">
        <is>
          <t>525</t>
        </is>
      </c>
      <c r="B881" s="4" t="inlineStr">
        <is>
          <t>mule deer</t>
        </is>
      </c>
      <c r="C881" s="4" t="inlineStr">
        <is>
          <t>General Deer License</t>
        </is>
      </c>
      <c r="D881" s="13" t="inlineStr">
        <is>
          <t>General license</t>
        </is>
      </c>
      <c r="E881" s="4" t="inlineStr">
        <is>
          <t>Antlered Buck Mule Deer</t>
        </is>
      </c>
      <c r="F881" s="4" t="inlineStr">
        <is>
          <t>Sep 05-Oct 18</t>
        </is>
      </c>
      <c r="G881" s="4" t="inlineStr">
        <is>
          <t>Oct 24-Nov 29</t>
        </is>
      </c>
      <c r="H881" s="4" t="inlineStr">
        <is>
          <t>Dec 12-Dec 20</t>
        </is>
      </c>
      <c r="I881" s="4" t="n"/>
      <c r="J881" s="4" t="n"/>
      <c r="K881" s="4" t="n"/>
      <c r="L881" s="4" t="n"/>
    </row>
    <row r="882">
      <c r="A882" s="4" t="inlineStr">
        <is>
          <t>525</t>
        </is>
      </c>
      <c r="B882" s="4" t="inlineStr">
        <is>
          <t>mule deer</t>
        </is>
      </c>
      <c r="C882" s="4" t="inlineStr">
        <is>
          <t>General Deer License</t>
        </is>
      </c>
      <c r="D882" s="13" t="inlineStr">
        <is>
          <t>General license</t>
        </is>
      </c>
      <c r="E882" s="4" t="inlineStr">
        <is>
          <t>Either-sex Mule Deer</t>
        </is>
      </c>
      <c r="F882" s="4" t="inlineStr">
        <is>
          <t>Sep 05-Oct 18</t>
        </is>
      </c>
      <c r="G882" s="4" t="inlineStr">
        <is>
          <t>Oct 24-Nov 29</t>
        </is>
      </c>
      <c r="H882" s="4" t="inlineStr">
        <is>
          <t>Dec 12-Dec 20</t>
        </is>
      </c>
      <c r="I882" s="4" t="n"/>
      <c r="J882" s="4" t="n"/>
      <c r="K882" s="4" t="n"/>
      <c r="L882" s="4" t="inlineStr">
        <is>
          <t>Only youth ages 10-15. Only valid on private land.</t>
        </is>
      </c>
    </row>
    <row r="883">
      <c r="A883" s="4" t="inlineStr">
        <is>
          <t>525</t>
        </is>
      </c>
      <c r="B883" s="4" t="inlineStr">
        <is>
          <t>mule deer</t>
        </is>
      </c>
      <c r="C883" s="4" t="inlineStr">
        <is>
          <t>Deer B License: 525-00</t>
        </is>
      </c>
      <c r="D883" s="15" t="inlineStr">
        <is>
          <t>Drawing</t>
        </is>
      </c>
      <c r="E883" s="4" t="inlineStr">
        <is>
          <t>Antlerless Mule Deer</t>
        </is>
      </c>
      <c r="F883" s="4" t="inlineStr">
        <is>
          <t>Sep 05-Oct 18</t>
        </is>
      </c>
      <c r="G883" s="4" t="inlineStr">
        <is>
          <t>Oct 24-Nov 29</t>
        </is>
      </c>
      <c r="H883" s="4" t="inlineStr">
        <is>
          <t>Dec 12-Dec 20</t>
        </is>
      </c>
      <c r="I883" s="4" t="n"/>
      <c r="J883" s="4" t="inlineStr">
        <is>
          <t>Jun 1</t>
        </is>
      </c>
      <c r="K883" s="4" t="inlineStr">
        <is>
          <t>50</t>
        </is>
      </c>
      <c r="L883" s="4" t="inlineStr">
        <is>
          <t>Not valid on National Forest Land or FWP WMAs.</t>
        </is>
      </c>
    </row>
    <row r="884">
      <c r="A884" s="4" t="inlineStr">
        <is>
          <t>535</t>
        </is>
      </c>
      <c r="B884" s="4" t="inlineStr">
        <is>
          <t>mule deer</t>
        </is>
      </c>
      <c r="C884" s="4" t="inlineStr">
        <is>
          <t>General Deer License</t>
        </is>
      </c>
      <c r="D884" s="13" t="inlineStr">
        <is>
          <t>General license</t>
        </is>
      </c>
      <c r="E884" s="4" t="inlineStr">
        <is>
          <t>Antlerless Mule Deer</t>
        </is>
      </c>
      <c r="F884" s="4" t="inlineStr">
        <is>
          <t>Sep 05-Oct 18</t>
        </is>
      </c>
      <c r="G884" s="4" t="inlineStr">
        <is>
          <t>Oct 24-Nov 29</t>
        </is>
      </c>
      <c r="H884" s="4" t="inlineStr">
        <is>
          <t>Dec 12-Dec 20</t>
        </is>
      </c>
      <c r="I884" s="4" t="n"/>
      <c r="J884" s="4" t="n"/>
      <c r="K884" s="4" t="n"/>
      <c r="L884" s="4" t="inlineStr">
        <is>
          <t>Only youth ages 10-15. Only valid on private land.</t>
        </is>
      </c>
    </row>
    <row r="885">
      <c r="A885" s="4" t="inlineStr">
        <is>
          <t>535</t>
        </is>
      </c>
      <c r="B885" s="4" t="inlineStr">
        <is>
          <t>mule deer</t>
        </is>
      </c>
      <c r="C885" s="4" t="inlineStr">
        <is>
          <t>Deer B License: 535-00</t>
        </is>
      </c>
      <c r="D885" s="15" t="inlineStr">
        <is>
          <t>Drawing</t>
        </is>
      </c>
      <c r="E885" s="4" t="inlineStr">
        <is>
          <t>Antlerless Mule Deer</t>
        </is>
      </c>
      <c r="F885" s="4" t="inlineStr">
        <is>
          <t>Sep 05-Oct 18</t>
        </is>
      </c>
      <c r="G885" s="4" t="inlineStr">
        <is>
          <t>Oct 24-Nov 29</t>
        </is>
      </c>
      <c r="H885" s="4" t="inlineStr">
        <is>
          <t>Dec 12-Dec 20</t>
        </is>
      </c>
      <c r="I885" s="4" t="n"/>
      <c r="J885" s="4" t="inlineStr">
        <is>
          <t>Jun 1</t>
        </is>
      </c>
      <c r="K885" s="4" t="inlineStr">
        <is>
          <t>50</t>
        </is>
      </c>
      <c r="L885" s="4" t="inlineStr">
        <is>
          <t>Only valid on private land.</t>
        </is>
      </c>
    </row>
    <row r="886">
      <c r="A886" s="4" t="inlineStr">
        <is>
          <t>535</t>
        </is>
      </c>
      <c r="B886" s="4" t="inlineStr">
        <is>
          <t>mule deer</t>
        </is>
      </c>
      <c r="C886" s="4" t="inlineStr">
        <is>
          <t>Deer Permit: 535-50</t>
        </is>
      </c>
      <c r="D886" s="15" t="inlineStr">
        <is>
          <t>Drawing</t>
        </is>
      </c>
      <c r="E886" s="4" t="inlineStr">
        <is>
          <t>Antlered Buck Mule Deer</t>
        </is>
      </c>
      <c r="F886" s="4" t="inlineStr">
        <is>
          <t>Sep 05-Oct 18</t>
        </is>
      </c>
      <c r="G886" s="4" t="inlineStr">
        <is>
          <t>Oct 24-Nov 29</t>
        </is>
      </c>
      <c r="H886" s="4" t="inlineStr">
        <is>
          <t>Dec 12-Dec 20</t>
        </is>
      </c>
      <c r="I886" s="4" t="n"/>
      <c r="J886" s="4" t="inlineStr">
        <is>
          <t>April 1</t>
        </is>
      </c>
      <c r="K886" s="4" t="inlineStr">
        <is>
          <t>500</t>
        </is>
      </c>
      <c r="L886" s="4" t="inlineStr">
        <is>
          <t>Permit must be used with a valid General Deer License. Holders may not hunt Antlered Buck Mule Deer in any other HD.</t>
        </is>
      </c>
    </row>
    <row r="887">
      <c r="A887" s="4" t="inlineStr">
        <is>
          <t>540</t>
        </is>
      </c>
      <c r="B887" s="4" t="inlineStr">
        <is>
          <t>mule deer</t>
        </is>
      </c>
      <c r="C887" s="4" t="inlineStr">
        <is>
          <t>General Deer License</t>
        </is>
      </c>
      <c r="D887" s="13" t="inlineStr">
        <is>
          <t>General license</t>
        </is>
      </c>
      <c r="E887" s="4" t="inlineStr">
        <is>
          <t>Antlered Buck Mule Deer</t>
        </is>
      </c>
      <c r="F887" s="4" t="inlineStr">
        <is>
          <t>Sep 05-Oct 18</t>
        </is>
      </c>
      <c r="G887" s="4" t="inlineStr">
        <is>
          <t>Oct 24-Nov 29</t>
        </is>
      </c>
      <c r="H887" s="4" t="inlineStr">
        <is>
          <t>Dec 12-Dec 20</t>
        </is>
      </c>
      <c r="I887" s="4" t="n"/>
      <c r="J887" s="4" t="n"/>
      <c r="K887" s="4" t="n"/>
      <c r="L887" s="4" t="n"/>
    </row>
    <row r="888">
      <c r="A888" s="4" t="inlineStr">
        <is>
          <t>540</t>
        </is>
      </c>
      <c r="B888" s="4" t="inlineStr">
        <is>
          <t>mule deer</t>
        </is>
      </c>
      <c r="C888" s="4" t="inlineStr">
        <is>
          <t>General Deer License</t>
        </is>
      </c>
      <c r="D888" s="13" t="inlineStr">
        <is>
          <t>General license</t>
        </is>
      </c>
      <c r="E888" s="4" t="inlineStr">
        <is>
          <t>Either-sex Mule Deer</t>
        </is>
      </c>
      <c r="F888" s="4" t="inlineStr">
        <is>
          <t>Sep 05-Oct 18</t>
        </is>
      </c>
      <c r="G888" s="4" t="inlineStr">
        <is>
          <t>Oct 24-Nov 29</t>
        </is>
      </c>
      <c r="H888" s="4" t="inlineStr">
        <is>
          <t>Dec 12-Dec 20</t>
        </is>
      </c>
      <c r="I888" s="4" t="n"/>
      <c r="J888" s="4" t="n"/>
      <c r="K888" s="4" t="n"/>
      <c r="L888" s="4" t="inlineStr">
        <is>
          <t>Only youth ages 10-15. Only valid on private land.</t>
        </is>
      </c>
    </row>
    <row r="889">
      <c r="A889" s="4" t="inlineStr">
        <is>
          <t>555</t>
        </is>
      </c>
      <c r="B889" s="4" t="inlineStr">
        <is>
          <t>mule deer</t>
        </is>
      </c>
      <c r="C889" s="4" t="inlineStr">
        <is>
          <t>General Deer License</t>
        </is>
      </c>
      <c r="D889" s="13" t="inlineStr">
        <is>
          <t>General license</t>
        </is>
      </c>
      <c r="E889" s="4" t="inlineStr">
        <is>
          <t>Antlered Buck Mule Deer</t>
        </is>
      </c>
      <c r="F889" s="4" t="inlineStr">
        <is>
          <t>Sep 05-Oct 18</t>
        </is>
      </c>
      <c r="G889" s="4" t="inlineStr">
        <is>
          <t>Oct 24-Nov 29</t>
        </is>
      </c>
      <c r="H889" s="4" t="inlineStr">
        <is>
          <t>Dec 12-Dec 20</t>
        </is>
      </c>
      <c r="I889" s="4" t="n"/>
      <c r="J889" s="4" t="n"/>
      <c r="K889" s="4" t="n"/>
      <c r="L889" s="4" t="n"/>
    </row>
    <row r="890">
      <c r="A890" s="4" t="inlineStr">
        <is>
          <t>555</t>
        </is>
      </c>
      <c r="B890" s="4" t="inlineStr">
        <is>
          <t>mule deer</t>
        </is>
      </c>
      <c r="C890" s="4" t="inlineStr">
        <is>
          <t>General Deer License</t>
        </is>
      </c>
      <c r="D890" s="13" t="inlineStr">
        <is>
          <t>General license</t>
        </is>
      </c>
      <c r="E890" s="4" t="inlineStr">
        <is>
          <t>Either-sex Mule Deer</t>
        </is>
      </c>
      <c r="F890" s="4" t="inlineStr">
        <is>
          <t>Sep 05-Oct 18</t>
        </is>
      </c>
      <c r="G890" s="4" t="inlineStr">
        <is>
          <t>Oct 24-Nov 29</t>
        </is>
      </c>
      <c r="H890" s="4" t="inlineStr">
        <is>
          <t>Dec 12-Dec 20</t>
        </is>
      </c>
      <c r="I890" s="4" t="n"/>
      <c r="J890" s="4" t="n"/>
      <c r="K890" s="4" t="n"/>
      <c r="L890" s="4" t="inlineStr">
        <is>
          <t>Only youth ages 10-15. Only valid on private land.</t>
        </is>
      </c>
    </row>
    <row r="891">
      <c r="A891" s="4" t="inlineStr">
        <is>
          <t>555</t>
        </is>
      </c>
      <c r="B891" s="4" t="inlineStr">
        <is>
          <t>mule deer</t>
        </is>
      </c>
      <c r="C891" s="4" t="inlineStr">
        <is>
          <t>Deer B License: 555-00</t>
        </is>
      </c>
      <c r="D891" s="15" t="inlineStr">
        <is>
          <t>Drawing</t>
        </is>
      </c>
      <c r="E891" s="4" t="inlineStr">
        <is>
          <t>Antlerless Mule Deer</t>
        </is>
      </c>
      <c r="F891" s="4" t="inlineStr">
        <is>
          <t>Sep 05-Oct 18</t>
        </is>
      </c>
      <c r="G891" s="4" t="inlineStr">
        <is>
          <t>Oct 24-Nov 29</t>
        </is>
      </c>
      <c r="H891" s="4" t="inlineStr">
        <is>
          <t>Dec 12-Dec 20</t>
        </is>
      </c>
      <c r="I891" s="4" t="n"/>
      <c r="J891" s="4" t="inlineStr">
        <is>
          <t>Jun 1</t>
        </is>
      </c>
      <c r="K891" s="4" t="inlineStr">
        <is>
          <t>150</t>
        </is>
      </c>
      <c r="L891" s="4" t="inlineStr">
        <is>
          <t>ELK Hunting By Drawing Only</t>
        </is>
      </c>
    </row>
    <row r="892">
      <c r="A892" s="4" t="inlineStr">
        <is>
          <t>565</t>
        </is>
      </c>
      <c r="B892" s="4" t="inlineStr">
        <is>
          <t>mule deer</t>
        </is>
      </c>
      <c r="C892" s="4" t="inlineStr">
        <is>
          <t>General Deer License</t>
        </is>
      </c>
      <c r="D892" s="13" t="inlineStr">
        <is>
          <t>General license</t>
        </is>
      </c>
      <c r="E892" s="4" t="inlineStr">
        <is>
          <t>Antlered Buck Mule Deer</t>
        </is>
      </c>
      <c r="F892" s="4" t="inlineStr">
        <is>
          <t>Sep 05-Oct 18</t>
        </is>
      </c>
      <c r="G892" s="4" t="inlineStr">
        <is>
          <t>Oct 24-Nov 29</t>
        </is>
      </c>
      <c r="H892" s="4" t="inlineStr">
        <is>
          <t>Dec 12-Dec 20</t>
        </is>
      </c>
      <c r="I892" s="4" t="n"/>
      <c r="J892" s="4" t="n"/>
      <c r="K892" s="4" t="n"/>
      <c r="L892" s="4" t="n"/>
    </row>
    <row r="893">
      <c r="A893" s="4" t="inlineStr">
        <is>
          <t>565</t>
        </is>
      </c>
      <c r="B893" s="4" t="inlineStr">
        <is>
          <t>mule deer</t>
        </is>
      </c>
      <c r="C893" s="4" t="inlineStr">
        <is>
          <t>General Deer License</t>
        </is>
      </c>
      <c r="D893" s="13" t="inlineStr">
        <is>
          <t>General license</t>
        </is>
      </c>
      <c r="E893" s="4" t="inlineStr">
        <is>
          <t>Either-sex Mule Deer</t>
        </is>
      </c>
      <c r="F893" s="4" t="inlineStr">
        <is>
          <t>Sep 05-Oct 18</t>
        </is>
      </c>
      <c r="G893" s="4" t="inlineStr">
        <is>
          <t>Oct 24-Nov 29</t>
        </is>
      </c>
      <c r="H893" s="4" t="inlineStr">
        <is>
          <t>Dec 12-Dec 20</t>
        </is>
      </c>
      <c r="I893" s="4" t="n"/>
      <c r="J893" s="4" t="n"/>
      <c r="K893" s="4" t="n"/>
      <c r="L893" s="4" t="inlineStr">
        <is>
          <t>Only youth ages 10-15. Only valid on private land.</t>
        </is>
      </c>
    </row>
    <row r="894">
      <c r="A894" s="4" t="inlineStr">
        <is>
          <t>575</t>
        </is>
      </c>
      <c r="B894" s="4" t="inlineStr">
        <is>
          <t>mule deer</t>
        </is>
      </c>
      <c r="C894" s="4" t="inlineStr">
        <is>
          <t>General Deer License</t>
        </is>
      </c>
      <c r="D894" s="13" t="inlineStr">
        <is>
          <t>General license</t>
        </is>
      </c>
      <c r="E894" s="4" t="inlineStr">
        <is>
          <t>Antlered Buck Mule Deer</t>
        </is>
      </c>
      <c r="F894" s="4" t="inlineStr">
        <is>
          <t>Sep 05-Oct 18</t>
        </is>
      </c>
      <c r="G894" s="4" t="inlineStr">
        <is>
          <t>Oct 24-Nov 29</t>
        </is>
      </c>
      <c r="H894" s="4" t="inlineStr">
        <is>
          <t>Dec 12-Dec 20</t>
        </is>
      </c>
      <c r="I894" s="4" t="n"/>
      <c r="J894" s="4" t="n"/>
      <c r="K894" s="4" t="n"/>
      <c r="L894" s="4" t="n"/>
    </row>
    <row r="895">
      <c r="A895" s="4" t="inlineStr">
        <is>
          <t>575</t>
        </is>
      </c>
      <c r="B895" s="4" t="inlineStr">
        <is>
          <t>mule deer</t>
        </is>
      </c>
      <c r="C895" s="4" t="inlineStr">
        <is>
          <t>General Deer License</t>
        </is>
      </c>
      <c r="D895" s="13" t="inlineStr">
        <is>
          <t>General license</t>
        </is>
      </c>
      <c r="E895" s="4" t="inlineStr">
        <is>
          <t>Either-sex Mule Deer</t>
        </is>
      </c>
      <c r="F895" s="4" t="inlineStr">
        <is>
          <t>Sep 05-Oct 18</t>
        </is>
      </c>
      <c r="G895" s="4" t="inlineStr">
        <is>
          <t>Oct 24-Nov 29</t>
        </is>
      </c>
      <c r="H895" s="4" t="inlineStr">
        <is>
          <t>Dec 12-Dec 20</t>
        </is>
      </c>
      <c r="I895" s="4" t="n"/>
      <c r="J895" s="4" t="n"/>
      <c r="K895" s="4" t="n"/>
      <c r="L895" s="4" t="inlineStr">
        <is>
          <t>Only youth ages 10-15. Only valid on private land.</t>
        </is>
      </c>
    </row>
    <row r="896">
      <c r="A896" s="4" t="inlineStr">
        <is>
          <t>575</t>
        </is>
      </c>
      <c r="B896" s="4" t="inlineStr">
        <is>
          <t>mule deer</t>
        </is>
      </c>
      <c r="C896" s="4" t="inlineStr">
        <is>
          <t>Deer B License: 575-00</t>
        </is>
      </c>
      <c r="D896" s="15" t="inlineStr">
        <is>
          <t>Drawing</t>
        </is>
      </c>
      <c r="E896" s="4" t="inlineStr">
        <is>
          <t>Antlerless Mule Deer</t>
        </is>
      </c>
      <c r="F896" s="4" t="inlineStr">
        <is>
          <t>Sep 05-Oct 18</t>
        </is>
      </c>
      <c r="G896" s="4" t="inlineStr">
        <is>
          <t>Oct 24-Nov 29</t>
        </is>
      </c>
      <c r="H896" s="4" t="inlineStr">
        <is>
          <t>Dec 12-Dec 20</t>
        </is>
      </c>
      <c r="I896" s="4" t="n"/>
      <c r="J896" s="4" t="inlineStr">
        <is>
          <t>Jun 1</t>
        </is>
      </c>
      <c r="K896" s="4" t="inlineStr">
        <is>
          <t>500</t>
        </is>
      </c>
      <c r="L896" s="4" t="n"/>
    </row>
    <row r="897">
      <c r="A897" s="4" t="inlineStr">
        <is>
          <t>580</t>
        </is>
      </c>
      <c r="B897" s="4" t="inlineStr">
        <is>
          <t>mule deer</t>
        </is>
      </c>
      <c r="C897" s="4" t="inlineStr">
        <is>
          <t>General Deer License</t>
        </is>
      </c>
      <c r="D897" s="13" t="inlineStr">
        <is>
          <t>General license</t>
        </is>
      </c>
      <c r="E897" s="4" t="inlineStr">
        <is>
          <t>Antlered Buck Mule Deer</t>
        </is>
      </c>
      <c r="F897" s="4" t="inlineStr">
        <is>
          <t>Sep 05-Oct 18</t>
        </is>
      </c>
      <c r="G897" s="4" t="inlineStr">
        <is>
          <t>Oct 24-Nov 29</t>
        </is>
      </c>
      <c r="H897" s="4" t="inlineStr">
        <is>
          <t>Dec 12-Dec 20</t>
        </is>
      </c>
      <c r="I897" s="4" t="n"/>
      <c r="J897" s="4" t="n"/>
      <c r="K897" s="4" t="n"/>
      <c r="L897" s="4" t="n"/>
    </row>
    <row r="898">
      <c r="A898" s="4" t="inlineStr">
        <is>
          <t>580</t>
        </is>
      </c>
      <c r="B898" s="4" t="inlineStr">
        <is>
          <t>mule deer</t>
        </is>
      </c>
      <c r="C898" s="4" t="inlineStr">
        <is>
          <t>General Deer License</t>
        </is>
      </c>
      <c r="D898" s="13" t="inlineStr">
        <is>
          <t>General license</t>
        </is>
      </c>
      <c r="E898" s="4" t="inlineStr">
        <is>
          <t>Either-sex Mule Deer</t>
        </is>
      </c>
      <c r="F898" s="4" t="inlineStr">
        <is>
          <t>Sep 05-Oct 18</t>
        </is>
      </c>
      <c r="G898" s="4" t="inlineStr">
        <is>
          <t>Oct 24-Nov 29</t>
        </is>
      </c>
      <c r="H898" s="4" t="inlineStr">
        <is>
          <t>Dec 12-Dec 20</t>
        </is>
      </c>
      <c r="I898" s="4" t="n"/>
      <c r="J898" s="4" t="n"/>
      <c r="K898" s="4" t="n"/>
      <c r="L898" s="4" t="inlineStr">
        <is>
          <t>Only youth ages 10-15. Only valid on private land.</t>
        </is>
      </c>
    </row>
    <row r="899">
      <c r="A899" s="4" t="inlineStr">
        <is>
          <t>580</t>
        </is>
      </c>
      <c r="B899" s="4" t="inlineStr">
        <is>
          <t>mule deer</t>
        </is>
      </c>
      <c r="C899" s="4" t="inlineStr">
        <is>
          <t>Deer B License: 580-00</t>
        </is>
      </c>
      <c r="D899" s="15" t="inlineStr">
        <is>
          <t>Drawing</t>
        </is>
      </c>
      <c r="E899" s="4" t="inlineStr">
        <is>
          <t>Antlerless Mule Deer</t>
        </is>
      </c>
      <c r="F899" s="4" t="inlineStr">
        <is>
          <t>Sep 05-Oct 18</t>
        </is>
      </c>
      <c r="G899" s="4" t="inlineStr">
        <is>
          <t>Oct 24-Nov 29</t>
        </is>
      </c>
      <c r="H899" s="4" t="inlineStr">
        <is>
          <t>Dec 12-Dec 20</t>
        </is>
      </c>
      <c r="I899" s="4" t="n"/>
      <c r="J899" s="4" t="inlineStr">
        <is>
          <t>Jun 1</t>
        </is>
      </c>
      <c r="K899" s="4" t="inlineStr">
        <is>
          <t>50</t>
        </is>
      </c>
      <c r="L899" s="4" t="inlineStr">
        <is>
          <t>Only valid on private land.</t>
        </is>
      </c>
    </row>
    <row r="900">
      <c r="A900" s="4" t="inlineStr">
        <is>
          <t>590</t>
        </is>
      </c>
      <c r="B900" s="4" t="inlineStr">
        <is>
          <t>mule deer</t>
        </is>
      </c>
      <c r="C900" s="4" t="inlineStr">
        <is>
          <t>General Deer License</t>
        </is>
      </c>
      <c r="D900" s="13" t="inlineStr">
        <is>
          <t>General license</t>
        </is>
      </c>
      <c r="E900" s="4" t="inlineStr">
        <is>
          <t>Antlered Buck Mule Deer</t>
        </is>
      </c>
      <c r="F900" s="4" t="inlineStr">
        <is>
          <t>Sep 05-Oct 18</t>
        </is>
      </c>
      <c r="G900" s="4" t="inlineStr">
        <is>
          <t>Oct 24-Nov 29</t>
        </is>
      </c>
      <c r="H900" s="4" t="inlineStr">
        <is>
          <t>Dec 12-Dec 20</t>
        </is>
      </c>
      <c r="I900" s="4" t="n"/>
      <c r="J900" s="4" t="n"/>
      <c r="K900" s="4" t="n"/>
      <c r="L900" s="4" t="n"/>
    </row>
    <row r="901">
      <c r="A901" s="4" t="inlineStr">
        <is>
          <t>590</t>
        </is>
      </c>
      <c r="B901" s="4" t="inlineStr">
        <is>
          <t>mule deer</t>
        </is>
      </c>
      <c r="C901" s="4" t="inlineStr">
        <is>
          <t>General Deer License</t>
        </is>
      </c>
      <c r="D901" s="13" t="inlineStr">
        <is>
          <t>General license</t>
        </is>
      </c>
      <c r="E901" s="4" t="inlineStr">
        <is>
          <t>Either-sex Mule Deer</t>
        </is>
      </c>
      <c r="F901" s="4" t="inlineStr">
        <is>
          <t>Sep 05-Oct 18</t>
        </is>
      </c>
      <c r="G901" s="4" t="inlineStr">
        <is>
          <t>Oct 24-Nov 29</t>
        </is>
      </c>
      <c r="H901" s="4" t="inlineStr">
        <is>
          <t>Dec 12-Dec 20</t>
        </is>
      </c>
      <c r="I901" s="4" t="n"/>
      <c r="J901" s="4" t="n"/>
      <c r="K901" s="4" t="n"/>
      <c r="L901" s="4" t="inlineStr">
        <is>
          <t>Only youth ages 10-15. Only valid on private land.</t>
        </is>
      </c>
    </row>
    <row r="902">
      <c r="A902" s="4" t="inlineStr">
        <is>
          <t>590</t>
        </is>
      </c>
      <c r="B902" s="4" t="inlineStr">
        <is>
          <t>mule deer</t>
        </is>
      </c>
      <c r="C902" s="4" t="inlineStr">
        <is>
          <t>Deer B License: 590-00</t>
        </is>
      </c>
      <c r="D902" s="15" t="inlineStr">
        <is>
          <t>Drawing</t>
        </is>
      </c>
      <c r="E902" s="4" t="inlineStr">
        <is>
          <t>Antlerless Mule Deer</t>
        </is>
      </c>
      <c r="F902" s="4" t="inlineStr">
        <is>
          <t>Sep 05-Oct 18</t>
        </is>
      </c>
      <c r="G902" s="4" t="inlineStr">
        <is>
          <t>Oct 24-Nov 29</t>
        </is>
      </c>
      <c r="H902" s="4" t="inlineStr">
        <is>
          <t>Dec 12-Dec 20</t>
        </is>
      </c>
      <c r="I902" s="4" t="n"/>
      <c r="J902" s="4" t="inlineStr">
        <is>
          <t>Jun 1</t>
        </is>
      </c>
      <c r="K902" s="4" t="inlineStr">
        <is>
          <t>100</t>
        </is>
      </c>
      <c r="L902" s="4" t="n"/>
    </row>
    <row r="903">
      <c r="A903" s="4" t="inlineStr">
        <is>
          <t>600</t>
        </is>
      </c>
      <c r="B903" s="4" t="inlineStr">
        <is>
          <t>mule deer</t>
        </is>
      </c>
      <c r="C903" s="4" t="inlineStr">
        <is>
          <t>General Deer License</t>
        </is>
      </c>
      <c r="D903" s="13" t="inlineStr">
        <is>
          <t>General license</t>
        </is>
      </c>
      <c r="E903" s="4" t="inlineStr">
        <is>
          <t>Antlerless Mule Deer</t>
        </is>
      </c>
      <c r="F903" s="4" t="inlineStr">
        <is>
          <t>Sep 05-Oct 18</t>
        </is>
      </c>
      <c r="G903" s="4" t="inlineStr">
        <is>
          <t>Oct 24-Nov 29</t>
        </is>
      </c>
      <c r="H903" s="4" t="inlineStr">
        <is>
          <t>Dec 12-Dec 20</t>
        </is>
      </c>
      <c r="I903" s="4" t="n"/>
      <c r="J903" s="4" t="n"/>
      <c r="K903" s="4" t="n"/>
      <c r="L903" s="4" t="inlineStr">
        <is>
          <t>Only valid on private land.</t>
        </is>
      </c>
    </row>
    <row r="904">
      <c r="A904" s="4" t="inlineStr">
        <is>
          <t>600</t>
        </is>
      </c>
      <c r="B904" s="4" t="inlineStr">
        <is>
          <t>mule deer</t>
        </is>
      </c>
      <c r="C904" s="4" t="inlineStr">
        <is>
          <t>General Deer License</t>
        </is>
      </c>
      <c r="D904" s="13" t="inlineStr">
        <is>
          <t>General license</t>
        </is>
      </c>
      <c r="E904" s="4" t="inlineStr">
        <is>
          <t>Antlered Buck Mule Deer</t>
        </is>
      </c>
      <c r="F904" s="4" t="inlineStr">
        <is>
          <t>Sep 05-Oct 18</t>
        </is>
      </c>
      <c r="G904" s="4" t="inlineStr">
        <is>
          <t>Oct 24-Nov 29</t>
        </is>
      </c>
      <c r="H904" s="4" t="inlineStr">
        <is>
          <t>Dec 12-Dec 20</t>
        </is>
      </c>
      <c r="I904" s="4" t="n"/>
      <c r="J904" s="4" t="n"/>
      <c r="K904" s="4" t="n"/>
      <c r="L904" s="4" t="n"/>
    </row>
    <row r="905">
      <c r="A905" s="4" t="inlineStr">
        <is>
          <t>600</t>
        </is>
      </c>
      <c r="B905" s="4" t="inlineStr">
        <is>
          <t>mule deer</t>
        </is>
      </c>
      <c r="C905" s="4" t="inlineStr">
        <is>
          <t>Deer B License: 600-01</t>
        </is>
      </c>
      <c r="D905" s="15" t="inlineStr">
        <is>
          <t>Drawing</t>
        </is>
      </c>
      <c r="E905" s="4" t="inlineStr">
        <is>
          <t>Antlerless Mule Deer</t>
        </is>
      </c>
      <c r="F905" s="4" t="inlineStr">
        <is>
          <t>Sep 05-Oct 18</t>
        </is>
      </c>
      <c r="G905" s="4" t="inlineStr">
        <is>
          <t>Oct 24-Nov 29</t>
        </is>
      </c>
      <c r="H905" s="4" t="inlineStr">
        <is>
          <t>Dec 12-Dec 20</t>
        </is>
      </c>
      <c r="I905" s="4" t="n"/>
      <c r="J905" s="4" t="inlineStr">
        <is>
          <t>Jun 1</t>
        </is>
      </c>
      <c r="K905" s="4" t="inlineStr">
        <is>
          <t>500</t>
        </is>
      </c>
      <c r="L905" s="4" t="inlineStr">
        <is>
          <t>Only valid on private land.</t>
        </is>
      </c>
    </row>
    <row r="906">
      <c r="A906" s="4" t="inlineStr">
        <is>
          <t>620</t>
        </is>
      </c>
      <c r="B906" s="4" t="inlineStr">
        <is>
          <t>mule deer</t>
        </is>
      </c>
      <c r="C906" s="4" t="inlineStr">
        <is>
          <t>General Deer License</t>
        </is>
      </c>
      <c r="D906" s="13" t="inlineStr">
        <is>
          <t>General license</t>
        </is>
      </c>
      <c r="E906" s="4" t="inlineStr">
        <is>
          <t>Antlerless Mule Deer</t>
        </is>
      </c>
      <c r="F906" s="4" t="inlineStr">
        <is>
          <t>Sep 05-Oct 18</t>
        </is>
      </c>
      <c r="G906" s="4" t="inlineStr">
        <is>
          <t>Oct 24-Nov 29</t>
        </is>
      </c>
      <c r="H906" s="4" t="inlineStr">
        <is>
          <t>Dec 12-Dec 20</t>
        </is>
      </c>
      <c r="I906" s="4" t="n"/>
      <c r="J906" s="4" t="n"/>
      <c r="K906" s="4" t="n"/>
      <c r="L906" s="4" t="inlineStr">
        <is>
          <t>Only valid on private land.</t>
        </is>
      </c>
    </row>
    <row r="907">
      <c r="A907" s="4" t="inlineStr">
        <is>
          <t>620</t>
        </is>
      </c>
      <c r="B907" s="4" t="inlineStr">
        <is>
          <t>mule deer</t>
        </is>
      </c>
      <c r="C907" s="4" t="inlineStr">
        <is>
          <t>General Deer License</t>
        </is>
      </c>
      <c r="D907" s="13" t="inlineStr">
        <is>
          <t>General license</t>
        </is>
      </c>
      <c r="E907" s="4" t="inlineStr">
        <is>
          <t>Antlered Buck Mule Deer</t>
        </is>
      </c>
      <c r="F907" s="4" t="inlineStr">
        <is>
          <t>Sep 05-Oct 18</t>
        </is>
      </c>
      <c r="G907" s="4" t="inlineStr">
        <is>
          <t>Oct 24-Nov 29</t>
        </is>
      </c>
      <c r="H907" s="4" t="inlineStr">
        <is>
          <t>Dec 12-Dec 20</t>
        </is>
      </c>
      <c r="I907" s="4" t="n"/>
      <c r="J907" s="4" t="n"/>
      <c r="K907" s="4" t="n"/>
      <c r="L907" s="4" t="n"/>
    </row>
    <row r="908">
      <c r="A908" s="4" t="inlineStr">
        <is>
          <t>620</t>
        </is>
      </c>
      <c r="B908" s="4" t="inlineStr">
        <is>
          <t>mule deer</t>
        </is>
      </c>
      <c r="C908" s="4" t="inlineStr">
        <is>
          <t>Deer B License: 620-00</t>
        </is>
      </c>
      <c r="D908" s="15" t="inlineStr">
        <is>
          <t>Drawing</t>
        </is>
      </c>
      <c r="E908" s="4" t="inlineStr">
        <is>
          <t>Antlerless Mule Deer</t>
        </is>
      </c>
      <c r="F908" s="4" t="inlineStr">
        <is>
          <t>Sep 05-Oct 18</t>
        </is>
      </c>
      <c r="G908" s="4" t="inlineStr">
        <is>
          <t>Oct 24-Nov 29</t>
        </is>
      </c>
      <c r="H908" s="4" t="inlineStr">
        <is>
          <t>Dec 12-Dec 20</t>
        </is>
      </c>
      <c r="I908" s="4" t="n"/>
      <c r="J908" s="4" t="inlineStr">
        <is>
          <t>Jun 1</t>
        </is>
      </c>
      <c r="K908" s="4" t="inlineStr">
        <is>
          <t>50</t>
        </is>
      </c>
      <c r="L908" s="4" t="inlineStr">
        <is>
          <t>Only valid on private land in HD 620. ELK Hunting by Drawing Only</t>
        </is>
      </c>
    </row>
    <row r="909">
      <c r="A909" s="4" t="inlineStr">
        <is>
          <t>621</t>
        </is>
      </c>
      <c r="B909" s="4" t="inlineStr">
        <is>
          <t>mule deer</t>
        </is>
      </c>
      <c r="C909" s="4" t="inlineStr">
        <is>
          <t>General Deer License</t>
        </is>
      </c>
      <c r="D909" s="13" t="inlineStr">
        <is>
          <t>General license</t>
        </is>
      </c>
      <c r="E909" s="4" t="inlineStr">
        <is>
          <t>Antlered Buck Mule Deer</t>
        </is>
      </c>
      <c r="F909" s="4" t="inlineStr">
        <is>
          <t>Sep 05-Oct 18</t>
        </is>
      </c>
      <c r="G909" s="4" t="inlineStr">
        <is>
          <t>Oct 24-Nov 29</t>
        </is>
      </c>
      <c r="H909" s="4" t="inlineStr">
        <is>
          <t>Dec 12-Dec 20</t>
        </is>
      </c>
      <c r="I909" s="4" t="n"/>
      <c r="J909" s="4" t="n"/>
      <c r="K909" s="4" t="n"/>
      <c r="L909" s="4" t="n"/>
    </row>
    <row r="910">
      <c r="A910" s="4" t="inlineStr">
        <is>
          <t>622</t>
        </is>
      </c>
      <c r="B910" s="4" t="inlineStr">
        <is>
          <t>mule deer</t>
        </is>
      </c>
      <c r="C910" s="4" t="inlineStr">
        <is>
          <t>General Deer License</t>
        </is>
      </c>
      <c r="D910" s="13" t="inlineStr">
        <is>
          <t>General license</t>
        </is>
      </c>
      <c r="E910" s="4" t="inlineStr">
        <is>
          <t>Antlered Buck Mule Deer</t>
        </is>
      </c>
      <c r="F910" s="4" t="inlineStr">
        <is>
          <t>Sep 05-Oct 18</t>
        </is>
      </c>
      <c r="G910" s="4" t="inlineStr">
        <is>
          <t>Oct 24-Nov 29</t>
        </is>
      </c>
      <c r="H910" s="4" t="inlineStr">
        <is>
          <t>Dec 12-Dec 20</t>
        </is>
      </c>
      <c r="I910" s="4" t="n"/>
      <c r="J910" s="4" t="n"/>
      <c r="K910" s="4" t="n"/>
      <c r="L910" s="4" t="n"/>
    </row>
    <row r="911">
      <c r="A911" s="4" t="inlineStr">
        <is>
          <t>630</t>
        </is>
      </c>
      <c r="B911" s="4" t="inlineStr">
        <is>
          <t>mule deer</t>
        </is>
      </c>
      <c r="C911" s="4" t="inlineStr">
        <is>
          <t>General Deer License</t>
        </is>
      </c>
      <c r="D911" s="13" t="inlineStr">
        <is>
          <t>General license</t>
        </is>
      </c>
      <c r="E911" s="4" t="inlineStr">
        <is>
          <t>Antlerless Mule Deer</t>
        </is>
      </c>
      <c r="F911" s="4" t="inlineStr">
        <is>
          <t>Sep 05-Oct 18</t>
        </is>
      </c>
      <c r="G911" s="4" t="inlineStr">
        <is>
          <t>Oct 24-Nov 29</t>
        </is>
      </c>
      <c r="H911" s="4" t="inlineStr">
        <is>
          <t>Dec 12-Dec 20</t>
        </is>
      </c>
      <c r="I911" s="4" t="n"/>
      <c r="J911" s="4" t="n"/>
      <c r="K911" s="4" t="n"/>
      <c r="L911" s="4" t="inlineStr">
        <is>
          <t>Only valid on private land.</t>
        </is>
      </c>
    </row>
    <row r="912">
      <c r="A912" s="4" t="inlineStr">
        <is>
          <t>630</t>
        </is>
      </c>
      <c r="B912" s="4" t="inlineStr">
        <is>
          <t>mule deer</t>
        </is>
      </c>
      <c r="C912" s="4" t="inlineStr">
        <is>
          <t>General Deer License</t>
        </is>
      </c>
      <c r="D912" s="13" t="inlineStr">
        <is>
          <t>General license</t>
        </is>
      </c>
      <c r="E912" s="4" t="inlineStr">
        <is>
          <t>Antlered Buck Mule Deer</t>
        </is>
      </c>
      <c r="F912" s="4" t="inlineStr">
        <is>
          <t>Sep 05-Oct 18</t>
        </is>
      </c>
      <c r="G912" s="4" t="inlineStr">
        <is>
          <t>Oct 24-Nov 29</t>
        </is>
      </c>
      <c r="H912" s="4" t="inlineStr">
        <is>
          <t>Dec 12-Dec 20</t>
        </is>
      </c>
      <c r="I912" s="4" t="n"/>
      <c r="J912" s="4" t="n"/>
      <c r="K912" s="4" t="n"/>
      <c r="L912" s="4" t="n"/>
    </row>
    <row r="913">
      <c r="A913" s="4" t="inlineStr">
        <is>
          <t>630</t>
        </is>
      </c>
      <c r="B913" s="4" t="inlineStr">
        <is>
          <t>mule deer</t>
        </is>
      </c>
      <c r="C913" s="4" t="inlineStr">
        <is>
          <t>Deer B License: 630-00</t>
        </is>
      </c>
      <c r="D913" s="15" t="inlineStr">
        <is>
          <t>Drawing</t>
        </is>
      </c>
      <c r="E913" s="4" t="inlineStr">
        <is>
          <t>Antlerless Mule Deer</t>
        </is>
      </c>
      <c r="F913" s="4" t="inlineStr">
        <is>
          <t>Sep 05-Oct 18</t>
        </is>
      </c>
      <c r="G913" s="4" t="inlineStr">
        <is>
          <t>Oct 24-Nov 29</t>
        </is>
      </c>
      <c r="H913" s="4" t="inlineStr">
        <is>
          <t>Dec 12-Dec 20</t>
        </is>
      </c>
      <c r="I913" s="4" t="n"/>
      <c r="J913" s="4" t="inlineStr">
        <is>
          <t>Jun 1</t>
        </is>
      </c>
      <c r="K913" s="4" t="inlineStr">
        <is>
          <t>100</t>
        </is>
      </c>
      <c r="L913" s="4" t="inlineStr">
        <is>
          <t>Only valid on private land. ELK Hunting by Drawing Only</t>
        </is>
      </c>
    </row>
    <row r="914">
      <c r="A914" s="4" t="inlineStr">
        <is>
          <t>640</t>
        </is>
      </c>
      <c r="B914" s="4" t="inlineStr">
        <is>
          <t>mule deer</t>
        </is>
      </c>
      <c r="C914" s="4" t="inlineStr">
        <is>
          <t>General Deer License</t>
        </is>
      </c>
      <c r="D914" s="13" t="inlineStr">
        <is>
          <t>General license</t>
        </is>
      </c>
      <c r="E914" s="4" t="inlineStr">
        <is>
          <t>Antlerless Mule Deer</t>
        </is>
      </c>
      <c r="F914" s="4" t="inlineStr">
        <is>
          <t>Sep 05-Oct 18</t>
        </is>
      </c>
      <c r="G914" s="4" t="inlineStr">
        <is>
          <t>Oct 24-Nov 29</t>
        </is>
      </c>
      <c r="H914" s="4" t="inlineStr">
        <is>
          <t>Dec 12-Dec 20</t>
        </is>
      </c>
      <c r="I914" s="4" t="n"/>
      <c r="J914" s="4" t="n"/>
      <c r="K914" s="4" t="n"/>
      <c r="L914" s="4" t="inlineStr">
        <is>
          <t>Only valid on private land.</t>
        </is>
      </c>
    </row>
    <row r="915">
      <c r="A915" s="4" t="inlineStr">
        <is>
          <t>640</t>
        </is>
      </c>
      <c r="B915" s="4" t="inlineStr">
        <is>
          <t>mule deer</t>
        </is>
      </c>
      <c r="C915" s="4" t="inlineStr">
        <is>
          <t>General Deer License</t>
        </is>
      </c>
      <c r="D915" s="13" t="inlineStr">
        <is>
          <t>General license</t>
        </is>
      </c>
      <c r="E915" s="4" t="inlineStr">
        <is>
          <t>Antlered Buck Mule Deer</t>
        </is>
      </c>
      <c r="F915" s="4" t="inlineStr">
        <is>
          <t>Sep 05-Oct 18</t>
        </is>
      </c>
      <c r="G915" s="4" t="inlineStr">
        <is>
          <t>Oct 24-Nov 29</t>
        </is>
      </c>
      <c r="H915" s="4" t="inlineStr">
        <is>
          <t>Dec 12-Dec 20</t>
        </is>
      </c>
      <c r="I915" s="4" t="n"/>
      <c r="J915" s="4" t="n"/>
      <c r="K915" s="4" t="n"/>
      <c r="L915" s="4" t="n"/>
    </row>
    <row r="916">
      <c r="A916" s="4" t="inlineStr">
        <is>
          <t>640</t>
        </is>
      </c>
      <c r="B916" s="4" t="inlineStr">
        <is>
          <t>mule deer</t>
        </is>
      </c>
      <c r="C916" s="4" t="inlineStr">
        <is>
          <t>Deer B License: 640-00</t>
        </is>
      </c>
      <c r="D916" s="15" t="inlineStr">
        <is>
          <t>Drawing</t>
        </is>
      </c>
      <c r="E916" s="4" t="inlineStr">
        <is>
          <t>Antlerless Mule Deer</t>
        </is>
      </c>
      <c r="F916" s="4" t="inlineStr">
        <is>
          <t>Sep 05-Oct 18</t>
        </is>
      </c>
      <c r="G916" s="4" t="inlineStr">
        <is>
          <t>Oct 24-Nov 29</t>
        </is>
      </c>
      <c r="H916" s="4" t="inlineStr">
        <is>
          <t>Dec 12-Dec 20</t>
        </is>
      </c>
      <c r="I916" s="4" t="n"/>
      <c r="J916" s="4" t="inlineStr">
        <is>
          <t>Jun 1</t>
        </is>
      </c>
      <c r="K916" s="4" t="inlineStr">
        <is>
          <t>500</t>
        </is>
      </c>
      <c r="L916" s="4" t="inlineStr">
        <is>
          <t>Only valid on private land.</t>
        </is>
      </c>
    </row>
    <row r="917">
      <c r="A917" s="4" t="inlineStr">
        <is>
          <t>650</t>
        </is>
      </c>
      <c r="B917" s="4" t="inlineStr">
        <is>
          <t>mule deer</t>
        </is>
      </c>
      <c r="C917" s="4" t="inlineStr">
        <is>
          <t>General Deer License</t>
        </is>
      </c>
      <c r="D917" s="13" t="inlineStr">
        <is>
          <t>General license</t>
        </is>
      </c>
      <c r="E917" s="4" t="inlineStr">
        <is>
          <t>Antlerless Mule Deer</t>
        </is>
      </c>
      <c r="F917" s="4" t="inlineStr">
        <is>
          <t>Sep 05-Oct 18</t>
        </is>
      </c>
      <c r="G917" s="4" t="inlineStr">
        <is>
          <t>Oct 24-Nov 29</t>
        </is>
      </c>
      <c r="H917" s="4" t="inlineStr">
        <is>
          <t>Dec 12-Dec 20</t>
        </is>
      </c>
      <c r="I917" s="4" t="n"/>
      <c r="J917" s="4" t="n"/>
      <c r="K917" s="4" t="n"/>
      <c r="L917" s="4" t="inlineStr">
        <is>
          <t>Only valid on private land.</t>
        </is>
      </c>
    </row>
    <row r="918">
      <c r="A918" s="4" t="inlineStr">
        <is>
          <t>650</t>
        </is>
      </c>
      <c r="B918" s="4" t="inlineStr">
        <is>
          <t>mule deer</t>
        </is>
      </c>
      <c r="C918" s="4" t="inlineStr">
        <is>
          <t>General Deer License</t>
        </is>
      </c>
      <c r="D918" s="13" t="inlineStr">
        <is>
          <t>General license</t>
        </is>
      </c>
      <c r="E918" s="4" t="inlineStr">
        <is>
          <t>Antlered Buck Mule Deer</t>
        </is>
      </c>
      <c r="F918" s="4" t="inlineStr">
        <is>
          <t>Sep 05-Oct 18</t>
        </is>
      </c>
      <c r="G918" s="4" t="inlineStr">
        <is>
          <t>Oct 24-Nov 29</t>
        </is>
      </c>
      <c r="H918" s="4" t="inlineStr">
        <is>
          <t>Dec 12-Dec 20</t>
        </is>
      </c>
      <c r="I918" s="4" t="n"/>
      <c r="J918" s="4" t="n"/>
      <c r="K918" s="4" t="n"/>
      <c r="L918" s="4" t="n"/>
    </row>
    <row r="919">
      <c r="A919" s="4" t="inlineStr">
        <is>
          <t>650</t>
        </is>
      </c>
      <c r="B919" s="4" t="inlineStr">
        <is>
          <t>mule deer</t>
        </is>
      </c>
      <c r="C919" s="4" t="inlineStr">
        <is>
          <t>Deer B License: 650-00</t>
        </is>
      </c>
      <c r="D919" s="15" t="inlineStr">
        <is>
          <t>Drawing</t>
        </is>
      </c>
      <c r="E919" s="4" t="inlineStr">
        <is>
          <t>Antlerless Mule Deer</t>
        </is>
      </c>
      <c r="F919" s="4" t="inlineStr">
        <is>
          <t>Sep 05-Oct 18</t>
        </is>
      </c>
      <c r="G919" s="4" t="inlineStr">
        <is>
          <t>Oct 24-Nov 29</t>
        </is>
      </c>
      <c r="H919" s="4" t="inlineStr">
        <is>
          <t>Dec 12-Dec 20</t>
        </is>
      </c>
      <c r="I919" s="4" t="n"/>
      <c r="J919" s="4" t="inlineStr">
        <is>
          <t>Jun 1</t>
        </is>
      </c>
      <c r="K919" s="4" t="inlineStr">
        <is>
          <t>50</t>
        </is>
      </c>
      <c r="L919" s="4" t="inlineStr">
        <is>
          <t>Only valid on private land.</t>
        </is>
      </c>
    </row>
    <row r="920">
      <c r="A920" s="4" t="inlineStr">
        <is>
          <t>652</t>
        </is>
      </c>
      <c r="B920" s="4" t="inlineStr">
        <is>
          <t>mule deer</t>
        </is>
      </c>
      <c r="C920" s="4" t="inlineStr">
        <is>
          <t>Deer B License: 652-01</t>
        </is>
      </c>
      <c r="D920" s="15" t="inlineStr">
        <is>
          <t>Drawing</t>
        </is>
      </c>
      <c r="E920" s="4" t="inlineStr">
        <is>
          <t>Antlerless Mule Deer</t>
        </is>
      </c>
      <c r="F920" s="4" t="inlineStr">
        <is>
          <t>Sep 05-Oct 18</t>
        </is>
      </c>
      <c r="G920" s="4" t="inlineStr">
        <is>
          <t>Oct 24-Nov 29</t>
        </is>
      </c>
      <c r="H920" s="4" t="inlineStr">
        <is>
          <t>Dec 12-Dec 20</t>
        </is>
      </c>
      <c r="I920" s="4" t="n"/>
      <c r="J920" s="4" t="inlineStr">
        <is>
          <t>Jun 1</t>
        </is>
      </c>
      <c r="K920" s="4" t="inlineStr">
        <is>
          <t>25</t>
        </is>
      </c>
      <c r="L920" s="4" t="inlineStr">
        <is>
          <t>Only valid on private land.</t>
        </is>
      </c>
    </row>
    <row r="921">
      <c r="A921" s="4" t="inlineStr">
        <is>
          <t>652</t>
        </is>
      </c>
      <c r="B921" s="4" t="inlineStr">
        <is>
          <t>mule deer</t>
        </is>
      </c>
      <c r="C921" s="4" t="inlineStr">
        <is>
          <t>Deer Permit: 652-50</t>
        </is>
      </c>
      <c r="D921" s="15" t="inlineStr">
        <is>
          <t>Drawing</t>
        </is>
      </c>
      <c r="E921" s="4" t="inlineStr">
        <is>
          <t>Antlered Buck Mule Deer</t>
        </is>
      </c>
      <c r="F921" s="4" t="inlineStr">
        <is>
          <t>Sep 05-Oct 18</t>
        </is>
      </c>
      <c r="G921" s="4" t="inlineStr">
        <is>
          <t>Oct 24-Nov 29</t>
        </is>
      </c>
      <c r="H921" s="4" t="inlineStr">
        <is>
          <t>Dec 12-Dec 20</t>
        </is>
      </c>
      <c r="I921" s="4" t="n"/>
      <c r="J921" s="4" t="inlineStr">
        <is>
          <t>April 1</t>
        </is>
      </c>
      <c r="K921" s="4" t="inlineStr">
        <is>
          <t>100</t>
        </is>
      </c>
      <c r="L921" s="4" t="inlineStr">
        <is>
          <t>Permit must be used with a valid General Deer License. Holders may not hunt Antlered Buck Mule Deer in any other HD.</t>
        </is>
      </c>
    </row>
    <row r="922">
      <c r="A922" s="4" t="inlineStr">
        <is>
          <t>670</t>
        </is>
      </c>
      <c r="B922" s="4" t="inlineStr">
        <is>
          <t>mule deer</t>
        </is>
      </c>
      <c r="C922" s="4" t="inlineStr">
        <is>
          <t>General Deer License</t>
        </is>
      </c>
      <c r="D922" s="13" t="inlineStr">
        <is>
          <t>General license</t>
        </is>
      </c>
      <c r="E922" s="4" t="inlineStr">
        <is>
          <t>Antlerless Mule Deer</t>
        </is>
      </c>
      <c r="F922" s="4" t="inlineStr">
        <is>
          <t>Sep 05-Oct 18</t>
        </is>
      </c>
      <c r="G922" s="4" t="inlineStr">
        <is>
          <t>Oct 24-Nov 29</t>
        </is>
      </c>
      <c r="H922" s="4" t="inlineStr">
        <is>
          <t>Dec 12-Dec 20</t>
        </is>
      </c>
      <c r="I922" s="4" t="n"/>
      <c r="J922" s="4" t="n"/>
      <c r="K922" s="4" t="n"/>
      <c r="L922" s="4" t="inlineStr">
        <is>
          <t>Only valid on private land.</t>
        </is>
      </c>
    </row>
    <row r="923">
      <c r="A923" s="4" t="inlineStr">
        <is>
          <t>670</t>
        </is>
      </c>
      <c r="B923" s="4" t="inlineStr">
        <is>
          <t>mule deer</t>
        </is>
      </c>
      <c r="C923" s="4" t="inlineStr">
        <is>
          <t>General Deer License</t>
        </is>
      </c>
      <c r="D923" s="13" t="inlineStr">
        <is>
          <t>General license</t>
        </is>
      </c>
      <c r="E923" s="4" t="inlineStr">
        <is>
          <t>Antlered Buck Mule Deer</t>
        </is>
      </c>
      <c r="F923" s="4" t="inlineStr">
        <is>
          <t>Sep 05-Oct 18</t>
        </is>
      </c>
      <c r="G923" s="4" t="inlineStr">
        <is>
          <t>Oct 24-Nov 29</t>
        </is>
      </c>
      <c r="H923" s="4" t="inlineStr">
        <is>
          <t>Dec 12-Dec 20</t>
        </is>
      </c>
      <c r="I923" s="4" t="n"/>
      <c r="J923" s="4" t="n"/>
      <c r="K923" s="4" t="n"/>
      <c r="L923" s="4" t="n"/>
    </row>
    <row r="924">
      <c r="A924" s="4" t="inlineStr">
        <is>
          <t>670</t>
        </is>
      </c>
      <c r="B924" s="4" t="inlineStr">
        <is>
          <t>mule deer</t>
        </is>
      </c>
      <c r="C924" s="4" t="inlineStr">
        <is>
          <t>Deer B License: 670-00</t>
        </is>
      </c>
      <c r="D924" s="15" t="inlineStr">
        <is>
          <t>Drawing</t>
        </is>
      </c>
      <c r="E924" s="4" t="inlineStr">
        <is>
          <t>Antlerless Mule Deer</t>
        </is>
      </c>
      <c r="F924" s="4" t="inlineStr">
        <is>
          <t>Sep 05-Oct 18</t>
        </is>
      </c>
      <c r="G924" s="4" t="inlineStr">
        <is>
          <t>Oct 24-Nov 29</t>
        </is>
      </c>
      <c r="H924" s="4" t="inlineStr">
        <is>
          <t>Dec 12-Dec 20</t>
        </is>
      </c>
      <c r="I924" s="4" t="n"/>
      <c r="J924" s="4" t="inlineStr">
        <is>
          <t>Jun 1</t>
        </is>
      </c>
      <c r="K924" s="4" t="inlineStr">
        <is>
          <t>100</t>
        </is>
      </c>
      <c r="L924" s="4" t="inlineStr">
        <is>
          <t>Only valid on private land.</t>
        </is>
      </c>
    </row>
    <row r="925">
      <c r="A925" s="4" t="inlineStr">
        <is>
          <t>690</t>
        </is>
      </c>
      <c r="B925" s="4" t="inlineStr">
        <is>
          <t>mule deer</t>
        </is>
      </c>
      <c r="C925" s="4" t="inlineStr">
        <is>
          <t>General Deer License</t>
        </is>
      </c>
      <c r="D925" s="13" t="inlineStr">
        <is>
          <t>General license</t>
        </is>
      </c>
      <c r="E925" s="4" t="inlineStr">
        <is>
          <t>Antlerless Mule Deer</t>
        </is>
      </c>
      <c r="F925" s="4" t="inlineStr">
        <is>
          <t>Sep 05-Oct 18</t>
        </is>
      </c>
      <c r="G925" s="4" t="inlineStr">
        <is>
          <t>Oct 24-Nov 29</t>
        </is>
      </c>
      <c r="H925" s="4" t="inlineStr">
        <is>
          <t>Dec 12-Dec 20</t>
        </is>
      </c>
      <c r="I925" s="4" t="n"/>
      <c r="J925" s="4" t="n"/>
      <c r="K925" s="4" t="n"/>
      <c r="L925" s="4" t="inlineStr">
        <is>
          <t>Only valid on private land.</t>
        </is>
      </c>
    </row>
    <row r="926">
      <c r="A926" s="4" t="inlineStr">
        <is>
          <t>690</t>
        </is>
      </c>
      <c r="B926" s="4" t="inlineStr">
        <is>
          <t>mule deer</t>
        </is>
      </c>
      <c r="C926" s="4" t="inlineStr">
        <is>
          <t>General Deer License</t>
        </is>
      </c>
      <c r="D926" s="13" t="inlineStr">
        <is>
          <t>General license</t>
        </is>
      </c>
      <c r="E926" s="4" t="inlineStr">
        <is>
          <t>Antlered Buck Mule Deer</t>
        </is>
      </c>
      <c r="F926" s="4" t="inlineStr">
        <is>
          <t>Sep 05-Oct 18</t>
        </is>
      </c>
      <c r="G926" s="4" t="inlineStr">
        <is>
          <t>Oct 24-Nov 29</t>
        </is>
      </c>
      <c r="H926" s="4" t="inlineStr">
        <is>
          <t>Dec 12-Dec 20</t>
        </is>
      </c>
      <c r="I926" s="4" t="n"/>
      <c r="J926" s="4" t="n"/>
      <c r="K926" s="4" t="n"/>
      <c r="L926" s="4" t="n"/>
    </row>
    <row r="927">
      <c r="A927" s="4" t="inlineStr">
        <is>
          <t>690</t>
        </is>
      </c>
      <c r="B927" s="4" t="inlineStr">
        <is>
          <t>mule deer</t>
        </is>
      </c>
      <c r="C927" s="4" t="inlineStr">
        <is>
          <t>Deer B License: 690-00</t>
        </is>
      </c>
      <c r="D927" s="15" t="inlineStr">
        <is>
          <t>Drawing</t>
        </is>
      </c>
      <c r="E927" s="4" t="inlineStr">
        <is>
          <t>Antlerless Mule Deer</t>
        </is>
      </c>
      <c r="F927" s="4" t="inlineStr">
        <is>
          <t>Sep 05-Oct 18</t>
        </is>
      </c>
      <c r="G927" s="4" t="inlineStr">
        <is>
          <t>Oct 24-Nov 29</t>
        </is>
      </c>
      <c r="H927" s="4" t="inlineStr">
        <is>
          <t>Dec 12-Dec 20</t>
        </is>
      </c>
      <c r="I927" s="4" t="n"/>
      <c r="J927" s="4" t="inlineStr">
        <is>
          <t>Jun 1</t>
        </is>
      </c>
      <c r="K927" s="4" t="inlineStr">
        <is>
          <t>100</t>
        </is>
      </c>
      <c r="L927" s="4" t="inlineStr">
        <is>
          <t>Only valid on private land.</t>
        </is>
      </c>
    </row>
    <row r="928">
      <c r="A928" s="4" t="inlineStr">
        <is>
          <t>700</t>
        </is>
      </c>
      <c r="B928" s="4" t="inlineStr">
        <is>
          <t>mule deer</t>
        </is>
      </c>
      <c r="C928" s="4" t="inlineStr">
        <is>
          <t>General Deer License</t>
        </is>
      </c>
      <c r="D928" s="13" t="inlineStr">
        <is>
          <t>General license</t>
        </is>
      </c>
      <c r="E928" s="4" t="inlineStr">
        <is>
          <t>Antlerless Mule Deer</t>
        </is>
      </c>
      <c r="F928" s="4" t="inlineStr">
        <is>
          <t>Sep 05-Oct 18</t>
        </is>
      </c>
      <c r="G928" s="4" t="inlineStr">
        <is>
          <t>Oct 24-Nov 29</t>
        </is>
      </c>
      <c r="H928" s="4" t="inlineStr">
        <is>
          <t>Dec 12-Dec 20</t>
        </is>
      </c>
      <c r="I928" s="4" t="n"/>
      <c r="J928" s="4" t="n"/>
      <c r="K928" s="4" t="n"/>
      <c r="L928" s="4" t="inlineStr">
        <is>
          <t>Only valid on private lands.</t>
        </is>
      </c>
    </row>
    <row r="929">
      <c r="A929" s="4" t="inlineStr">
        <is>
          <t>700</t>
        </is>
      </c>
      <c r="B929" s="4" t="inlineStr">
        <is>
          <t>mule deer</t>
        </is>
      </c>
      <c r="C929" s="4" t="inlineStr">
        <is>
          <t>General Deer License</t>
        </is>
      </c>
      <c r="D929" s="13" t="inlineStr">
        <is>
          <t>General license</t>
        </is>
      </c>
      <c r="E929" s="4" t="inlineStr">
        <is>
          <t>Antlered Buck Mule Deer</t>
        </is>
      </c>
      <c r="F929" s="4" t="inlineStr">
        <is>
          <t>Sep 05-Oct 18</t>
        </is>
      </c>
      <c r="G929" s="4" t="inlineStr">
        <is>
          <t>Oct 24-Nov 29</t>
        </is>
      </c>
      <c r="H929" s="4" t="inlineStr">
        <is>
          <t>Dec 12-Dec 20</t>
        </is>
      </c>
      <c r="I929" s="4" t="n"/>
      <c r="J929" s="4" t="n"/>
      <c r="K929" s="4" t="n"/>
      <c r="L929" s="4" t="n"/>
    </row>
    <row r="930">
      <c r="A930" s="4" t="inlineStr">
        <is>
          <t>700</t>
        </is>
      </c>
      <c r="B930" s="4" t="inlineStr">
        <is>
          <t>mule deer</t>
        </is>
      </c>
      <c r="C930" s="4" t="inlineStr">
        <is>
          <t>Deer B License: 007-03</t>
        </is>
      </c>
      <c r="D930" s="15" t="inlineStr">
        <is>
          <t>Drawing</t>
        </is>
      </c>
      <c r="E930" s="4" t="inlineStr">
        <is>
          <t>Antlerless Mule Deer</t>
        </is>
      </c>
      <c r="F930" s="4" t="inlineStr">
        <is>
          <t>Sep 05-Oct 18</t>
        </is>
      </c>
      <c r="G930" s="4" t="inlineStr">
        <is>
          <t>Oct 24-Nov 29</t>
        </is>
      </c>
      <c r="H930" s="4" t="inlineStr">
        <is>
          <t>Dec 12-Dec 20</t>
        </is>
      </c>
      <c r="I930" s="4" t="n"/>
      <c r="J930" s="4" t="inlineStr">
        <is>
          <t>Jun 1</t>
        </is>
      </c>
      <c r="K930" s="4" t="inlineStr">
        <is>
          <t>1,000</t>
        </is>
      </c>
      <c r="L930" s="4" t="inlineStr">
        <is>
          <t>Only valid on private lands. Valid in all Region 7 HDs Elk Hunting by Drawing Only</t>
        </is>
      </c>
    </row>
    <row r="931">
      <c r="A931" s="4" t="inlineStr">
        <is>
          <t>701</t>
        </is>
      </c>
      <c r="B931" s="4" t="inlineStr">
        <is>
          <t>mule deer</t>
        </is>
      </c>
      <c r="C931" s="4" t="inlineStr">
        <is>
          <t>General Deer License</t>
        </is>
      </c>
      <c r="D931" s="13" t="inlineStr">
        <is>
          <t>General license</t>
        </is>
      </c>
      <c r="E931" s="4" t="inlineStr">
        <is>
          <t>Antlerless Mule Deer</t>
        </is>
      </c>
      <c r="F931" s="4" t="inlineStr">
        <is>
          <t>Sep 05-Oct 18</t>
        </is>
      </c>
      <c r="G931" s="4" t="inlineStr">
        <is>
          <t>Oct 24-Nov 29</t>
        </is>
      </c>
      <c r="H931" s="4" t="inlineStr">
        <is>
          <t>Dec 12-Dec 20</t>
        </is>
      </c>
      <c r="I931" s="4" t="n"/>
      <c r="J931" s="4" t="n"/>
      <c r="K931" s="4" t="n"/>
      <c r="L931" s="4" t="inlineStr">
        <is>
          <t>Only valid on private lands.</t>
        </is>
      </c>
    </row>
    <row r="932">
      <c r="A932" s="4" t="inlineStr">
        <is>
          <t>701</t>
        </is>
      </c>
      <c r="B932" s="4" t="inlineStr">
        <is>
          <t>mule deer</t>
        </is>
      </c>
      <c r="C932" s="4" t="inlineStr">
        <is>
          <t>General Deer License</t>
        </is>
      </c>
      <c r="D932" s="13" t="inlineStr">
        <is>
          <t>General license</t>
        </is>
      </c>
      <c r="E932" s="4" t="inlineStr">
        <is>
          <t>Antlered Buck Mule Deer</t>
        </is>
      </c>
      <c r="F932" s="4" t="inlineStr">
        <is>
          <t>Sep 05-Oct 18</t>
        </is>
      </c>
      <c r="G932" s="4" t="inlineStr">
        <is>
          <t>Oct 24-Nov 29</t>
        </is>
      </c>
      <c r="H932" s="4" t="inlineStr">
        <is>
          <t>Dec 12-Dec 20</t>
        </is>
      </c>
      <c r="I932" s="4" t="n"/>
      <c r="J932" s="4" t="n"/>
      <c r="K932" s="4" t="n"/>
      <c r="L932" s="4" t="n"/>
    </row>
    <row r="933">
      <c r="A933" s="4" t="inlineStr">
        <is>
          <t>701</t>
        </is>
      </c>
      <c r="B933" s="4" t="inlineStr">
        <is>
          <t>mule deer</t>
        </is>
      </c>
      <c r="C933" s="4" t="inlineStr">
        <is>
          <t>Deer B License: 007-03</t>
        </is>
      </c>
      <c r="D933" s="15" t="inlineStr">
        <is>
          <t>Drawing</t>
        </is>
      </c>
      <c r="E933" s="4" t="inlineStr">
        <is>
          <t>Antlerless Mule Deer</t>
        </is>
      </c>
      <c r="F933" s="4" t="inlineStr">
        <is>
          <t>Sep 05-Oct 18</t>
        </is>
      </c>
      <c r="G933" s="4" t="inlineStr">
        <is>
          <t>Oct 24-Nov 29</t>
        </is>
      </c>
      <c r="H933" s="4" t="inlineStr">
        <is>
          <t>Dec 12-Dec 20</t>
        </is>
      </c>
      <c r="I933" s="4" t="n"/>
      <c r="J933" s="4" t="inlineStr">
        <is>
          <t>Jun 1</t>
        </is>
      </c>
      <c r="K933" s="4" t="inlineStr">
        <is>
          <t>1,000</t>
        </is>
      </c>
      <c r="L933" s="4" t="inlineStr">
        <is>
          <t>Only valid on private lands. Valid in all Region 7 HDs 119 2026 Deer • Elk • Antelope Visit fwp.mt.gov LICENSE/PERMIT OPPORTUNITY APPL Y BY DATE QUOTA QUOTA RANGE EARL Y SEASON DATES ARCHERY ONL Y SEASON DATES GENERAL SEASON DATES HERITAGE MUZZLELOADER SEASON DATES LATE SEASON DATES OPPORTUNITY SPEC</t>
        </is>
      </c>
    </row>
    <row r="934">
      <c r="A934" s="4" t="inlineStr">
        <is>
          <t>702</t>
        </is>
      </c>
      <c r="B934" s="4" t="inlineStr">
        <is>
          <t>mule deer</t>
        </is>
      </c>
      <c r="C934" s="4" t="inlineStr">
        <is>
          <t>General Deer License</t>
        </is>
      </c>
      <c r="D934" s="13" t="inlineStr">
        <is>
          <t>General license</t>
        </is>
      </c>
      <c r="E934" s="4" t="inlineStr">
        <is>
          <t>Antlerless Mule Deer</t>
        </is>
      </c>
      <c r="F934" s="4" t="inlineStr">
        <is>
          <t>Sep 05-Oct 18</t>
        </is>
      </c>
      <c r="G934" s="4" t="inlineStr">
        <is>
          <t>Oct 24-Nov 29</t>
        </is>
      </c>
      <c r="H934" s="4" t="inlineStr">
        <is>
          <t>Dec 12-Dec 20</t>
        </is>
      </c>
      <c r="I934" s="4" t="n"/>
      <c r="J934" s="4" t="n"/>
      <c r="K934" s="4" t="n"/>
      <c r="L934" s="4" t="inlineStr">
        <is>
          <t>Only valid on private lands.</t>
        </is>
      </c>
    </row>
    <row r="935">
      <c r="A935" s="4" t="inlineStr">
        <is>
          <t>702</t>
        </is>
      </c>
      <c r="B935" s="4" t="inlineStr">
        <is>
          <t>mule deer</t>
        </is>
      </c>
      <c r="C935" s="4" t="inlineStr">
        <is>
          <t>General Deer License</t>
        </is>
      </c>
      <c r="D935" s="13" t="inlineStr">
        <is>
          <t>General license</t>
        </is>
      </c>
      <c r="E935" s="4" t="inlineStr">
        <is>
          <t>Antlered Buck Mule Deer</t>
        </is>
      </c>
      <c r="F935" s="4" t="inlineStr">
        <is>
          <t>Sep 05-Oct 18</t>
        </is>
      </c>
      <c r="G935" s="4" t="inlineStr">
        <is>
          <t>Oct 24-Nov 29</t>
        </is>
      </c>
      <c r="H935" s="4" t="inlineStr">
        <is>
          <t>Dec 12-Dec 20</t>
        </is>
      </c>
      <c r="I935" s="4" t="n"/>
      <c r="J935" s="4" t="n"/>
      <c r="K935" s="4" t="n"/>
      <c r="L935" s="4" t="n"/>
    </row>
    <row r="936">
      <c r="A936" s="4" t="inlineStr">
        <is>
          <t>702</t>
        </is>
      </c>
      <c r="B936" s="4" t="inlineStr">
        <is>
          <t>mule deer</t>
        </is>
      </c>
      <c r="C936" s="4" t="inlineStr">
        <is>
          <t>Deer B License: 007-03</t>
        </is>
      </c>
      <c r="D936" s="15" t="inlineStr">
        <is>
          <t>Drawing</t>
        </is>
      </c>
      <c r="E936" s="4" t="inlineStr">
        <is>
          <t>Antlerless Mule Deer</t>
        </is>
      </c>
      <c r="F936" s="4" t="inlineStr">
        <is>
          <t>Sep 05-Oct 18</t>
        </is>
      </c>
      <c r="G936" s="4" t="inlineStr">
        <is>
          <t>Oct 24-Nov 29</t>
        </is>
      </c>
      <c r="H936" s="4" t="inlineStr">
        <is>
          <t>Dec 12-Dec 20</t>
        </is>
      </c>
      <c r="I936" s="4" t="n"/>
      <c r="J936" s="4" t="inlineStr">
        <is>
          <t>Jun 1</t>
        </is>
      </c>
      <c r="K936" s="4" t="inlineStr">
        <is>
          <t>1,000</t>
        </is>
      </c>
      <c r="L936" s="4" t="inlineStr">
        <is>
          <t>Only valid on private lands. Valid in all Region 7 HDs LICENSE/PERMIT OPPORTUNITY APPL Y BY DATE QUOTA QUOTA RANGE EARL Y SEASON DATES ARCHERY ONL Y SEASON DATES GENERAL SEASON DATES HERITAGE MUZZLELOADER SEASON DATES LATE SEASON DATES OPPORTUNITY SPECIFIC DETAILS AND/ORRESTRICTIONS NOTE: Elk primar</t>
        </is>
      </c>
    </row>
    <row r="937">
      <c r="A937" s="4" t="inlineStr">
        <is>
          <t>703</t>
        </is>
      </c>
      <c r="B937" s="4" t="inlineStr">
        <is>
          <t>mule deer</t>
        </is>
      </c>
      <c r="C937" s="4" t="inlineStr">
        <is>
          <t>General Deer License</t>
        </is>
      </c>
      <c r="D937" s="13" t="inlineStr">
        <is>
          <t>General license</t>
        </is>
      </c>
      <c r="E937" s="4" t="inlineStr">
        <is>
          <t>Antlerless Mule Deer</t>
        </is>
      </c>
      <c r="F937" s="4" t="inlineStr">
        <is>
          <t>Sep 05-Oct 18</t>
        </is>
      </c>
      <c r="G937" s="4" t="inlineStr">
        <is>
          <t>Oct 24-Nov 29</t>
        </is>
      </c>
      <c r="H937" s="4" t="inlineStr">
        <is>
          <t>Dec 12-Dec 20</t>
        </is>
      </c>
      <c r="I937" s="4" t="n"/>
      <c r="J937" s="4" t="n"/>
      <c r="K937" s="4" t="n"/>
      <c r="L937" s="4" t="inlineStr">
        <is>
          <t>Only valid on private lands.</t>
        </is>
      </c>
    </row>
    <row r="938">
      <c r="A938" s="4" t="inlineStr">
        <is>
          <t>703</t>
        </is>
      </c>
      <c r="B938" s="4" t="inlineStr">
        <is>
          <t>mule deer</t>
        </is>
      </c>
      <c r="C938" s="4" t="inlineStr">
        <is>
          <t>General Deer License</t>
        </is>
      </c>
      <c r="D938" s="13" t="inlineStr">
        <is>
          <t>General license</t>
        </is>
      </c>
      <c r="E938" s="4" t="inlineStr">
        <is>
          <t>Antlered Buck Mule Deer</t>
        </is>
      </c>
      <c r="F938" s="4" t="inlineStr">
        <is>
          <t>Sep 05-Oct 18</t>
        </is>
      </c>
      <c r="G938" s="4" t="inlineStr">
        <is>
          <t>Oct 24-Nov 29</t>
        </is>
      </c>
      <c r="H938" s="4" t="inlineStr">
        <is>
          <t>Dec 12-Dec 20</t>
        </is>
      </c>
      <c r="I938" s="4" t="n"/>
      <c r="J938" s="4" t="n"/>
      <c r="K938" s="4" t="n"/>
      <c r="L938" s="4" t="n"/>
    </row>
    <row r="939">
      <c r="A939" s="4" t="inlineStr">
        <is>
          <t>703</t>
        </is>
      </c>
      <c r="B939" s="4" t="inlineStr">
        <is>
          <t>mule deer</t>
        </is>
      </c>
      <c r="C939" s="4" t="inlineStr">
        <is>
          <t>Deer B License: 007-03</t>
        </is>
      </c>
      <c r="D939" s="15" t="inlineStr">
        <is>
          <t>Drawing</t>
        </is>
      </c>
      <c r="E939" s="4" t="inlineStr">
        <is>
          <t>Antlerless Mule Deer</t>
        </is>
      </c>
      <c r="F939" s="4" t="inlineStr">
        <is>
          <t>Sep 05-Oct 18</t>
        </is>
      </c>
      <c r="G939" s="4" t="inlineStr">
        <is>
          <t>Oct 24-Nov 29</t>
        </is>
      </c>
      <c r="H939" s="4" t="inlineStr">
        <is>
          <t>Dec 12-Dec 20</t>
        </is>
      </c>
      <c r="I939" s="4" t="n"/>
      <c r="J939" s="4" t="inlineStr">
        <is>
          <t>Jun 1</t>
        </is>
      </c>
      <c r="K939" s="4" t="inlineStr">
        <is>
          <t>1,000</t>
        </is>
      </c>
      <c r="L939" s="4" t="inlineStr">
        <is>
          <t>Only valid on private lands. Valid in all Region 7 HDs</t>
        </is>
      </c>
    </row>
    <row r="940">
      <c r="A940" s="4" t="inlineStr">
        <is>
          <t>704</t>
        </is>
      </c>
      <c r="B940" s="4" t="inlineStr">
        <is>
          <t>mule deer</t>
        </is>
      </c>
      <c r="C940" s="4" t="inlineStr">
        <is>
          <t>General Deer License</t>
        </is>
      </c>
      <c r="D940" s="13" t="inlineStr">
        <is>
          <t>General license</t>
        </is>
      </c>
      <c r="E940" s="4" t="inlineStr">
        <is>
          <t>Antlerless Mule Deer</t>
        </is>
      </c>
      <c r="F940" s="4" t="inlineStr">
        <is>
          <t>Sep 05-Oct 18</t>
        </is>
      </c>
      <c r="G940" s="4" t="inlineStr">
        <is>
          <t>Oct 24-Nov 29</t>
        </is>
      </c>
      <c r="H940" s="4" t="inlineStr">
        <is>
          <t>Dec 12-Dec 20</t>
        </is>
      </c>
      <c r="I940" s="4" t="n"/>
      <c r="J940" s="4" t="n"/>
      <c r="K940" s="4" t="n"/>
      <c r="L940" s="4" t="inlineStr">
        <is>
          <t>Only valid on private lands.</t>
        </is>
      </c>
    </row>
    <row r="941">
      <c r="A941" s="4" t="inlineStr">
        <is>
          <t>704</t>
        </is>
      </c>
      <c r="B941" s="4" t="inlineStr">
        <is>
          <t>mule deer</t>
        </is>
      </c>
      <c r="C941" s="4" t="inlineStr">
        <is>
          <t>General Deer License</t>
        </is>
      </c>
      <c r="D941" s="13" t="inlineStr">
        <is>
          <t>General license</t>
        </is>
      </c>
      <c r="E941" s="4" t="inlineStr">
        <is>
          <t>Antlered Buck Mule Deer</t>
        </is>
      </c>
      <c r="F941" s="4" t="inlineStr">
        <is>
          <t>Sep 05-Oct 18</t>
        </is>
      </c>
      <c r="G941" s="4" t="inlineStr">
        <is>
          <t>Oct 24-Nov 29</t>
        </is>
      </c>
      <c r="H941" s="4" t="inlineStr">
        <is>
          <t>Dec 12-Dec 20</t>
        </is>
      </c>
      <c r="I941" s="4" t="n"/>
      <c r="J941" s="4" t="n"/>
      <c r="K941" s="4" t="n"/>
      <c r="L941" s="4" t="n"/>
    </row>
    <row r="942">
      <c r="A942" s="4" t="inlineStr">
        <is>
          <t>704</t>
        </is>
      </c>
      <c r="B942" s="4" t="inlineStr">
        <is>
          <t>mule deer</t>
        </is>
      </c>
      <c r="C942" s="4" t="inlineStr">
        <is>
          <t>Deer B License: 007-03</t>
        </is>
      </c>
      <c r="D942" s="15" t="inlineStr">
        <is>
          <t>Drawing</t>
        </is>
      </c>
      <c r="E942" s="4" t="inlineStr">
        <is>
          <t>Antlerless Mule Deer</t>
        </is>
      </c>
      <c r="F942" s="4" t="inlineStr">
        <is>
          <t>Sep 05-Oct 18</t>
        </is>
      </c>
      <c r="G942" s="4" t="inlineStr">
        <is>
          <t>Oct 24-Nov 29</t>
        </is>
      </c>
      <c r="H942" s="4" t="inlineStr">
        <is>
          <t>Dec 12-Dec 20</t>
        </is>
      </c>
      <c r="I942" s="4" t="n"/>
      <c r="J942" s="4" t="inlineStr">
        <is>
          <t>Jun 1</t>
        </is>
      </c>
      <c r="K942" s="4" t="inlineStr">
        <is>
          <t>1,000</t>
        </is>
      </c>
      <c r="L942" s="4" t="inlineStr">
        <is>
          <t>Only valid on private lands. Valid in all Region 7 HDs</t>
        </is>
      </c>
    </row>
    <row r="943">
      <c r="A943" s="4" t="inlineStr">
        <is>
          <t>705</t>
        </is>
      </c>
      <c r="B943" s="4" t="inlineStr">
        <is>
          <t>mule deer</t>
        </is>
      </c>
      <c r="C943" s="4" t="inlineStr">
        <is>
          <t>General Deer License</t>
        </is>
      </c>
      <c r="D943" s="13" t="inlineStr">
        <is>
          <t>General license</t>
        </is>
      </c>
      <c r="E943" s="4" t="inlineStr">
        <is>
          <t>Antlerless Mule Deer</t>
        </is>
      </c>
      <c r="F943" s="4" t="inlineStr">
        <is>
          <t>Sep 05-Oct 18</t>
        </is>
      </c>
      <c r="G943" s="4" t="inlineStr">
        <is>
          <t>Oct 24-Nov 29</t>
        </is>
      </c>
      <c r="H943" s="4" t="inlineStr">
        <is>
          <t>Dec 12-Dec 20</t>
        </is>
      </c>
      <c r="I943" s="4" t="n"/>
      <c r="J943" s="4" t="n"/>
      <c r="K943" s="4" t="n"/>
      <c r="L943" s="4" t="inlineStr">
        <is>
          <t>Only valid on private lands.</t>
        </is>
      </c>
    </row>
    <row r="944">
      <c r="A944" s="4" t="inlineStr">
        <is>
          <t>705</t>
        </is>
      </c>
      <c r="B944" s="4" t="inlineStr">
        <is>
          <t>mule deer</t>
        </is>
      </c>
      <c r="C944" s="4" t="inlineStr">
        <is>
          <t>General Deer License</t>
        </is>
      </c>
      <c r="D944" s="13" t="inlineStr">
        <is>
          <t>General license</t>
        </is>
      </c>
      <c r="E944" s="4" t="inlineStr">
        <is>
          <t>Antlered Buck Mule Deer</t>
        </is>
      </c>
      <c r="F944" s="4" t="inlineStr">
        <is>
          <t>Sep 05-Oct 18</t>
        </is>
      </c>
      <c r="G944" s="4" t="inlineStr">
        <is>
          <t>Oct 24-Nov 29</t>
        </is>
      </c>
      <c r="H944" s="4" t="inlineStr">
        <is>
          <t>Dec 12-Dec 20</t>
        </is>
      </c>
      <c r="I944" s="4" t="n"/>
      <c r="J944" s="4" t="n"/>
      <c r="K944" s="4" t="n"/>
      <c r="L944" s="4" t="n"/>
    </row>
    <row r="945">
      <c r="A945" s="4" t="inlineStr">
        <is>
          <t>705</t>
        </is>
      </c>
      <c r="B945" s="4" t="inlineStr">
        <is>
          <t>mule deer</t>
        </is>
      </c>
      <c r="C945" s="4" t="inlineStr">
        <is>
          <t>Deer B License: 007-03</t>
        </is>
      </c>
      <c r="D945" s="15" t="inlineStr">
        <is>
          <t>Drawing</t>
        </is>
      </c>
      <c r="E945" s="4" t="inlineStr">
        <is>
          <t>Antlerless Mule Deer</t>
        </is>
      </c>
      <c r="F945" s="4" t="inlineStr">
        <is>
          <t>Sep 05-Oct 18</t>
        </is>
      </c>
      <c r="G945" s="4" t="inlineStr">
        <is>
          <t>Oct 24-Nov 29</t>
        </is>
      </c>
      <c r="H945" s="4" t="inlineStr">
        <is>
          <t>Dec 12-Dec 20</t>
        </is>
      </c>
      <c r="I945" s="4" t="n"/>
      <c r="J945" s="4" t="inlineStr">
        <is>
          <t>Jun 1</t>
        </is>
      </c>
      <c r="K945" s="4" t="inlineStr">
        <is>
          <t>1,000</t>
        </is>
      </c>
      <c r="L945" s="4" t="inlineStr">
        <is>
          <t>Only valid on private lands. Valid in all Region 7 HDs</t>
        </is>
      </c>
    </row>
    <row r="946">
      <c r="A946" s="4" t="inlineStr">
        <is>
          <t>100</t>
        </is>
      </c>
      <c r="B946" s="4" t="inlineStr">
        <is>
          <t>whitetail</t>
        </is>
      </c>
      <c r="C946" s="4" t="inlineStr">
        <is>
          <t>General Deer License</t>
        </is>
      </c>
      <c r="D946" s="13" t="inlineStr">
        <is>
          <t>General license</t>
        </is>
      </c>
      <c r="E946" s="4" t="inlineStr">
        <is>
          <t>Either-sex White-tailed Deer</t>
        </is>
      </c>
      <c r="F946" s="4" t="inlineStr">
        <is>
          <t>Sep 05-Oct 18</t>
        </is>
      </c>
      <c r="G946" s="4" t="inlineStr">
        <is>
          <t>Oct 24-Oct 30</t>
        </is>
      </c>
      <c r="H946" s="4" t="n"/>
      <c r="I946" s="4" t="n"/>
      <c r="J946" s="4" t="n"/>
      <c r="K946" s="4" t="n"/>
      <c r="L946" s="4" t="n"/>
    </row>
    <row r="947">
      <c r="A947" s="4" t="inlineStr">
        <is>
          <t>100</t>
        </is>
      </c>
      <c r="B947" s="4" t="inlineStr">
        <is>
          <t>whitetail</t>
        </is>
      </c>
      <c r="C947" s="4" t="inlineStr">
        <is>
          <t>General Deer License</t>
        </is>
      </c>
      <c r="D947" s="13" t="inlineStr">
        <is>
          <t>General license</t>
        </is>
      </c>
      <c r="E947" s="4" t="inlineStr">
        <is>
          <t>Antlered Buck White-tailed Deer</t>
        </is>
      </c>
      <c r="F947" s="4" t="n"/>
      <c r="G947" s="4" t="inlineStr">
        <is>
          <t>Oct 31-Nov 29</t>
        </is>
      </c>
      <c r="H947" s="4" t="inlineStr">
        <is>
          <t>Dec 12-Dec 20</t>
        </is>
      </c>
      <c r="I947" s="4" t="n"/>
      <c r="J947" s="4" t="n"/>
      <c r="K947" s="4" t="n"/>
      <c r="L947" s="4" t="n"/>
    </row>
    <row r="948">
      <c r="A948" s="4" t="inlineStr">
        <is>
          <t>100</t>
        </is>
      </c>
      <c r="B948" s="4" t="inlineStr">
        <is>
          <t>whitetail</t>
        </is>
      </c>
      <c r="C948" s="4" t="inlineStr">
        <is>
          <t>General Deer License</t>
        </is>
      </c>
      <c r="D948" s="13" t="inlineStr">
        <is>
          <t>General license</t>
        </is>
      </c>
      <c r="E948" s="4" t="inlineStr">
        <is>
          <t>Either-sex White-tailed Deer</t>
        </is>
      </c>
      <c r="F948" s="4" t="n"/>
      <c r="G948" s="4" t="inlineStr">
        <is>
          <t>Oct 31-Nov 29</t>
        </is>
      </c>
      <c r="H948" s="4" t="inlineStr">
        <is>
          <t>Dec 12-Dec 20</t>
        </is>
      </c>
      <c r="I948" s="4" t="n"/>
      <c r="J948" s="4" t="n"/>
      <c r="K948" s="4" t="n"/>
      <c r="L948" s="4" t="inlineStr">
        <is>
          <t>Only youth ages 10-15 and hunters with a PTHFV.</t>
        </is>
      </c>
    </row>
    <row r="949">
      <c r="A949" s="4" t="inlineStr">
        <is>
          <t>100</t>
        </is>
      </c>
      <c r="B949" s="4" t="inlineStr">
        <is>
          <t>whitetail</t>
        </is>
      </c>
      <c r="C949" s="4" t="inlineStr">
        <is>
          <t>Deer B License: 100-00</t>
        </is>
      </c>
      <c r="D949" s="15" t="inlineStr">
        <is>
          <t>Drawing</t>
        </is>
      </c>
      <c r="E949" s="4" t="inlineStr">
        <is>
          <t>Antlerless White-tailed Deer</t>
        </is>
      </c>
      <c r="F949" s="4" t="inlineStr">
        <is>
          <t>Sep 05-Oct 18</t>
        </is>
      </c>
      <c r="G949" s="4" t="inlineStr">
        <is>
          <t>Oct 24-Nov 29</t>
        </is>
      </c>
      <c r="H949" s="4" t="inlineStr">
        <is>
          <t>Dec 12-Dec 20</t>
        </is>
      </c>
      <c r="I949" s="4" t="n"/>
      <c r="J949" s="4" t="inlineStr">
        <is>
          <t>Jun 1</t>
        </is>
      </c>
      <c r="K949" s="4" t="inlineStr">
        <is>
          <t>100</t>
        </is>
      </c>
      <c r="L949" s="4" t="n"/>
    </row>
    <row r="950">
      <c r="A950" s="4" t="inlineStr">
        <is>
          <t>100</t>
        </is>
      </c>
      <c r="B950" s="4" t="inlineStr">
        <is>
          <t>whitetail</t>
        </is>
      </c>
      <c r="C950" s="4" t="inlineStr">
        <is>
          <t>Deer B License: 199-20</t>
        </is>
      </c>
      <c r="D950" s="15" t="inlineStr">
        <is>
          <t>Drawing</t>
        </is>
      </c>
      <c r="E950" s="4" t="inlineStr">
        <is>
          <t>Either-sex White-tailed Deer</t>
        </is>
      </c>
      <c r="F950" s="4" t="inlineStr">
        <is>
          <t>Sep 05-Oct 18</t>
        </is>
      </c>
      <c r="G950" s="4" t="inlineStr">
        <is>
          <t>Oct 24-Nov 29</t>
        </is>
      </c>
      <c r="H950" s="4" t="inlineStr">
        <is>
          <t>Dec 12-Dec 20</t>
        </is>
      </c>
      <c r="I950" s="4" t="n"/>
      <c r="J950" s="4" t="inlineStr">
        <is>
          <t>Jun 1</t>
        </is>
      </c>
      <c r="K950" s="4" t="inlineStr">
        <is>
          <t>2,000</t>
        </is>
      </c>
      <c r="L950" s="4" t="inlineStr">
        <is>
          <t>Only valid in the Libby CWD Management Zone. 1 per hunter. Mandatory CWD sampling within 10 days of harvest. More information on CWD sample submission on page 4.</t>
        </is>
      </c>
    </row>
    <row r="951">
      <c r="A951" s="4" t="inlineStr">
        <is>
          <t>101</t>
        </is>
      </c>
      <c r="B951" s="4" t="inlineStr">
        <is>
          <t>whitetail</t>
        </is>
      </c>
      <c r="C951" s="4" t="inlineStr">
        <is>
          <t>General Deer License</t>
        </is>
      </c>
      <c r="D951" s="13" t="inlineStr">
        <is>
          <t>General license</t>
        </is>
      </c>
      <c r="E951" s="4" t="inlineStr">
        <is>
          <t>Either-sex White-tailed Deer</t>
        </is>
      </c>
      <c r="F951" s="4" t="inlineStr">
        <is>
          <t>Sep 05-Oct 18</t>
        </is>
      </c>
      <c r="G951" s="4" t="inlineStr">
        <is>
          <t>Oct 24-Oct 30</t>
        </is>
      </c>
      <c r="H951" s="4" t="n"/>
      <c r="I951" s="4" t="n"/>
      <c r="J951" s="4" t="n"/>
      <c r="K951" s="4" t="n"/>
      <c r="L951" s="4" t="n"/>
    </row>
    <row r="952">
      <c r="A952" s="4" t="inlineStr">
        <is>
          <t>101</t>
        </is>
      </c>
      <c r="B952" s="4" t="inlineStr">
        <is>
          <t>whitetail</t>
        </is>
      </c>
      <c r="C952" s="4" t="inlineStr">
        <is>
          <t>General Deer License</t>
        </is>
      </c>
      <c r="D952" s="13" t="inlineStr">
        <is>
          <t>General license</t>
        </is>
      </c>
      <c r="E952" s="4" t="inlineStr">
        <is>
          <t>Antlered Buck White-tailed Deer</t>
        </is>
      </c>
      <c r="F952" s="4" t="n"/>
      <c r="G952" s="4" t="inlineStr">
        <is>
          <t>Oct 31-Nov 29</t>
        </is>
      </c>
      <c r="H952" s="4" t="inlineStr">
        <is>
          <t>Dec 12-Dec 20</t>
        </is>
      </c>
      <c r="I952" s="4" t="n"/>
      <c r="J952" s="4" t="n"/>
      <c r="K952" s="4" t="n"/>
      <c r="L952" s="4" t="n"/>
    </row>
    <row r="953">
      <c r="A953" s="4" t="inlineStr">
        <is>
          <t>101</t>
        </is>
      </c>
      <c r="B953" s="4" t="inlineStr">
        <is>
          <t>whitetail</t>
        </is>
      </c>
      <c r="C953" s="4" t="inlineStr">
        <is>
          <t>General Deer License</t>
        </is>
      </c>
      <c r="D953" s="13" t="inlineStr">
        <is>
          <t>General license</t>
        </is>
      </c>
      <c r="E953" s="4" t="inlineStr">
        <is>
          <t>Either-sex White-tailed Deer</t>
        </is>
      </c>
      <c r="F953" s="4" t="n"/>
      <c r="G953" s="4" t="inlineStr">
        <is>
          <t>Oct 31-Nov 29</t>
        </is>
      </c>
      <c r="H953" s="4" t="inlineStr">
        <is>
          <t>Dec 12-Dec 20</t>
        </is>
      </c>
      <c r="I953" s="4" t="n"/>
      <c r="J953" s="4" t="n"/>
      <c r="K953" s="4" t="n"/>
      <c r="L953" s="4" t="inlineStr">
        <is>
          <t>Only youth ages 10-15 and hunters with a PTHFV.</t>
        </is>
      </c>
    </row>
    <row r="954">
      <c r="A954" s="4" t="inlineStr">
        <is>
          <t>101</t>
        </is>
      </c>
      <c r="B954" s="4" t="inlineStr">
        <is>
          <t>whitetail</t>
        </is>
      </c>
      <c r="C954" s="4" t="inlineStr">
        <is>
          <t>Deer B License: 101-00</t>
        </is>
      </c>
      <c r="D954" s="15" t="inlineStr">
        <is>
          <t>Drawing</t>
        </is>
      </c>
      <c r="E954" s="4" t="inlineStr">
        <is>
          <t>Antlerless White-tailed Deer</t>
        </is>
      </c>
      <c r="F954" s="4" t="inlineStr">
        <is>
          <t>Sep 05-Oct 18</t>
        </is>
      </c>
      <c r="G954" s="4" t="inlineStr">
        <is>
          <t>Oct 24-Nov 29</t>
        </is>
      </c>
      <c r="H954" s="4" t="inlineStr">
        <is>
          <t>Dec 12-Dec 20</t>
        </is>
      </c>
      <c r="I954" s="4" t="n"/>
      <c r="J954" s="4" t="inlineStr">
        <is>
          <t>Jun 1</t>
        </is>
      </c>
      <c r="K954" s="4" t="inlineStr">
        <is>
          <t>200</t>
        </is>
      </c>
      <c r="L954" s="4" t="n"/>
    </row>
    <row r="955">
      <c r="A955" s="4" t="inlineStr">
        <is>
          <t>103</t>
        </is>
      </c>
      <c r="B955" s="4" t="inlineStr">
        <is>
          <t>whitetail</t>
        </is>
      </c>
      <c r="C955" s="4" t="inlineStr">
        <is>
          <t>General Deer License</t>
        </is>
      </c>
      <c r="D955" s="13" t="inlineStr">
        <is>
          <t>General license</t>
        </is>
      </c>
      <c r="E955" s="4" t="inlineStr">
        <is>
          <t>Either-sex White-tailed Deer</t>
        </is>
      </c>
      <c r="F955" s="4" t="inlineStr">
        <is>
          <t>Sep 05-Oct 18</t>
        </is>
      </c>
      <c r="G955" s="4" t="inlineStr">
        <is>
          <t>Oct 24-Oct 30</t>
        </is>
      </c>
      <c r="H955" s="4" t="n"/>
      <c r="I955" s="4" t="n"/>
      <c r="J955" s="4" t="n"/>
      <c r="K955" s="4" t="n"/>
      <c r="L955" s="4" t="n"/>
    </row>
    <row r="956">
      <c r="A956" s="4" t="inlineStr">
        <is>
          <t>103</t>
        </is>
      </c>
      <c r="B956" s="4" t="inlineStr">
        <is>
          <t>whitetail</t>
        </is>
      </c>
      <c r="C956" s="4" t="inlineStr">
        <is>
          <t>General Deer License</t>
        </is>
      </c>
      <c r="D956" s="13" t="inlineStr">
        <is>
          <t>General license</t>
        </is>
      </c>
      <c r="E956" s="4" t="inlineStr">
        <is>
          <t>Antlered Buck White-tailed Deer</t>
        </is>
      </c>
      <c r="F956" s="4" t="n"/>
      <c r="G956" s="4" t="inlineStr">
        <is>
          <t>Oct 31-Nov 29</t>
        </is>
      </c>
      <c r="H956" s="4" t="inlineStr">
        <is>
          <t>Dec 12-Dec 20</t>
        </is>
      </c>
      <c r="I956" s="4" t="n"/>
      <c r="J956" s="4" t="n"/>
      <c r="K956" s="4" t="n"/>
      <c r="L956" s="4" t="n"/>
    </row>
    <row r="957">
      <c r="A957" s="4" t="inlineStr">
        <is>
          <t>103</t>
        </is>
      </c>
      <c r="B957" s="4" t="inlineStr">
        <is>
          <t>whitetail</t>
        </is>
      </c>
      <c r="C957" s="4" t="inlineStr">
        <is>
          <t>General Deer License</t>
        </is>
      </c>
      <c r="D957" s="13" t="inlineStr">
        <is>
          <t>General license</t>
        </is>
      </c>
      <c r="E957" s="4" t="inlineStr">
        <is>
          <t>Either-sex White-tailed Deer</t>
        </is>
      </c>
      <c r="F957" s="4" t="n"/>
      <c r="G957" s="4" t="inlineStr">
        <is>
          <t>Oct 31-Nov 29</t>
        </is>
      </c>
      <c r="H957" s="4" t="inlineStr">
        <is>
          <t>Dec 12-Dec 20</t>
        </is>
      </c>
      <c r="I957" s="4" t="n"/>
      <c r="J957" s="4" t="n"/>
      <c r="K957" s="4" t="n"/>
      <c r="L957" s="4" t="inlineStr">
        <is>
          <t>Only youth ages 10-15 and hunters with a PTHFV.</t>
        </is>
      </c>
    </row>
    <row r="958">
      <c r="A958" s="4" t="inlineStr">
        <is>
          <t>103</t>
        </is>
      </c>
      <c r="B958" s="4" t="inlineStr">
        <is>
          <t>whitetail</t>
        </is>
      </c>
      <c r="C958" s="4" t="inlineStr">
        <is>
          <t>Deer B License: 103-00</t>
        </is>
      </c>
      <c r="D958" s="15" t="inlineStr">
        <is>
          <t>Drawing</t>
        </is>
      </c>
      <c r="E958" s="4" t="inlineStr">
        <is>
          <t>Antlerless White-tailed Deer</t>
        </is>
      </c>
      <c r="F958" s="4" t="inlineStr">
        <is>
          <t>Sep 05-Oct 18</t>
        </is>
      </c>
      <c r="G958" s="4" t="inlineStr">
        <is>
          <t>Oct 24-Nov 29</t>
        </is>
      </c>
      <c r="H958" s="4" t="inlineStr">
        <is>
          <t>Dec 12-Dec 20</t>
        </is>
      </c>
      <c r="I958" s="4" t="n"/>
      <c r="J958" s="4" t="inlineStr">
        <is>
          <t>Jun 1</t>
        </is>
      </c>
      <c r="K958" s="4" t="inlineStr">
        <is>
          <t>150</t>
        </is>
      </c>
      <c r="L958" s="4" t="n"/>
    </row>
    <row r="959">
      <c r="A959" s="4" t="inlineStr">
        <is>
          <t>103</t>
        </is>
      </c>
      <c r="B959" s="4" t="inlineStr">
        <is>
          <t>whitetail</t>
        </is>
      </c>
      <c r="C959" s="4" t="inlineStr">
        <is>
          <t>Deer B License: 199-20</t>
        </is>
      </c>
      <c r="D959" s="15" t="inlineStr">
        <is>
          <t>Drawing</t>
        </is>
      </c>
      <c r="E959" s="4" t="inlineStr">
        <is>
          <t>Either-sex White-tailed Deer</t>
        </is>
      </c>
      <c r="F959" s="4" t="inlineStr">
        <is>
          <t>Sep 05-Oct 18</t>
        </is>
      </c>
      <c r="G959" s="4" t="inlineStr">
        <is>
          <t>Oct 24-Nov 29</t>
        </is>
      </c>
      <c r="H959" s="4" t="inlineStr">
        <is>
          <t>Dec 12-Dec 20</t>
        </is>
      </c>
      <c r="I959" s="4" t="n"/>
      <c r="J959" s="4" t="inlineStr">
        <is>
          <t>Jun 1</t>
        </is>
      </c>
      <c r="K959" s="4" t="inlineStr">
        <is>
          <t>2,000</t>
        </is>
      </c>
      <c r="L959" s="4" t="inlineStr">
        <is>
          <t>Only valid in the Libby CWD Management Zone. 1 per hunter. Mandatory CWD sampling within 10 days of harvest. More information on CWD sample submission on page 4.</t>
        </is>
      </c>
    </row>
    <row r="960">
      <c r="A960" s="4" t="inlineStr">
        <is>
          <t>104</t>
        </is>
      </c>
      <c r="B960" s="4" t="inlineStr">
        <is>
          <t>whitetail</t>
        </is>
      </c>
      <c r="C960" s="4" t="inlineStr">
        <is>
          <t>General Deer License</t>
        </is>
      </c>
      <c r="D960" s="13" t="inlineStr">
        <is>
          <t>General license</t>
        </is>
      </c>
      <c r="E960" s="4" t="inlineStr">
        <is>
          <t>Either-sex White-tailed Deer</t>
        </is>
      </c>
      <c r="F960" s="4" t="inlineStr">
        <is>
          <t>Sep 05-Oct 18</t>
        </is>
      </c>
      <c r="G960" s="4" t="inlineStr">
        <is>
          <t>Oct 24-Oct 30</t>
        </is>
      </c>
      <c r="H960" s="4" t="n"/>
      <c r="I960" s="4" t="n"/>
      <c r="J960" s="4" t="n"/>
      <c r="K960" s="4" t="n"/>
      <c r="L960" s="4" t="n"/>
    </row>
    <row r="961">
      <c r="A961" s="4" t="inlineStr">
        <is>
          <t>104</t>
        </is>
      </c>
      <c r="B961" s="4" t="inlineStr">
        <is>
          <t>whitetail</t>
        </is>
      </c>
      <c r="C961" s="4" t="inlineStr">
        <is>
          <t>General Deer License</t>
        </is>
      </c>
      <c r="D961" s="13" t="inlineStr">
        <is>
          <t>General license</t>
        </is>
      </c>
      <c r="E961" s="4" t="inlineStr">
        <is>
          <t>Antlered Buck White-tailed Deer</t>
        </is>
      </c>
      <c r="F961" s="4" t="n"/>
      <c r="G961" s="4" t="inlineStr">
        <is>
          <t>Oct 31-Nov 29</t>
        </is>
      </c>
      <c r="H961" s="4" t="inlineStr">
        <is>
          <t>Dec 12-Dec 20</t>
        </is>
      </c>
      <c r="I961" s="4" t="n"/>
      <c r="J961" s="4" t="n"/>
      <c r="K961" s="4" t="n"/>
      <c r="L961" s="4" t="n"/>
    </row>
    <row r="962">
      <c r="A962" s="4" t="inlineStr">
        <is>
          <t>104</t>
        </is>
      </c>
      <c r="B962" s="4" t="inlineStr">
        <is>
          <t>whitetail</t>
        </is>
      </c>
      <c r="C962" s="4" t="inlineStr">
        <is>
          <t>General Deer License</t>
        </is>
      </c>
      <c r="D962" s="13" t="inlineStr">
        <is>
          <t>General license</t>
        </is>
      </c>
      <c r="E962" s="4" t="inlineStr">
        <is>
          <t>Either-sex White-tailed Deer</t>
        </is>
      </c>
      <c r="F962" s="4" t="n"/>
      <c r="G962" s="4" t="inlineStr">
        <is>
          <t>Oct 31-Nov 29</t>
        </is>
      </c>
      <c r="H962" s="4" t="inlineStr">
        <is>
          <t>Dec 12-Dec 20</t>
        </is>
      </c>
      <c r="I962" s="4" t="n"/>
      <c r="J962" s="4" t="n"/>
      <c r="K962" s="4" t="n"/>
      <c r="L962" s="4" t="inlineStr">
        <is>
          <t>Only youth ages 10-15 and hunters with a PTHFV.</t>
        </is>
      </c>
    </row>
    <row r="963">
      <c r="A963" s="4" t="inlineStr">
        <is>
          <t>104</t>
        </is>
      </c>
      <c r="B963" s="4" t="inlineStr">
        <is>
          <t>whitetail</t>
        </is>
      </c>
      <c r="C963" s="4" t="inlineStr">
        <is>
          <t>Deer B License: 104-00</t>
        </is>
      </c>
      <c r="D963" s="15" t="inlineStr">
        <is>
          <t>Drawing</t>
        </is>
      </c>
      <c r="E963" s="4" t="inlineStr">
        <is>
          <t>Antlerless White-tailed Deer</t>
        </is>
      </c>
      <c r="F963" s="4" t="inlineStr">
        <is>
          <t>Sep 05-Oct 18</t>
        </is>
      </c>
      <c r="G963" s="4" t="inlineStr">
        <is>
          <t>Oct 24-Nov 29</t>
        </is>
      </c>
      <c r="H963" s="4" t="inlineStr">
        <is>
          <t>Dec 12-Dec 20</t>
        </is>
      </c>
      <c r="I963" s="4" t="n"/>
      <c r="J963" s="4" t="inlineStr">
        <is>
          <t>Jun 1</t>
        </is>
      </c>
      <c r="K963" s="4" t="inlineStr">
        <is>
          <t>100</t>
        </is>
      </c>
      <c r="L963" s="4" t="n"/>
    </row>
    <row r="964">
      <c r="A964" s="4" t="inlineStr">
        <is>
          <t>104</t>
        </is>
      </c>
      <c r="B964" s="4" t="inlineStr">
        <is>
          <t>whitetail</t>
        </is>
      </c>
      <c r="C964" s="4" t="inlineStr">
        <is>
          <t>Deer B License: 199-20</t>
        </is>
      </c>
      <c r="D964" s="15" t="inlineStr">
        <is>
          <t>Drawing</t>
        </is>
      </c>
      <c r="E964" s="4" t="inlineStr">
        <is>
          <t>Either-sex White-tailed Deer</t>
        </is>
      </c>
      <c r="F964" s="4" t="inlineStr">
        <is>
          <t>Sep 05-Oct 18</t>
        </is>
      </c>
      <c r="G964" s="4" t="inlineStr">
        <is>
          <t>Oct 24-Nov 29</t>
        </is>
      </c>
      <c r="H964" s="4" t="inlineStr">
        <is>
          <t>Dec 12-Dec 20</t>
        </is>
      </c>
      <c r="I964" s="4" t="n"/>
      <c r="J964" s="4" t="inlineStr">
        <is>
          <t>Jun 1</t>
        </is>
      </c>
      <c r="K964" s="4" t="inlineStr">
        <is>
          <t>2,000</t>
        </is>
      </c>
      <c r="L964" s="4" t="inlineStr">
        <is>
          <t>Only valid in the Libby CWD Management Zone. 1 per hunter. Mandatory CWD sampling within 10 days of harvest. More information on CWD sample submission on page 4.</t>
        </is>
      </c>
    </row>
    <row r="965">
      <c r="A965" s="4" t="inlineStr">
        <is>
          <t>110</t>
        </is>
      </c>
      <c r="B965" s="4" t="inlineStr">
        <is>
          <t>whitetail</t>
        </is>
      </c>
      <c r="C965" s="4" t="inlineStr">
        <is>
          <t>General Deer License</t>
        </is>
      </c>
      <c r="D965" s="13" t="inlineStr">
        <is>
          <t>General license</t>
        </is>
      </c>
      <c r="E965" s="4" t="inlineStr">
        <is>
          <t>Either-sex White-tailed Deer</t>
        </is>
      </c>
      <c r="F965" s="4" t="inlineStr">
        <is>
          <t>Sep 05-Oct 18</t>
        </is>
      </c>
      <c r="G965" s="4" t="inlineStr">
        <is>
          <t>Oct 24-Oct 30</t>
        </is>
      </c>
      <c r="H965" s="4" t="n"/>
      <c r="I965" s="4" t="n"/>
      <c r="J965" s="4" t="n"/>
      <c r="K965" s="4" t="n"/>
      <c r="L965" s="4" t="n"/>
    </row>
    <row r="966">
      <c r="A966" s="4" t="inlineStr">
        <is>
          <t>110</t>
        </is>
      </c>
      <c r="B966" s="4" t="inlineStr">
        <is>
          <t>whitetail</t>
        </is>
      </c>
      <c r="C966" s="4" t="inlineStr">
        <is>
          <t>General Deer License</t>
        </is>
      </c>
      <c r="D966" s="13" t="inlineStr">
        <is>
          <t>General license</t>
        </is>
      </c>
      <c r="E966" s="4" t="inlineStr">
        <is>
          <t>Antlered Buck White-tailed Deer</t>
        </is>
      </c>
      <c r="F966" s="4" t="n"/>
      <c r="G966" s="4" t="inlineStr">
        <is>
          <t>Oct 31-Nov 29</t>
        </is>
      </c>
      <c r="H966" s="4" t="inlineStr">
        <is>
          <t>Dec 12-Dec 20</t>
        </is>
      </c>
      <c r="I966" s="4" t="n"/>
      <c r="J966" s="4" t="n"/>
      <c r="K966" s="4" t="n"/>
      <c r="L966" s="4" t="n"/>
    </row>
    <row r="967">
      <c r="A967" s="4" t="inlineStr">
        <is>
          <t>110</t>
        </is>
      </c>
      <c r="B967" s="4" t="inlineStr">
        <is>
          <t>whitetail</t>
        </is>
      </c>
      <c r="C967" s="4" t="inlineStr">
        <is>
          <t>General Deer License</t>
        </is>
      </c>
      <c r="D967" s="13" t="inlineStr">
        <is>
          <t>General license</t>
        </is>
      </c>
      <c r="E967" s="4" t="inlineStr">
        <is>
          <t>Either-sex White-tailed Deer</t>
        </is>
      </c>
      <c r="F967" s="4" t="n"/>
      <c r="G967" s="4" t="inlineStr">
        <is>
          <t>Oct 31-Nov 29</t>
        </is>
      </c>
      <c r="H967" s="4" t="inlineStr">
        <is>
          <t>Dec 12-Dec 20</t>
        </is>
      </c>
      <c r="I967" s="4" t="n"/>
      <c r="J967" s="4" t="n"/>
      <c r="K967" s="4" t="n"/>
      <c r="L967" s="4" t="inlineStr">
        <is>
          <t>Only youth ages 10-15 and hunters with a PTHFV.</t>
        </is>
      </c>
    </row>
    <row r="968">
      <c r="A968" s="4" t="inlineStr">
        <is>
          <t>110</t>
        </is>
      </c>
      <c r="B968" s="4" t="inlineStr">
        <is>
          <t>whitetail</t>
        </is>
      </c>
      <c r="C968" s="4" t="inlineStr">
        <is>
          <t>Deer B License: 110-00</t>
        </is>
      </c>
      <c r="D968" s="15" t="inlineStr">
        <is>
          <t>Drawing</t>
        </is>
      </c>
      <c r="E968" s="4" t="inlineStr">
        <is>
          <t>Antlerless White-tailed Deer</t>
        </is>
      </c>
      <c r="F968" s="4" t="inlineStr">
        <is>
          <t>Sep 05-Oct 18</t>
        </is>
      </c>
      <c r="G968" s="4" t="inlineStr">
        <is>
          <t>Oct 24-Nov 29</t>
        </is>
      </c>
      <c r="H968" s="4" t="inlineStr">
        <is>
          <t>Dec 12-Dec 20</t>
        </is>
      </c>
      <c r="I968" s="4" t="n"/>
      <c r="J968" s="4" t="inlineStr">
        <is>
          <t>Jun 1</t>
        </is>
      </c>
      <c r="K968" s="4" t="inlineStr">
        <is>
          <t>100</t>
        </is>
      </c>
      <c r="L968" s="4" t="inlineStr">
        <is>
          <t>Only valid on private land.</t>
        </is>
      </c>
    </row>
    <row r="969">
      <c r="A969" s="4" t="inlineStr">
        <is>
          <t>120</t>
        </is>
      </c>
      <c r="B969" s="4" t="inlineStr">
        <is>
          <t>whitetail</t>
        </is>
      </c>
      <c r="C969" s="4" t="inlineStr">
        <is>
          <t>General Deer License</t>
        </is>
      </c>
      <c r="D969" s="13" t="inlineStr">
        <is>
          <t>General license</t>
        </is>
      </c>
      <c r="E969" s="4" t="inlineStr">
        <is>
          <t>Either-sex White-tailed Deer</t>
        </is>
      </c>
      <c r="F969" s="4" t="inlineStr">
        <is>
          <t>Sep 05-Oct 18</t>
        </is>
      </c>
      <c r="G969" s="4" t="inlineStr">
        <is>
          <t>Oct 24-Oct 30</t>
        </is>
      </c>
      <c r="H969" s="4" t="n"/>
      <c r="I969" s="4" t="n"/>
      <c r="J969" s="4" t="n"/>
      <c r="K969" s="4" t="n"/>
      <c r="L969" s="4" t="n"/>
    </row>
    <row r="970">
      <c r="A970" s="4" t="inlineStr">
        <is>
          <t>120</t>
        </is>
      </c>
      <c r="B970" s="4" t="inlineStr">
        <is>
          <t>whitetail</t>
        </is>
      </c>
      <c r="C970" s="4" t="inlineStr">
        <is>
          <t>General Deer License</t>
        </is>
      </c>
      <c r="D970" s="13" t="inlineStr">
        <is>
          <t>General license</t>
        </is>
      </c>
      <c r="E970" s="4" t="inlineStr">
        <is>
          <t>Antlered Buck White-tailed Deer</t>
        </is>
      </c>
      <c r="F970" s="4" t="n"/>
      <c r="G970" s="4" t="inlineStr">
        <is>
          <t>Oct 31-Nov 29</t>
        </is>
      </c>
      <c r="H970" s="4" t="inlineStr">
        <is>
          <t>Dec 12-Dec 20</t>
        </is>
      </c>
      <c r="I970" s="4" t="n"/>
      <c r="J970" s="4" t="n"/>
      <c r="K970" s="4" t="n"/>
      <c r="L970" s="4" t="n"/>
    </row>
    <row r="971">
      <c r="A971" s="4" t="inlineStr">
        <is>
          <t>120</t>
        </is>
      </c>
      <c r="B971" s="4" t="inlineStr">
        <is>
          <t>whitetail</t>
        </is>
      </c>
      <c r="C971" s="4" t="inlineStr">
        <is>
          <t>General Deer License</t>
        </is>
      </c>
      <c r="D971" s="13" t="inlineStr">
        <is>
          <t>General license</t>
        </is>
      </c>
      <c r="E971" s="4" t="inlineStr">
        <is>
          <t>Either-sex White-tailed Deer</t>
        </is>
      </c>
      <c r="F971" s="4" t="n"/>
      <c r="G971" s="4" t="inlineStr">
        <is>
          <t>Oct 31-Nov 29</t>
        </is>
      </c>
      <c r="H971" s="4" t="inlineStr">
        <is>
          <t>Dec 12-Dec 20</t>
        </is>
      </c>
      <c r="I971" s="4" t="n"/>
      <c r="J971" s="4" t="n"/>
      <c r="K971" s="4" t="n"/>
      <c r="L971" s="4" t="inlineStr">
        <is>
          <t>Only youth ages 10-15 and hunters with a PTHFV.</t>
        </is>
      </c>
    </row>
    <row r="972">
      <c r="A972" s="4" t="inlineStr">
        <is>
          <t>120</t>
        </is>
      </c>
      <c r="B972" s="4" t="inlineStr">
        <is>
          <t>whitetail</t>
        </is>
      </c>
      <c r="C972" s="4" t="inlineStr">
        <is>
          <t>Deer B License: 120-00</t>
        </is>
      </c>
      <c r="D972" s="15" t="inlineStr">
        <is>
          <t>Drawing</t>
        </is>
      </c>
      <c r="E972" s="4" t="inlineStr">
        <is>
          <t>Antlerless White-tailed Deer</t>
        </is>
      </c>
      <c r="F972" s="4" t="inlineStr">
        <is>
          <t>Sep 05-Oct 18</t>
        </is>
      </c>
      <c r="G972" s="4" t="inlineStr">
        <is>
          <t>Oct 24-Nov 29</t>
        </is>
      </c>
      <c r="H972" s="4" t="inlineStr">
        <is>
          <t>Dec 12-Dec 20</t>
        </is>
      </c>
      <c r="I972" s="4" t="n"/>
      <c r="J972" s="4" t="inlineStr">
        <is>
          <t>Jun 1</t>
        </is>
      </c>
      <c r="K972" s="4" t="inlineStr">
        <is>
          <t>75</t>
        </is>
      </c>
      <c r="L972" s="4" t="n"/>
    </row>
    <row r="973">
      <c r="A973" s="4" t="inlineStr">
        <is>
          <t>121</t>
        </is>
      </c>
      <c r="B973" s="4" t="inlineStr">
        <is>
          <t>whitetail</t>
        </is>
      </c>
      <c r="C973" s="4" t="inlineStr">
        <is>
          <t>General Deer License</t>
        </is>
      </c>
      <c r="D973" s="13" t="inlineStr">
        <is>
          <t>General license</t>
        </is>
      </c>
      <c r="E973" s="4" t="inlineStr">
        <is>
          <t>Either-sex White-tailed Deer</t>
        </is>
      </c>
      <c r="F973" s="4" t="inlineStr">
        <is>
          <t>Sep 05-Oct 18</t>
        </is>
      </c>
      <c r="G973" s="4" t="inlineStr">
        <is>
          <t>Oct 24-Oct 30</t>
        </is>
      </c>
      <c r="H973" s="4" t="n"/>
      <c r="I973" s="4" t="n"/>
      <c r="J973" s="4" t="n"/>
      <c r="K973" s="4" t="n"/>
      <c r="L973" s="4" t="n"/>
    </row>
    <row r="974">
      <c r="A974" s="4" t="inlineStr">
        <is>
          <t>121</t>
        </is>
      </c>
      <c r="B974" s="4" t="inlineStr">
        <is>
          <t>whitetail</t>
        </is>
      </c>
      <c r="C974" s="4" t="inlineStr">
        <is>
          <t>General Deer License</t>
        </is>
      </c>
      <c r="D974" s="13" t="inlineStr">
        <is>
          <t>General license</t>
        </is>
      </c>
      <c r="E974" s="4" t="inlineStr">
        <is>
          <t>Antlered Buck White-tailed Deer</t>
        </is>
      </c>
      <c r="F974" s="4" t="n"/>
      <c r="G974" s="4" t="inlineStr">
        <is>
          <t>Oct 31-Nov 29</t>
        </is>
      </c>
      <c r="H974" s="4" t="inlineStr">
        <is>
          <t>Dec 12-Dec 20</t>
        </is>
      </c>
      <c r="I974" s="4" t="n"/>
      <c r="J974" s="4" t="n"/>
      <c r="K974" s="4" t="n"/>
      <c r="L974" s="4" t="n"/>
    </row>
    <row r="975">
      <c r="A975" s="4" t="inlineStr">
        <is>
          <t>121</t>
        </is>
      </c>
      <c r="B975" s="4" t="inlineStr">
        <is>
          <t>whitetail</t>
        </is>
      </c>
      <c r="C975" s="4" t="inlineStr">
        <is>
          <t>General Deer License</t>
        </is>
      </c>
      <c r="D975" s="13" t="inlineStr">
        <is>
          <t>General license</t>
        </is>
      </c>
      <c r="E975" s="4" t="inlineStr">
        <is>
          <t>Either-sex White-tailed Deer</t>
        </is>
      </c>
      <c r="F975" s="4" t="n"/>
      <c r="G975" s="4" t="inlineStr">
        <is>
          <t>Oct 31-Nov 29</t>
        </is>
      </c>
      <c r="H975" s="4" t="inlineStr">
        <is>
          <t>Dec 12-Dec 20</t>
        </is>
      </c>
      <c r="I975" s="4" t="n"/>
      <c r="J975" s="4" t="n"/>
      <c r="K975" s="4" t="n"/>
      <c r="L975" s="4" t="inlineStr">
        <is>
          <t>Only youth ages 10-15 and hunters with a PTHFV.</t>
        </is>
      </c>
    </row>
    <row r="976">
      <c r="A976" s="4" t="inlineStr">
        <is>
          <t>121</t>
        </is>
      </c>
      <c r="B976" s="4" t="inlineStr">
        <is>
          <t>whitetail</t>
        </is>
      </c>
      <c r="C976" s="4" t="inlineStr">
        <is>
          <t>Deer B License: 121-00</t>
        </is>
      </c>
      <c r="D976" s="15" t="inlineStr">
        <is>
          <t>Drawing</t>
        </is>
      </c>
      <c r="E976" s="4" t="inlineStr">
        <is>
          <t>Antlerless White-tailed Deer</t>
        </is>
      </c>
      <c r="F976" s="4" t="inlineStr">
        <is>
          <t>Sep 05-Oct 18</t>
        </is>
      </c>
      <c r="G976" s="4" t="inlineStr">
        <is>
          <t>Oct 24-Nov 29</t>
        </is>
      </c>
      <c r="H976" s="4" t="inlineStr">
        <is>
          <t>Dec 12-Dec 20</t>
        </is>
      </c>
      <c r="I976" s="4" t="n"/>
      <c r="J976" s="4" t="inlineStr">
        <is>
          <t>Jun 1</t>
        </is>
      </c>
      <c r="K976" s="4" t="inlineStr">
        <is>
          <t>150</t>
        </is>
      </c>
      <c r="L976" s="4" t="n"/>
    </row>
    <row r="977">
      <c r="A977" s="4" t="inlineStr">
        <is>
          <t>122</t>
        </is>
      </c>
      <c r="B977" s="4" t="inlineStr">
        <is>
          <t>whitetail</t>
        </is>
      </c>
      <c r="C977" s="4" t="inlineStr">
        <is>
          <t>General Deer License</t>
        </is>
      </c>
      <c r="D977" s="13" t="inlineStr">
        <is>
          <t>General license</t>
        </is>
      </c>
      <c r="E977" s="4" t="inlineStr">
        <is>
          <t>Either-sex White-tailed Deer</t>
        </is>
      </c>
      <c r="F977" s="4" t="inlineStr">
        <is>
          <t>Sep 05-Oct 18</t>
        </is>
      </c>
      <c r="G977" s="4" t="inlineStr">
        <is>
          <t>Oct 24-Oct 30</t>
        </is>
      </c>
      <c r="H977" s="4" t="n"/>
      <c r="I977" s="4" t="n"/>
      <c r="J977" s="4" t="n"/>
      <c r="K977" s="4" t="n"/>
      <c r="L977" s="4" t="n"/>
    </row>
    <row r="978">
      <c r="A978" s="4" t="inlineStr">
        <is>
          <t>122</t>
        </is>
      </c>
      <c r="B978" s="4" t="inlineStr">
        <is>
          <t>whitetail</t>
        </is>
      </c>
      <c r="C978" s="4" t="inlineStr">
        <is>
          <t>General Deer License</t>
        </is>
      </c>
      <c r="D978" s="13" t="inlineStr">
        <is>
          <t>General license</t>
        </is>
      </c>
      <c r="E978" s="4" t="inlineStr">
        <is>
          <t>Antlered Buck White-tailed Deer</t>
        </is>
      </c>
      <c r="F978" s="4" t="n"/>
      <c r="G978" s="4" t="inlineStr">
        <is>
          <t>Oct 31-Nov 29</t>
        </is>
      </c>
      <c r="H978" s="4" t="inlineStr">
        <is>
          <t>Dec 12-Dec 20</t>
        </is>
      </c>
      <c r="I978" s="4" t="n"/>
      <c r="J978" s="4" t="n"/>
      <c r="K978" s="4" t="n"/>
      <c r="L978" s="4" t="n"/>
    </row>
    <row r="979">
      <c r="A979" s="4" t="inlineStr">
        <is>
          <t>122</t>
        </is>
      </c>
      <c r="B979" s="4" t="inlineStr">
        <is>
          <t>whitetail</t>
        </is>
      </c>
      <c r="C979" s="4" t="inlineStr">
        <is>
          <t>General Deer License</t>
        </is>
      </c>
      <c r="D979" s="13" t="inlineStr">
        <is>
          <t>General license</t>
        </is>
      </c>
      <c r="E979" s="4" t="inlineStr">
        <is>
          <t>Either-sex White-tailed Deer</t>
        </is>
      </c>
      <c r="F979" s="4" t="n"/>
      <c r="G979" s="4" t="inlineStr">
        <is>
          <t>Oct 31-Nov 29</t>
        </is>
      </c>
      <c r="H979" s="4" t="inlineStr">
        <is>
          <t>Dec 12-Dec 20</t>
        </is>
      </c>
      <c r="I979" s="4" t="n"/>
      <c r="J979" s="4" t="n"/>
      <c r="K979" s="4" t="n"/>
      <c r="L979" s="4" t="inlineStr">
        <is>
          <t>Only youth ages 10-15 and hunters with a PTHFV.</t>
        </is>
      </c>
    </row>
    <row r="980">
      <c r="A980" s="4" t="inlineStr">
        <is>
          <t>122</t>
        </is>
      </c>
      <c r="B980" s="4" t="inlineStr">
        <is>
          <t>whitetail</t>
        </is>
      </c>
      <c r="C980" s="4" t="inlineStr">
        <is>
          <t>Deer B License: 122-00</t>
        </is>
      </c>
      <c r="D980" s="15" t="inlineStr">
        <is>
          <t>Drawing</t>
        </is>
      </c>
      <c r="E980" s="4" t="inlineStr">
        <is>
          <t>Antlerless White-tailed Deer</t>
        </is>
      </c>
      <c r="F980" s="4" t="inlineStr">
        <is>
          <t>Sep 05-Oct 18</t>
        </is>
      </c>
      <c r="G980" s="4" t="inlineStr">
        <is>
          <t>Oct 24-Nov 29</t>
        </is>
      </c>
      <c r="H980" s="4" t="inlineStr">
        <is>
          <t>Dec 12-Dec 20</t>
        </is>
      </c>
      <c r="I980" s="4" t="n"/>
      <c r="J980" s="4" t="inlineStr">
        <is>
          <t>Jun 1</t>
        </is>
      </c>
      <c r="K980" s="4" t="inlineStr">
        <is>
          <t>100</t>
        </is>
      </c>
      <c r="L980" s="4" t="n"/>
    </row>
    <row r="981">
      <c r="A981" s="4" t="inlineStr">
        <is>
          <t>123</t>
        </is>
      </c>
      <c r="B981" s="4" t="inlineStr">
        <is>
          <t>whitetail</t>
        </is>
      </c>
      <c r="C981" s="4" t="inlineStr">
        <is>
          <t>General Deer License</t>
        </is>
      </c>
      <c r="D981" s="13" t="inlineStr">
        <is>
          <t>General license</t>
        </is>
      </c>
      <c r="E981" s="4" t="inlineStr">
        <is>
          <t>Either-sex White-tailed Deer</t>
        </is>
      </c>
      <c r="F981" s="4" t="inlineStr">
        <is>
          <t>Sep 05-Oct 18</t>
        </is>
      </c>
      <c r="G981" s="4" t="inlineStr">
        <is>
          <t>Oct 24-Oct 30</t>
        </is>
      </c>
      <c r="H981" s="4" t="n"/>
      <c r="I981" s="4" t="n"/>
      <c r="J981" s="4" t="n"/>
      <c r="K981" s="4" t="n"/>
      <c r="L981" s="4" t="n"/>
    </row>
    <row r="982">
      <c r="A982" s="4" t="inlineStr">
        <is>
          <t>123</t>
        </is>
      </c>
      <c r="B982" s="4" t="inlineStr">
        <is>
          <t>whitetail</t>
        </is>
      </c>
      <c r="C982" s="4" t="inlineStr">
        <is>
          <t>General Deer License</t>
        </is>
      </c>
      <c r="D982" s="13" t="inlineStr">
        <is>
          <t>General license</t>
        </is>
      </c>
      <c r="E982" s="4" t="inlineStr">
        <is>
          <t>Either-sex White-tailed Deer</t>
        </is>
      </c>
      <c r="F982" s="4" t="n"/>
      <c r="G982" s="4" t="inlineStr">
        <is>
          <t>Oct 24-Nov 29</t>
        </is>
      </c>
      <c r="H982" s="4" t="inlineStr">
        <is>
          <t>Dec 12-Dec 20</t>
        </is>
      </c>
      <c r="I982" s="4" t="n"/>
      <c r="J982" s="4" t="n"/>
      <c r="K982" s="4" t="n"/>
      <c r="L982" s="4" t="inlineStr">
        <is>
          <t>Only youth ages 10-15 and hunters with a PTHFV.</t>
        </is>
      </c>
    </row>
    <row r="983">
      <c r="A983" s="4" t="inlineStr">
        <is>
          <t>123</t>
        </is>
      </c>
      <c r="B983" s="4" t="inlineStr">
        <is>
          <t>whitetail</t>
        </is>
      </c>
      <c r="C983" s="4" t="inlineStr">
        <is>
          <t>General Deer License</t>
        </is>
      </c>
      <c r="D983" s="13" t="inlineStr">
        <is>
          <t>General license</t>
        </is>
      </c>
      <c r="E983" s="4" t="inlineStr">
        <is>
          <t>Antlered Buck White-tailed Deer</t>
        </is>
      </c>
      <c r="F983" s="4" t="n"/>
      <c r="G983" s="4" t="inlineStr">
        <is>
          <t>Oct 31-Nov 29</t>
        </is>
      </c>
      <c r="H983" s="4" t="inlineStr">
        <is>
          <t>Dec 12-Dec 20</t>
        </is>
      </c>
      <c r="I983" s="4" t="n"/>
      <c r="J983" s="4" t="n"/>
      <c r="K983" s="4" t="n"/>
      <c r="L983" s="4" t="n"/>
    </row>
    <row r="984">
      <c r="A984" s="4" t="inlineStr">
        <is>
          <t>123</t>
        </is>
      </c>
      <c r="B984" s="4" t="inlineStr">
        <is>
          <t>whitetail</t>
        </is>
      </c>
      <c r="C984" s="4" t="inlineStr">
        <is>
          <t>Deer B License: 123-00</t>
        </is>
      </c>
      <c r="D984" s="15" t="inlineStr">
        <is>
          <t>Drawing</t>
        </is>
      </c>
      <c r="E984" s="4" t="inlineStr">
        <is>
          <t>Antlerless White-tailed Deer</t>
        </is>
      </c>
      <c r="F984" s="4" t="inlineStr">
        <is>
          <t>Sep 05-Oct 18</t>
        </is>
      </c>
      <c r="G984" s="4" t="inlineStr">
        <is>
          <t>Oct 24-Nov 29</t>
        </is>
      </c>
      <c r="H984" s="4" t="inlineStr">
        <is>
          <t>Dec 12-Dec 20</t>
        </is>
      </c>
      <c r="I984" s="4" t="n"/>
      <c r="J984" s="4" t="inlineStr">
        <is>
          <t>Jun 1</t>
        </is>
      </c>
      <c r="K984" s="4" t="inlineStr">
        <is>
          <t>25</t>
        </is>
      </c>
      <c r="L984" s="4" t="n"/>
    </row>
    <row r="985">
      <c r="A985" s="4" t="inlineStr">
        <is>
          <t>124</t>
        </is>
      </c>
      <c r="B985" s="4" t="inlineStr">
        <is>
          <t>whitetail</t>
        </is>
      </c>
      <c r="C985" s="4" t="inlineStr">
        <is>
          <t>General Deer License</t>
        </is>
      </c>
      <c r="D985" s="13" t="inlineStr">
        <is>
          <t>General license</t>
        </is>
      </c>
      <c r="E985" s="4" t="inlineStr">
        <is>
          <t>Either-sex White-tailed Deer</t>
        </is>
      </c>
      <c r="F985" s="4" t="inlineStr">
        <is>
          <t>Sep 05-Oct 18</t>
        </is>
      </c>
      <c r="G985" s="4" t="inlineStr">
        <is>
          <t>Oct 24-Oct 30</t>
        </is>
      </c>
      <c r="H985" s="4" t="n"/>
      <c r="I985" s="4" t="n"/>
      <c r="J985" s="4" t="n"/>
      <c r="K985" s="4" t="n"/>
      <c r="L985" s="4" t="n"/>
    </row>
    <row r="986">
      <c r="A986" s="4" t="inlineStr">
        <is>
          <t>124</t>
        </is>
      </c>
      <c r="B986" s="4" t="inlineStr">
        <is>
          <t>whitetail</t>
        </is>
      </c>
      <c r="C986" s="4" t="inlineStr">
        <is>
          <t>General Deer License</t>
        </is>
      </c>
      <c r="D986" s="13" t="inlineStr">
        <is>
          <t>General license</t>
        </is>
      </c>
      <c r="E986" s="4" t="inlineStr">
        <is>
          <t>Antlered Buck White-tailed Deer</t>
        </is>
      </c>
      <c r="F986" s="4" t="n"/>
      <c r="G986" s="4" t="inlineStr">
        <is>
          <t>Oct 31-Nov 29</t>
        </is>
      </c>
      <c r="H986" s="4" t="inlineStr">
        <is>
          <t>Dec 12-Dec 20</t>
        </is>
      </c>
      <c r="I986" s="4" t="n"/>
      <c r="J986" s="4" t="n"/>
      <c r="K986" s="4" t="n"/>
      <c r="L986" s="4" t="n"/>
    </row>
    <row r="987">
      <c r="A987" s="4" t="inlineStr">
        <is>
          <t>124</t>
        </is>
      </c>
      <c r="B987" s="4" t="inlineStr">
        <is>
          <t>whitetail</t>
        </is>
      </c>
      <c r="C987" s="4" t="inlineStr">
        <is>
          <t>General Deer License</t>
        </is>
      </c>
      <c r="D987" s="13" t="inlineStr">
        <is>
          <t>General license</t>
        </is>
      </c>
      <c r="E987" s="4" t="inlineStr">
        <is>
          <t>Either-sex White-tailed Deer</t>
        </is>
      </c>
      <c r="F987" s="4" t="n"/>
      <c r="G987" s="4" t="inlineStr">
        <is>
          <t>Oct 31-Nov 29</t>
        </is>
      </c>
      <c r="H987" s="4" t="inlineStr">
        <is>
          <t>Dec 12-Dec 20</t>
        </is>
      </c>
      <c r="I987" s="4" t="n"/>
      <c r="J987" s="4" t="n"/>
      <c r="K987" s="4" t="n"/>
      <c r="L987" s="4" t="inlineStr">
        <is>
          <t>Only youth ages 10-15 and hunters with a PTHFV.</t>
        </is>
      </c>
    </row>
    <row r="988">
      <c r="A988" s="4" t="inlineStr">
        <is>
          <t>124</t>
        </is>
      </c>
      <c r="B988" s="4" t="inlineStr">
        <is>
          <t>whitetail</t>
        </is>
      </c>
      <c r="C988" s="4" t="inlineStr">
        <is>
          <t>Deer B License: 124-00</t>
        </is>
      </c>
      <c r="D988" s="15" t="inlineStr">
        <is>
          <t>Drawing</t>
        </is>
      </c>
      <c r="E988" s="4" t="inlineStr">
        <is>
          <t>Antlerless White-tailed Deer</t>
        </is>
      </c>
      <c r="F988" s="4" t="inlineStr">
        <is>
          <t>Sep 05-Oct 18</t>
        </is>
      </c>
      <c r="G988" s="4" t="inlineStr">
        <is>
          <t>Oct 24-Nov 29</t>
        </is>
      </c>
      <c r="H988" s="4" t="inlineStr">
        <is>
          <t>Dec 12-Dec 20</t>
        </is>
      </c>
      <c r="I988" s="4" t="n"/>
      <c r="J988" s="4" t="inlineStr">
        <is>
          <t>Jun 1</t>
        </is>
      </c>
      <c r="K988" s="4" t="inlineStr">
        <is>
          <t>25</t>
        </is>
      </c>
      <c r="L988" s="4" t="n"/>
    </row>
    <row r="989">
      <c r="A989" s="4" t="inlineStr">
        <is>
          <t>130</t>
        </is>
      </c>
      <c r="B989" s="4" t="inlineStr">
        <is>
          <t>whitetail</t>
        </is>
      </c>
      <c r="C989" s="4" t="inlineStr">
        <is>
          <t>General Deer License</t>
        </is>
      </c>
      <c r="D989" s="13" t="inlineStr">
        <is>
          <t>General license</t>
        </is>
      </c>
      <c r="E989" s="4" t="inlineStr">
        <is>
          <t>Either-sex White-tailed Deer</t>
        </is>
      </c>
      <c r="F989" s="4" t="inlineStr">
        <is>
          <t>Sep 05-Oct 18</t>
        </is>
      </c>
      <c r="G989" s="4" t="n"/>
      <c r="H989" s="4" t="n"/>
      <c r="I989" s="4" t="n"/>
      <c r="J989" s="4" t="n"/>
      <c r="K989" s="4" t="n"/>
      <c r="L989" s="4" t="n"/>
    </row>
    <row r="990">
      <c r="A990" s="4" t="inlineStr">
        <is>
          <t>130</t>
        </is>
      </c>
      <c r="B990" s="4" t="inlineStr">
        <is>
          <t>whitetail</t>
        </is>
      </c>
      <c r="C990" s="4" t="inlineStr">
        <is>
          <t>General Deer License</t>
        </is>
      </c>
      <c r="D990" s="13" t="inlineStr">
        <is>
          <t>General license</t>
        </is>
      </c>
      <c r="E990" s="4" t="inlineStr">
        <is>
          <t>Antlered Buck White-tailed Deer</t>
        </is>
      </c>
      <c r="F990" s="4" t="n"/>
      <c r="G990" s="4" t="inlineStr">
        <is>
          <t>Oct 24-Nov 29</t>
        </is>
      </c>
      <c r="H990" s="4" t="inlineStr">
        <is>
          <t>Dec 12-Dec 20</t>
        </is>
      </c>
      <c r="I990" s="4" t="n"/>
      <c r="J990" s="4" t="n"/>
      <c r="K990" s="4" t="n"/>
      <c r="L990" s="4" t="n"/>
    </row>
    <row r="991">
      <c r="A991" s="4" t="inlineStr">
        <is>
          <t>130</t>
        </is>
      </c>
      <c r="B991" s="4" t="inlineStr">
        <is>
          <t>whitetail</t>
        </is>
      </c>
      <c r="C991" s="4" t="inlineStr">
        <is>
          <t>General Deer License</t>
        </is>
      </c>
      <c r="D991" s="13" t="inlineStr">
        <is>
          <t>General license</t>
        </is>
      </c>
      <c r="E991" s="4" t="inlineStr">
        <is>
          <t>Either-sex White-tailed Deer</t>
        </is>
      </c>
      <c r="F991" s="4" t="n"/>
      <c r="G991" s="4" t="inlineStr">
        <is>
          <t>Oct 24-Nov 29</t>
        </is>
      </c>
      <c r="H991" s="4" t="inlineStr">
        <is>
          <t>Dec 12-Dec 20</t>
        </is>
      </c>
      <c r="I991" s="4" t="n"/>
      <c r="J991" s="4" t="n"/>
      <c r="K991" s="4" t="n"/>
      <c r="L991" s="4" t="inlineStr">
        <is>
          <t>Only youth ages 10-15 and hunters with a PTHFV.</t>
        </is>
      </c>
    </row>
    <row r="992">
      <c r="A992" s="4" t="inlineStr">
        <is>
          <t>130</t>
        </is>
      </c>
      <c r="B992" s="4" t="inlineStr">
        <is>
          <t>whitetail</t>
        </is>
      </c>
      <c r="C992" s="4" t="inlineStr">
        <is>
          <t>Deer B License: 130-00</t>
        </is>
      </c>
      <c r="D992" s="15" t="inlineStr">
        <is>
          <t>Drawing</t>
        </is>
      </c>
      <c r="E992" s="4" t="inlineStr">
        <is>
          <t>Antlerless White-tailed Deer</t>
        </is>
      </c>
      <c r="F992" s="4" t="inlineStr">
        <is>
          <t>Sep 05-Oct 18</t>
        </is>
      </c>
      <c r="G992" s="4" t="inlineStr">
        <is>
          <t>Oct 24-Nov 29</t>
        </is>
      </c>
      <c r="H992" s="4" t="inlineStr">
        <is>
          <t>Dec 12-Dec 20</t>
        </is>
      </c>
      <c r="I992" s="4" t="n"/>
      <c r="J992" s="4" t="inlineStr">
        <is>
          <t>Jun 1</t>
        </is>
      </c>
      <c r="K992" s="4" t="inlineStr">
        <is>
          <t>50</t>
        </is>
      </c>
      <c r="L992" s="4" t="n"/>
    </row>
    <row r="993">
      <c r="A993" s="4" t="inlineStr">
        <is>
          <t>140</t>
        </is>
      </c>
      <c r="B993" s="4" t="inlineStr">
        <is>
          <t>whitetail</t>
        </is>
      </c>
      <c r="C993" s="4" t="inlineStr">
        <is>
          <t>General Deer License</t>
        </is>
      </c>
      <c r="D993" s="13" t="inlineStr">
        <is>
          <t>General license</t>
        </is>
      </c>
      <c r="E993" s="4" t="inlineStr">
        <is>
          <t>Either-sex White-tailed Deer</t>
        </is>
      </c>
      <c r="F993" s="4" t="inlineStr">
        <is>
          <t>Sep 05-Oct 18</t>
        </is>
      </c>
      <c r="G993" s="4" t="inlineStr">
        <is>
          <t>Oct 24-Oct 30</t>
        </is>
      </c>
      <c r="H993" s="4" t="n"/>
      <c r="I993" s="4" t="n"/>
      <c r="J993" s="4" t="n"/>
      <c r="K993" s="4" t="n"/>
      <c r="L993" s="4" t="n"/>
    </row>
    <row r="994">
      <c r="A994" s="4" t="inlineStr">
        <is>
          <t>140</t>
        </is>
      </c>
      <c r="B994" s="4" t="inlineStr">
        <is>
          <t>whitetail</t>
        </is>
      </c>
      <c r="C994" s="4" t="inlineStr">
        <is>
          <t>General Deer License</t>
        </is>
      </c>
      <c r="D994" s="13" t="inlineStr">
        <is>
          <t>General license</t>
        </is>
      </c>
      <c r="E994" s="4" t="inlineStr">
        <is>
          <t>Antlered Buck White-tailed Deer</t>
        </is>
      </c>
      <c r="F994" s="4" t="n"/>
      <c r="G994" s="4" t="inlineStr">
        <is>
          <t>Oct 31-Nov 29</t>
        </is>
      </c>
      <c r="H994" s="4" t="inlineStr">
        <is>
          <t>Dec 12-Dec 20</t>
        </is>
      </c>
      <c r="I994" s="4" t="n"/>
      <c r="J994" s="4" t="n"/>
      <c r="K994" s="4" t="n"/>
      <c r="L994" s="4" t="n"/>
    </row>
    <row r="995">
      <c r="A995" s="4" t="inlineStr">
        <is>
          <t>140</t>
        </is>
      </c>
      <c r="B995" s="4" t="inlineStr">
        <is>
          <t>whitetail</t>
        </is>
      </c>
      <c r="C995" s="4" t="inlineStr">
        <is>
          <t>General Deer License</t>
        </is>
      </c>
      <c r="D995" s="13" t="inlineStr">
        <is>
          <t>General license</t>
        </is>
      </c>
      <c r="E995" s="4" t="inlineStr">
        <is>
          <t>Either-sex White-tailed Deer</t>
        </is>
      </c>
      <c r="F995" s="4" t="n"/>
      <c r="G995" s="4" t="inlineStr">
        <is>
          <t>Oct 31-Nov 29</t>
        </is>
      </c>
      <c r="H995" s="4" t="inlineStr">
        <is>
          <t>Dec 12-Dec 20</t>
        </is>
      </c>
      <c r="I995" s="4" t="n"/>
      <c r="J995" s="4" t="n"/>
      <c r="K995" s="4" t="n"/>
      <c r="L995" s="4" t="inlineStr">
        <is>
          <t>Only youth ages 10-15.</t>
        </is>
      </c>
    </row>
    <row r="996">
      <c r="A996" s="4" t="inlineStr">
        <is>
          <t>141</t>
        </is>
      </c>
      <c r="B996" s="4" t="inlineStr">
        <is>
          <t>whitetail</t>
        </is>
      </c>
      <c r="C996" s="4" t="inlineStr">
        <is>
          <t>General Deer License</t>
        </is>
      </c>
      <c r="D996" s="13" t="inlineStr">
        <is>
          <t>General license</t>
        </is>
      </c>
      <c r="E996" s="4" t="inlineStr">
        <is>
          <t>Either-sex White-tailed Deer</t>
        </is>
      </c>
      <c r="F996" s="4" t="inlineStr">
        <is>
          <t>Sep 05-Oct 18</t>
        </is>
      </c>
      <c r="G996" s="4" t="inlineStr">
        <is>
          <t>Oct 24-Oct 30</t>
        </is>
      </c>
      <c r="H996" s="4" t="n"/>
      <c r="I996" s="4" t="n"/>
      <c r="J996" s="4" t="n"/>
      <c r="K996" s="4" t="n"/>
      <c r="L996" s="4" t="n"/>
    </row>
    <row r="997">
      <c r="A997" s="4" t="inlineStr">
        <is>
          <t>141</t>
        </is>
      </c>
      <c r="B997" s="4" t="inlineStr">
        <is>
          <t>whitetail</t>
        </is>
      </c>
      <c r="C997" s="4" t="inlineStr">
        <is>
          <t>General Deer License</t>
        </is>
      </c>
      <c r="D997" s="13" t="inlineStr">
        <is>
          <t>General license</t>
        </is>
      </c>
      <c r="E997" s="4" t="inlineStr">
        <is>
          <t>Either-sex White-tailed Deer</t>
        </is>
      </c>
      <c r="F997" s="4" t="n"/>
      <c r="G997" s="4" t="inlineStr">
        <is>
          <t>Oct 31-Nov 29</t>
        </is>
      </c>
      <c r="H997" s="4" t="inlineStr">
        <is>
          <t>Dec 12-Dec 20</t>
        </is>
      </c>
      <c r="I997" s="4" t="n"/>
      <c r="J997" s="4" t="n"/>
      <c r="K997" s="4" t="n"/>
      <c r="L997" s="4" t="inlineStr">
        <is>
          <t>Only youth ages 10-15.</t>
        </is>
      </c>
    </row>
    <row r="998">
      <c r="A998" s="4" t="inlineStr">
        <is>
          <t>141</t>
        </is>
      </c>
      <c r="B998" s="4" t="inlineStr">
        <is>
          <t>whitetail</t>
        </is>
      </c>
      <c r="C998" s="4" t="inlineStr">
        <is>
          <t>General Deer License</t>
        </is>
      </c>
      <c r="D998" s="13" t="inlineStr">
        <is>
          <t>General license</t>
        </is>
      </c>
      <c r="E998" s="4" t="inlineStr">
        <is>
          <t>Antlered Buck White-tailed Deer</t>
        </is>
      </c>
      <c r="F998" s="4" t="n"/>
      <c r="G998" s="4" t="inlineStr">
        <is>
          <t>Oct 31-Nov 29</t>
        </is>
      </c>
      <c r="H998" s="4" t="inlineStr">
        <is>
          <t>Dec 12-Dec 20</t>
        </is>
      </c>
      <c r="I998" s="4" t="n"/>
      <c r="J998" s="4" t="n"/>
      <c r="K998" s="4" t="n"/>
      <c r="L998" s="4" t="n"/>
    </row>
    <row r="999">
      <c r="A999" s="4" t="inlineStr">
        <is>
          <t>150</t>
        </is>
      </c>
      <c r="B999" s="4" t="inlineStr">
        <is>
          <t>whitetail</t>
        </is>
      </c>
      <c r="C999" s="4" t="inlineStr">
        <is>
          <t>General Deer License</t>
        </is>
      </c>
      <c r="D999" s="13" t="inlineStr">
        <is>
          <t>General license</t>
        </is>
      </c>
      <c r="E999" s="4" t="inlineStr">
        <is>
          <t>Either-sex White-tailed Deer</t>
        </is>
      </c>
      <c r="F999" s="4" t="inlineStr">
        <is>
          <t>Sep 05-Sep 14</t>
        </is>
      </c>
      <c r="G999" s="4" t="inlineStr">
        <is>
          <t>Sep 15-Nov 29</t>
        </is>
      </c>
      <c r="H999" s="4" t="inlineStr">
        <is>
          <t>Dec 12-Dec 20</t>
        </is>
      </c>
      <c r="I999" s="4" t="n"/>
      <c r="J999" s="4" t="n"/>
      <c r="K999" s="4" t="n"/>
      <c r="L999" s="4" t="n"/>
    </row>
    <row r="1000">
      <c r="A1000" s="4" t="inlineStr">
        <is>
          <t>170</t>
        </is>
      </c>
      <c r="B1000" s="4" t="inlineStr">
        <is>
          <t>whitetail</t>
        </is>
      </c>
      <c r="C1000" s="4" t="inlineStr">
        <is>
          <t>General Deer License</t>
        </is>
      </c>
      <c r="D1000" s="13" t="inlineStr">
        <is>
          <t>General license</t>
        </is>
      </c>
      <c r="E1000" s="4" t="inlineStr">
        <is>
          <t>Either-sex White-tailed Deer</t>
        </is>
      </c>
      <c r="F1000" s="4" t="inlineStr">
        <is>
          <t>Sep 05-Oct 18</t>
        </is>
      </c>
      <c r="G1000" s="4" t="inlineStr">
        <is>
          <t>Oct 24-Nov 29</t>
        </is>
      </c>
      <c r="H1000" s="4" t="inlineStr">
        <is>
          <t>Dec 12-Dec 20</t>
        </is>
      </c>
      <c r="I1000" s="4" t="n"/>
      <c r="J1000" s="4" t="n"/>
      <c r="K1000" s="4" t="n"/>
      <c r="L1000" s="4" t="n"/>
    </row>
    <row r="1001">
      <c r="A1001" s="4" t="inlineStr">
        <is>
          <t>170</t>
        </is>
      </c>
      <c r="B1001" s="4" t="inlineStr">
        <is>
          <t>whitetail</t>
        </is>
      </c>
      <c r="C1001" s="4" t="inlineStr">
        <is>
          <t>Deer B License: 170-00</t>
        </is>
      </c>
      <c r="D1001" s="4" t="inlineStr">
        <is>
          <t>Over the counter</t>
        </is>
      </c>
      <c r="E1001" s="4" t="inlineStr">
        <is>
          <t>Antlerless White-tailed Deer</t>
        </is>
      </c>
      <c r="F1001" s="4" t="inlineStr">
        <is>
          <t>Sep 05-Oct 18</t>
        </is>
      </c>
      <c r="G1001" s="4" t="inlineStr">
        <is>
          <t>Oct 24-Nov 29</t>
        </is>
      </c>
      <c r="H1001" s="4" t="inlineStr">
        <is>
          <t>Dec 12-Dec 20</t>
        </is>
      </c>
      <c r="I1001" s="4" t="n"/>
      <c r="J1001" s="4" t="inlineStr">
        <is>
          <t>OTC: Jun 15</t>
        </is>
      </c>
      <c r="K1001" s="4" t="inlineStr">
        <is>
          <t>UNL</t>
        </is>
      </c>
      <c r="L1001" s="4" t="inlineStr">
        <is>
          <t>Two per hunter. ArchEquip only (outside of CWD Management Zone). Two per hunter. Only valid in Kalispell CWD Management Zone. Two per hunter.</t>
        </is>
      </c>
    </row>
    <row r="1002">
      <c r="A1002" s="4" t="inlineStr">
        <is>
          <t>170</t>
        </is>
      </c>
      <c r="B1002" s="4" t="inlineStr">
        <is>
          <t>whitetail</t>
        </is>
      </c>
      <c r="C1002" s="4" t="inlineStr">
        <is>
          <t>Deer B License: 170-20</t>
        </is>
      </c>
      <c r="D1002" s="4" t="inlineStr">
        <is>
          <t>Over the counter</t>
        </is>
      </c>
      <c r="E1002" s="4" t="inlineStr">
        <is>
          <t>Either-sex White-tailed Deer</t>
        </is>
      </c>
      <c r="F1002" s="4" t="inlineStr">
        <is>
          <t>Sep 05-Oct 18</t>
        </is>
      </c>
      <c r="G1002" s="4" t="inlineStr">
        <is>
          <t>Oct 24-Nov 29</t>
        </is>
      </c>
      <c r="H1002" s="4" t="n"/>
      <c r="I1002" s="4" t="inlineStr">
        <is>
          <t>Nov 30-Jan 15</t>
        </is>
      </c>
      <c r="J1002" s="4" t="inlineStr">
        <is>
          <t>OTC: Jun 15</t>
        </is>
      </c>
      <c r="K1002" s="4" t="inlineStr">
        <is>
          <t>UNL</t>
        </is>
      </c>
      <c r="L1002" s="4" t="inlineStr">
        <is>
          <t>Only valid in Kalispell CWD Management Zone. One per hunter. Mandatory CWD sampling within 10 days of harvest.</t>
        </is>
      </c>
    </row>
    <row r="1003">
      <c r="A1003" s="4" t="inlineStr">
        <is>
          <t>200</t>
        </is>
      </c>
      <c r="B1003" s="4" t="inlineStr">
        <is>
          <t>whitetail</t>
        </is>
      </c>
      <c r="C1003" s="4" t="inlineStr">
        <is>
          <t>General Deer License</t>
        </is>
      </c>
      <c r="D1003" s="13" t="inlineStr">
        <is>
          <t>General license</t>
        </is>
      </c>
      <c r="E1003" s="4" t="inlineStr">
        <is>
          <t>Either-sex White-tailed Deer</t>
        </is>
      </c>
      <c r="F1003" s="4" t="inlineStr">
        <is>
          <t>Sep 05-Oct 18</t>
        </is>
      </c>
      <c r="G1003" s="4" t="inlineStr">
        <is>
          <t>Oct 24-Oct 30</t>
        </is>
      </c>
      <c r="H1003" s="4" t="n"/>
      <c r="I1003" s="4" t="n"/>
      <c r="J1003" s="4" t="n"/>
      <c r="K1003" s="4" t="n"/>
      <c r="L1003" s="4" t="n"/>
    </row>
    <row r="1004">
      <c r="A1004" s="4" t="inlineStr">
        <is>
          <t>200</t>
        </is>
      </c>
      <c r="B1004" s="4" t="inlineStr">
        <is>
          <t>whitetail</t>
        </is>
      </c>
      <c r="C1004" s="4" t="inlineStr">
        <is>
          <t>General Deer License</t>
        </is>
      </c>
      <c r="D1004" s="13" t="inlineStr">
        <is>
          <t>General license</t>
        </is>
      </c>
      <c r="E1004" s="4" t="inlineStr">
        <is>
          <t>Antlered Buck White-tailed Deer</t>
        </is>
      </c>
      <c r="F1004" s="4" t="n"/>
      <c r="G1004" s="4" t="inlineStr">
        <is>
          <t>Oct 31-Nov 29</t>
        </is>
      </c>
      <c r="H1004" s="4" t="inlineStr">
        <is>
          <t>Dec 12-Dec 20</t>
        </is>
      </c>
      <c r="I1004" s="4" t="n"/>
      <c r="J1004" s="4" t="n"/>
      <c r="K1004" s="4" t="n"/>
      <c r="L1004" s="4" t="n"/>
    </row>
    <row r="1005">
      <c r="A1005" s="4" t="inlineStr">
        <is>
          <t>200</t>
        </is>
      </c>
      <c r="B1005" s="4" t="inlineStr">
        <is>
          <t>whitetail</t>
        </is>
      </c>
      <c r="C1005" s="4" t="inlineStr">
        <is>
          <t>General Deer License</t>
        </is>
      </c>
      <c r="D1005" s="13" t="inlineStr">
        <is>
          <t>General license</t>
        </is>
      </c>
      <c r="E1005" s="4" t="inlineStr">
        <is>
          <t>Either-sex White-tailed Deer</t>
        </is>
      </c>
      <c r="F1005" s="4" t="n"/>
      <c r="G1005" s="4" t="inlineStr">
        <is>
          <t>Oct 31-Nov 29</t>
        </is>
      </c>
      <c r="H1005" s="4" t="inlineStr">
        <is>
          <t>Dec 12-Dec 20</t>
        </is>
      </c>
      <c r="I1005" s="4" t="n"/>
      <c r="J1005" s="4" t="n"/>
      <c r="K1005" s="4" t="n"/>
      <c r="L1005" s="4" t="inlineStr">
        <is>
          <t>Only youth ages 10-15.</t>
        </is>
      </c>
    </row>
    <row r="1006">
      <c r="A1006" s="4" t="inlineStr">
        <is>
          <t>200</t>
        </is>
      </c>
      <c r="B1006" s="4" t="inlineStr">
        <is>
          <t>whitetail</t>
        </is>
      </c>
      <c r="C1006" s="4" t="inlineStr">
        <is>
          <t>Deer B License: 200-00</t>
        </is>
      </c>
      <c r="D1006" s="15" t="inlineStr">
        <is>
          <t>Drawing</t>
        </is>
      </c>
      <c r="E1006" s="4" t="inlineStr">
        <is>
          <t>Antlerless White-tailed Deer</t>
        </is>
      </c>
      <c r="F1006" s="4" t="inlineStr">
        <is>
          <t>Sep 05-Oct 18</t>
        </is>
      </c>
      <c r="G1006" s="4" t="inlineStr">
        <is>
          <t>Oct 24-Nov 29</t>
        </is>
      </c>
      <c r="H1006" s="4" t="inlineStr">
        <is>
          <t>Dec 12-Dec 20</t>
        </is>
      </c>
      <c r="I1006" s="4" t="n"/>
      <c r="J1006" s="4" t="inlineStr">
        <is>
          <t>Jun 1</t>
        </is>
      </c>
      <c r="K1006" s="4" t="inlineStr">
        <is>
          <t>25</t>
        </is>
      </c>
      <c r="L1006" s="4" t="n"/>
    </row>
    <row r="1007">
      <c r="A1007" s="4" t="inlineStr">
        <is>
          <t>201</t>
        </is>
      </c>
      <c r="B1007" s="4" t="inlineStr">
        <is>
          <t>whitetail</t>
        </is>
      </c>
      <c r="C1007" s="4" t="inlineStr">
        <is>
          <t>General Deer License</t>
        </is>
      </c>
      <c r="D1007" s="13" t="inlineStr">
        <is>
          <t>General license</t>
        </is>
      </c>
      <c r="E1007" s="4" t="inlineStr">
        <is>
          <t>Either-sex White-tailed Deer</t>
        </is>
      </c>
      <c r="F1007" s="4" t="inlineStr">
        <is>
          <t>Sep 05-Oct 18</t>
        </is>
      </c>
      <c r="G1007" s="4" t="inlineStr">
        <is>
          <t>Oct 24-Oct 30</t>
        </is>
      </c>
      <c r="H1007" s="4" t="n"/>
      <c r="I1007" s="4" t="n"/>
      <c r="J1007" s="4" t="n"/>
      <c r="K1007" s="4" t="n"/>
      <c r="L1007" s="4" t="n"/>
    </row>
    <row r="1008">
      <c r="A1008" s="4" t="inlineStr">
        <is>
          <t>201</t>
        </is>
      </c>
      <c r="B1008" s="4" t="inlineStr">
        <is>
          <t>whitetail</t>
        </is>
      </c>
      <c r="C1008" s="4" t="inlineStr">
        <is>
          <t>General Deer License</t>
        </is>
      </c>
      <c r="D1008" s="13" t="inlineStr">
        <is>
          <t>General license</t>
        </is>
      </c>
      <c r="E1008" s="4" t="inlineStr">
        <is>
          <t>Antlered Buck White-tailed Deer</t>
        </is>
      </c>
      <c r="F1008" s="4" t="n"/>
      <c r="G1008" s="4" t="inlineStr">
        <is>
          <t>Oct 31-Nov 29</t>
        </is>
      </c>
      <c r="H1008" s="4" t="inlineStr">
        <is>
          <t>Dec 12-Dec 20</t>
        </is>
      </c>
      <c r="I1008" s="4" t="n"/>
      <c r="J1008" s="4" t="n"/>
      <c r="K1008" s="4" t="n"/>
      <c r="L1008" s="4" t="n"/>
    </row>
    <row r="1009">
      <c r="A1009" s="4" t="inlineStr">
        <is>
          <t>201</t>
        </is>
      </c>
      <c r="B1009" s="4" t="inlineStr">
        <is>
          <t>whitetail</t>
        </is>
      </c>
      <c r="C1009" s="4" t="inlineStr">
        <is>
          <t>General Deer License</t>
        </is>
      </c>
      <c r="D1009" s="13" t="inlineStr">
        <is>
          <t>General license</t>
        </is>
      </c>
      <c r="E1009" s="4" t="inlineStr">
        <is>
          <t>Either-sex White-tailed Deer</t>
        </is>
      </c>
      <c r="F1009" s="4" t="n"/>
      <c r="G1009" s="4" t="inlineStr">
        <is>
          <t>Oct 31-Nov 29</t>
        </is>
      </c>
      <c r="H1009" s="4" t="inlineStr">
        <is>
          <t>Dec 12-Dec 20</t>
        </is>
      </c>
      <c r="I1009" s="4" t="n"/>
      <c r="J1009" s="4" t="n"/>
      <c r="K1009" s="4" t="n"/>
      <c r="L1009" s="4" t="inlineStr">
        <is>
          <t>Only youth ages 10-15.</t>
        </is>
      </c>
    </row>
    <row r="1010">
      <c r="A1010" s="4" t="inlineStr">
        <is>
          <t>201</t>
        </is>
      </c>
      <c r="B1010" s="4" t="inlineStr">
        <is>
          <t>whitetail</t>
        </is>
      </c>
      <c r="C1010" s="4" t="inlineStr">
        <is>
          <t>Deer B License: 201-00</t>
        </is>
      </c>
      <c r="D1010" s="15" t="inlineStr">
        <is>
          <t>Drawing</t>
        </is>
      </c>
      <c r="E1010" s="4" t="inlineStr">
        <is>
          <t>Antlerless White-tailed Deer</t>
        </is>
      </c>
      <c r="F1010" s="4" t="inlineStr">
        <is>
          <t>Sep 05-Oct 18</t>
        </is>
      </c>
      <c r="G1010" s="4" t="inlineStr">
        <is>
          <t>Oct 24-Nov 29</t>
        </is>
      </c>
      <c r="H1010" s="4" t="inlineStr">
        <is>
          <t>Dec 12-Dec 20</t>
        </is>
      </c>
      <c r="I1010" s="4" t="n"/>
      <c r="J1010" s="4" t="inlineStr">
        <is>
          <t>Jun 1</t>
        </is>
      </c>
      <c r="K1010" s="4" t="inlineStr">
        <is>
          <t>150</t>
        </is>
      </c>
      <c r="L1010" s="4" t="n"/>
    </row>
    <row r="1011">
      <c r="A1011" s="4" t="inlineStr">
        <is>
          <t>201</t>
        </is>
      </c>
      <c r="B1011" s="4" t="inlineStr">
        <is>
          <t>whitetail</t>
        </is>
      </c>
      <c r="C1011" s="4" t="inlineStr">
        <is>
          <t>Deer B License: 260-01</t>
        </is>
      </c>
      <c r="D1011" s="4" t="inlineStr">
        <is>
          <t>Over the counter</t>
        </is>
      </c>
      <c r="E1011" s="4" t="inlineStr">
        <is>
          <t>Antlerless White-tailed Deer</t>
        </is>
      </c>
      <c r="F1011" s="4" t="inlineStr">
        <is>
          <t>Sep 05-Oct 18</t>
        </is>
      </c>
      <c r="G1011" s="4" t="inlineStr">
        <is>
          <t>Oct 19-Nov 29</t>
        </is>
      </c>
      <c r="H1011" s="4" t="n"/>
      <c r="I1011" s="4" t="inlineStr">
        <is>
          <t>Nov 30-Jan 15</t>
        </is>
      </c>
      <c r="J1011" s="4" t="inlineStr">
        <is>
          <t>OTC: Jun 15</t>
        </is>
      </c>
      <c r="K1011" s="4" t="inlineStr">
        <is>
          <t>UNL</t>
        </is>
      </c>
      <c r="L1011" s="4" t="inlineStr">
        <is>
          <t>ArchEquip only. Hunters may purchase up to three 260-01 antlerless white-tailed deer B licenses per hunter. Only valid east of HWY 93 in HD 201. Also valid in 204, 240, 260, 261, 262, and 270.</t>
        </is>
      </c>
    </row>
    <row r="1012">
      <c r="A1012" s="4" t="inlineStr">
        <is>
          <t>202</t>
        </is>
      </c>
      <c r="B1012" s="4" t="inlineStr">
        <is>
          <t>whitetail</t>
        </is>
      </c>
      <c r="C1012" s="4" t="inlineStr">
        <is>
          <t>General Deer License</t>
        </is>
      </c>
      <c r="D1012" s="13" t="inlineStr">
        <is>
          <t>General license</t>
        </is>
      </c>
      <c r="E1012" s="4" t="inlineStr">
        <is>
          <t>Either-sex White-tailed Deer</t>
        </is>
      </c>
      <c r="F1012" s="4" t="inlineStr">
        <is>
          <t>Sep 05-Oct 18</t>
        </is>
      </c>
      <c r="G1012" s="4" t="inlineStr">
        <is>
          <t>Oct 24-Oct 30</t>
        </is>
      </c>
      <c r="H1012" s="4" t="n"/>
      <c r="I1012" s="4" t="n"/>
      <c r="J1012" s="4" t="n"/>
      <c r="K1012" s="4" t="n"/>
      <c r="L1012" s="4" t="n"/>
    </row>
    <row r="1013">
      <c r="A1013" s="4" t="inlineStr">
        <is>
          <t>202</t>
        </is>
      </c>
      <c r="B1013" s="4" t="inlineStr">
        <is>
          <t>whitetail</t>
        </is>
      </c>
      <c r="C1013" s="4" t="inlineStr">
        <is>
          <t>General Deer License</t>
        </is>
      </c>
      <c r="D1013" s="13" t="inlineStr">
        <is>
          <t>General license</t>
        </is>
      </c>
      <c r="E1013" s="4" t="inlineStr">
        <is>
          <t>Antlered Buck White-tailed Deer</t>
        </is>
      </c>
      <c r="F1013" s="4" t="n"/>
      <c r="G1013" s="4" t="inlineStr">
        <is>
          <t>Oct 31-Nov 29</t>
        </is>
      </c>
      <c r="H1013" s="4" t="inlineStr">
        <is>
          <t>Dec 12-Dec 20</t>
        </is>
      </c>
      <c r="I1013" s="4" t="n"/>
      <c r="J1013" s="4" t="n"/>
      <c r="K1013" s="4" t="n"/>
      <c r="L1013" s="4" t="n"/>
    </row>
    <row r="1014">
      <c r="A1014" s="4" t="inlineStr">
        <is>
          <t>202</t>
        </is>
      </c>
      <c r="B1014" s="4" t="inlineStr">
        <is>
          <t>whitetail</t>
        </is>
      </c>
      <c r="C1014" s="4" t="inlineStr">
        <is>
          <t>General Deer License</t>
        </is>
      </c>
      <c r="D1014" s="13" t="inlineStr">
        <is>
          <t>General license</t>
        </is>
      </c>
      <c r="E1014" s="4" t="inlineStr">
        <is>
          <t>Either-sex White-tailed Deer</t>
        </is>
      </c>
      <c r="F1014" s="4" t="n"/>
      <c r="G1014" s="4" t="inlineStr">
        <is>
          <t>Oct 31-Nov 29</t>
        </is>
      </c>
      <c r="H1014" s="4" t="inlineStr">
        <is>
          <t>Dec 12-Dec 20</t>
        </is>
      </c>
      <c r="I1014" s="4" t="n"/>
      <c r="J1014" s="4" t="n"/>
      <c r="K1014" s="4" t="n"/>
      <c r="L1014" s="4" t="inlineStr">
        <is>
          <t>Only youth ages 10-15.</t>
        </is>
      </c>
    </row>
    <row r="1015">
      <c r="A1015" s="4" t="inlineStr">
        <is>
          <t>202</t>
        </is>
      </c>
      <c r="B1015" s="4" t="inlineStr">
        <is>
          <t>whitetail</t>
        </is>
      </c>
      <c r="C1015" s="4" t="inlineStr">
        <is>
          <t>Deer B License: 202-00</t>
        </is>
      </c>
      <c r="D1015" s="15" t="inlineStr">
        <is>
          <t>Drawing</t>
        </is>
      </c>
      <c r="E1015" s="4" t="inlineStr">
        <is>
          <t>Antlerless White-tailed Deer</t>
        </is>
      </c>
      <c r="F1015" s="4" t="inlineStr">
        <is>
          <t>Sep 05-Oct 18</t>
        </is>
      </c>
      <c r="G1015" s="4" t="inlineStr">
        <is>
          <t>Oct 24-Nov 29</t>
        </is>
      </c>
      <c r="H1015" s="4" t="inlineStr">
        <is>
          <t>Dec 12-Dec 20</t>
        </is>
      </c>
      <c r="I1015" s="4" t="n"/>
      <c r="J1015" s="4" t="inlineStr">
        <is>
          <t>Jun 1</t>
        </is>
      </c>
      <c r="K1015" s="4" t="inlineStr">
        <is>
          <t>75</t>
        </is>
      </c>
      <c r="L1015" s="4" t="n"/>
    </row>
    <row r="1016">
      <c r="A1016" s="4" t="inlineStr">
        <is>
          <t>204</t>
        </is>
      </c>
      <c r="B1016" s="4" t="inlineStr">
        <is>
          <t>whitetail</t>
        </is>
      </c>
      <c r="C1016" s="4" t="inlineStr">
        <is>
          <t>General Deer License</t>
        </is>
      </c>
      <c r="D1016" s="13" t="inlineStr">
        <is>
          <t>General license</t>
        </is>
      </c>
      <c r="E1016" s="4" t="inlineStr">
        <is>
          <t>Either-sex White-tailed Deer</t>
        </is>
      </c>
      <c r="F1016" s="4" t="inlineStr">
        <is>
          <t>Sep 05-Oct 18</t>
        </is>
      </c>
      <c r="G1016" s="4" t="n"/>
      <c r="H1016" s="4" t="n"/>
      <c r="I1016" s="4" t="n"/>
      <c r="J1016" s="4" t="n"/>
      <c r="K1016" s="4" t="n"/>
      <c r="L1016" s="4" t="n"/>
    </row>
    <row r="1017">
      <c r="A1017" s="4" t="inlineStr">
        <is>
          <t>204</t>
        </is>
      </c>
      <c r="B1017" s="4" t="inlineStr">
        <is>
          <t>whitetail</t>
        </is>
      </c>
      <c r="C1017" s="4" t="inlineStr">
        <is>
          <t>General Deer License</t>
        </is>
      </c>
      <c r="D1017" s="13" t="inlineStr">
        <is>
          <t>General license</t>
        </is>
      </c>
      <c r="E1017" s="4" t="inlineStr">
        <is>
          <t>Either-sex White-tailed Deer</t>
        </is>
      </c>
      <c r="F1017" s="4" t="inlineStr">
        <is>
          <t>Sep 05-Oct 18</t>
        </is>
      </c>
      <c r="G1017" s="4" t="inlineStr">
        <is>
          <t>Oct 24-Nov 29</t>
        </is>
      </c>
      <c r="H1017" s="4" t="inlineStr">
        <is>
          <t>Dec 12-Dec 20</t>
        </is>
      </c>
      <c r="I1017" s="4" t="n"/>
      <c r="J1017" s="4" t="n"/>
      <c r="K1017" s="4" t="n"/>
      <c r="L1017" s="4" t="inlineStr">
        <is>
          <t>Private land only.</t>
        </is>
      </c>
    </row>
    <row r="1018">
      <c r="A1018" s="4" t="inlineStr">
        <is>
          <t>204</t>
        </is>
      </c>
      <c r="B1018" s="4" t="inlineStr">
        <is>
          <t>whitetail</t>
        </is>
      </c>
      <c r="C1018" s="4" t="inlineStr">
        <is>
          <t>General Deer License</t>
        </is>
      </c>
      <c r="D1018" s="13" t="inlineStr">
        <is>
          <t>General license</t>
        </is>
      </c>
      <c r="E1018" s="4" t="inlineStr">
        <is>
          <t>Antlered Buck White-tailed Deer</t>
        </is>
      </c>
      <c r="F1018" s="4" t="n"/>
      <c r="G1018" s="4" t="inlineStr">
        <is>
          <t>Oct 24-Nov 29</t>
        </is>
      </c>
      <c r="H1018" s="4" t="inlineStr">
        <is>
          <t>Dec 12-Dec 20</t>
        </is>
      </c>
      <c r="I1018" s="4" t="n"/>
      <c r="J1018" s="4" t="n"/>
      <c r="K1018" s="4" t="n"/>
      <c r="L1018" s="4" t="n"/>
    </row>
    <row r="1019">
      <c r="A1019" s="4" t="inlineStr">
        <is>
          <t>204</t>
        </is>
      </c>
      <c r="B1019" s="4" t="inlineStr">
        <is>
          <t>whitetail</t>
        </is>
      </c>
      <c r="C1019" s="4" t="inlineStr">
        <is>
          <t>General Deer License</t>
        </is>
      </c>
      <c r="D1019" s="13" t="inlineStr">
        <is>
          <t>General license</t>
        </is>
      </c>
      <c r="E1019" s="4" t="inlineStr">
        <is>
          <t>Either-sex White-tailed Deer</t>
        </is>
      </c>
      <c r="F1019" s="4" t="n"/>
      <c r="G1019" s="4" t="inlineStr">
        <is>
          <t>Oct 24-Nov 29</t>
        </is>
      </c>
      <c r="H1019" s="4" t="inlineStr">
        <is>
          <t>Dec 12-Dec 20</t>
        </is>
      </c>
      <c r="I1019" s="4" t="n"/>
      <c r="J1019" s="4" t="n"/>
      <c r="K1019" s="4" t="n"/>
      <c r="L1019" s="4" t="inlineStr">
        <is>
          <t>Only youth ages 10-15.</t>
        </is>
      </c>
    </row>
    <row r="1020">
      <c r="A1020" s="4" t="inlineStr">
        <is>
          <t>204</t>
        </is>
      </c>
      <c r="B1020" s="4" t="inlineStr">
        <is>
          <t>whitetail</t>
        </is>
      </c>
      <c r="C1020" s="4" t="inlineStr">
        <is>
          <t>Deer B License: 260-01</t>
        </is>
      </c>
      <c r="D1020" s="4" t="inlineStr">
        <is>
          <t>Over the counter</t>
        </is>
      </c>
      <c r="E1020" s="4" t="inlineStr">
        <is>
          <t>Antlerless White-tailed Deer</t>
        </is>
      </c>
      <c r="F1020" s="4" t="inlineStr">
        <is>
          <t>Sep 05-Oct 18</t>
        </is>
      </c>
      <c r="G1020" s="4" t="inlineStr">
        <is>
          <t>Oct 19-Nov 29</t>
        </is>
      </c>
      <c r="H1020" s="4" t="n"/>
      <c r="I1020" s="4" t="inlineStr">
        <is>
          <t>Nov 30-Jan 15</t>
        </is>
      </c>
      <c r="J1020" s="4" t="inlineStr">
        <is>
          <t>OTC: Jun 15</t>
        </is>
      </c>
      <c r="K1020" s="4" t="inlineStr">
        <is>
          <t>UNL</t>
        </is>
      </c>
      <c r="L1020" s="4" t="inlineStr">
        <is>
          <t>ArchEquip only. Hunters may purchase up to three 260-01 antlerless white-tailed deer B licenses per hunter. Only valid in HDs 201 east of Hwy 93, 204, 240, 260, 261, 262, and 270.</t>
        </is>
      </c>
    </row>
    <row r="1021">
      <c r="A1021" s="4" t="inlineStr">
        <is>
          <t>204</t>
        </is>
      </c>
      <c r="B1021" s="4" t="inlineStr">
        <is>
          <t>whitetail</t>
        </is>
      </c>
      <c r="C1021" s="4" t="inlineStr">
        <is>
          <t>Deer B License: 299-00</t>
        </is>
      </c>
      <c r="D1021" s="4" t="inlineStr">
        <is>
          <t>Over the counter</t>
        </is>
      </c>
      <c r="E1021" s="4" t="inlineStr">
        <is>
          <t>Antlerless White-tailed Deer</t>
        </is>
      </c>
      <c r="F1021" s="4" t="inlineStr">
        <is>
          <t>Sep 05-Oct 18</t>
        </is>
      </c>
      <c r="G1021" s="4" t="inlineStr">
        <is>
          <t>Oct 24-Nov 29</t>
        </is>
      </c>
      <c r="H1021" s="4" t="inlineStr">
        <is>
          <t>Dec 12-Dec 20</t>
        </is>
      </c>
      <c r="I1021" s="4" t="n"/>
      <c r="J1021" s="4" t="inlineStr">
        <is>
          <t>OTC: Jun 15</t>
        </is>
      </c>
      <c r="K1021" s="4" t="inlineStr">
        <is>
          <t>UNL</t>
        </is>
      </c>
      <c r="L1021" s="4" t="inlineStr">
        <is>
          <t>One per hunter. Only valid on private land in HDs 204, 240, 261, and 270. 2026 Deer • Elk • Antelope Visit fwp.mt.gov LICENSE/PERMIT OPPORTUNITY APPL Y BY DATE QUOTA QUOTA RANGE EARL Y SEASON DATES ARCHERY ONL Y SEASON DATES GENERAL SEASON DATES HERITAGE MUZZLELOADER SEASON DATES LATE SEASON DATES O</t>
        </is>
      </c>
    </row>
    <row r="1022">
      <c r="A1022" s="4" t="inlineStr">
        <is>
          <t>210</t>
        </is>
      </c>
      <c r="B1022" s="4" t="inlineStr">
        <is>
          <t>whitetail</t>
        </is>
      </c>
      <c r="C1022" s="4" t="inlineStr">
        <is>
          <t>General Deer License</t>
        </is>
      </c>
      <c r="D1022" s="13" t="inlineStr">
        <is>
          <t>General license</t>
        </is>
      </c>
      <c r="E1022" s="4" t="inlineStr">
        <is>
          <t>Either-sex White-tailed Deer</t>
        </is>
      </c>
      <c r="F1022" s="4" t="inlineStr">
        <is>
          <t>Sep 05-Oct 18</t>
        </is>
      </c>
      <c r="G1022" s="4" t="inlineStr">
        <is>
          <t>Oct 24-Oct 30</t>
        </is>
      </c>
      <c r="H1022" s="4" t="n"/>
      <c r="I1022" s="4" t="n"/>
      <c r="J1022" s="4" t="n"/>
      <c r="K1022" s="4" t="n"/>
      <c r="L1022" s="4" t="n"/>
    </row>
    <row r="1023">
      <c r="A1023" s="4" t="inlineStr">
        <is>
          <t>210</t>
        </is>
      </c>
      <c r="B1023" s="4" t="inlineStr">
        <is>
          <t>whitetail</t>
        </is>
      </c>
      <c r="C1023" s="4" t="inlineStr">
        <is>
          <t>General Deer License</t>
        </is>
      </c>
      <c r="D1023" s="13" t="inlineStr">
        <is>
          <t>General license</t>
        </is>
      </c>
      <c r="E1023" s="4" t="inlineStr">
        <is>
          <t>Antlered Buck White-tailed Deer</t>
        </is>
      </c>
      <c r="F1023" s="4" t="n"/>
      <c r="G1023" s="4" t="inlineStr">
        <is>
          <t>Oct 31-Nov 29</t>
        </is>
      </c>
      <c r="H1023" s="4" t="inlineStr">
        <is>
          <t>Dec 12-Dec 20</t>
        </is>
      </c>
      <c r="I1023" s="4" t="n"/>
      <c r="J1023" s="4" t="n"/>
      <c r="K1023" s="4" t="n"/>
      <c r="L1023" s="4" t="n"/>
    </row>
    <row r="1024">
      <c r="A1024" s="4" t="inlineStr">
        <is>
          <t>210</t>
        </is>
      </c>
      <c r="B1024" s="4" t="inlineStr">
        <is>
          <t>whitetail</t>
        </is>
      </c>
      <c r="C1024" s="4" t="inlineStr">
        <is>
          <t>General Deer License</t>
        </is>
      </c>
      <c r="D1024" s="13" t="inlineStr">
        <is>
          <t>General license</t>
        </is>
      </c>
      <c r="E1024" s="4" t="inlineStr">
        <is>
          <t>Either-sex White-tailed Deer</t>
        </is>
      </c>
      <c r="F1024" s="4" t="n"/>
      <c r="G1024" s="4" t="inlineStr">
        <is>
          <t>Oct 31-Nov 29</t>
        </is>
      </c>
      <c r="H1024" s="4" t="inlineStr">
        <is>
          <t>Dec 12-Dec 20</t>
        </is>
      </c>
      <c r="I1024" s="4" t="n"/>
      <c r="J1024" s="4" t="n"/>
      <c r="K1024" s="4" t="n"/>
      <c r="L1024" s="4" t="inlineStr">
        <is>
          <t>Only youth ages 10-15.</t>
        </is>
      </c>
    </row>
    <row r="1025">
      <c r="A1025" s="4" t="inlineStr">
        <is>
          <t>210</t>
        </is>
      </c>
      <c r="B1025" s="4" t="inlineStr">
        <is>
          <t>whitetail</t>
        </is>
      </c>
      <c r="C1025" s="4" t="inlineStr">
        <is>
          <t>Deer B License: 210-00</t>
        </is>
      </c>
      <c r="D1025" s="15" t="inlineStr">
        <is>
          <t>Drawing</t>
        </is>
      </c>
      <c r="E1025" s="4" t="inlineStr">
        <is>
          <t>Antlerless White-tailed Deer</t>
        </is>
      </c>
      <c r="F1025" s="4" t="inlineStr">
        <is>
          <t>Sep 05-Oct 18</t>
        </is>
      </c>
      <c r="G1025" s="4" t="inlineStr">
        <is>
          <t>Oct 24-Nov 29</t>
        </is>
      </c>
      <c r="H1025" s="4" t="inlineStr">
        <is>
          <t>Dec 12-Dec 20</t>
        </is>
      </c>
      <c r="I1025" s="4" t="n"/>
      <c r="J1025" s="4" t="inlineStr">
        <is>
          <t>Jun 1</t>
        </is>
      </c>
      <c r="K1025" s="4" t="inlineStr">
        <is>
          <t>75</t>
        </is>
      </c>
      <c r="L1025" s="4" t="n"/>
    </row>
    <row r="1026">
      <c r="A1026" s="4" t="inlineStr">
        <is>
          <t>210</t>
        </is>
      </c>
      <c r="B1026" s="4" t="inlineStr">
        <is>
          <t>whitetail</t>
        </is>
      </c>
      <c r="C1026" s="4" t="inlineStr">
        <is>
          <t>Deer B License: 210-02</t>
        </is>
      </c>
      <c r="D1026" s="4" t="inlineStr">
        <is>
          <t>Over the counter</t>
        </is>
      </c>
      <c r="E1026" s="4" t="inlineStr">
        <is>
          <t>Antlerless White-tailed Deer</t>
        </is>
      </c>
      <c r="F1026" s="4" t="inlineStr">
        <is>
          <t>Sep 05-Oct 18</t>
        </is>
      </c>
      <c r="G1026" s="4" t="inlineStr">
        <is>
          <t>Oct 24-Nov 29</t>
        </is>
      </c>
      <c r="H1026" s="4" t="n"/>
      <c r="I1026" s="4" t="inlineStr">
        <is>
          <t>Nov 30-Jan 01</t>
        </is>
      </c>
      <c r="J1026" s="4" t="inlineStr">
        <is>
          <t>OTC: Jun 15</t>
        </is>
      </c>
      <c r="K1026" s="4" t="inlineStr">
        <is>
          <t>UNL</t>
        </is>
      </c>
      <c r="L1026" s="4" t="inlineStr">
        <is>
          <t>Valid outside the National Forest Boundary and NOT valid on FWP WMAs or BLM lands. Up to two per hunter.</t>
        </is>
      </c>
    </row>
    <row r="1027">
      <c r="A1027" s="4" t="inlineStr">
        <is>
          <t>211</t>
        </is>
      </c>
      <c r="B1027" s="4" t="inlineStr">
        <is>
          <t>whitetail</t>
        </is>
      </c>
      <c r="C1027" s="4" t="inlineStr">
        <is>
          <t>General Deer License</t>
        </is>
      </c>
      <c r="D1027" s="13" t="inlineStr">
        <is>
          <t>General license</t>
        </is>
      </c>
      <c r="E1027" s="4" t="inlineStr">
        <is>
          <t>Either-sex White-tailed Deer</t>
        </is>
      </c>
      <c r="F1027" s="4" t="inlineStr">
        <is>
          <t>Sep 05-Oct 18</t>
        </is>
      </c>
      <c r="G1027" s="4" t="inlineStr">
        <is>
          <t>Oct 24-Oct 30</t>
        </is>
      </c>
      <c r="H1027" s="4" t="n"/>
      <c r="I1027" s="4" t="n"/>
      <c r="J1027" s="4" t="n"/>
      <c r="K1027" s="4" t="n"/>
      <c r="L1027" s="4" t="n"/>
    </row>
    <row r="1028">
      <c r="A1028" s="4" t="inlineStr">
        <is>
          <t>211</t>
        </is>
      </c>
      <c r="B1028" s="4" t="inlineStr">
        <is>
          <t>whitetail</t>
        </is>
      </c>
      <c r="C1028" s="4" t="inlineStr">
        <is>
          <t>General Deer License</t>
        </is>
      </c>
      <c r="D1028" s="13" t="inlineStr">
        <is>
          <t>General license</t>
        </is>
      </c>
      <c r="E1028" s="4" t="inlineStr">
        <is>
          <t>Antlered Buck White-tailed Deer</t>
        </is>
      </c>
      <c r="F1028" s="4" t="n"/>
      <c r="G1028" s="4" t="inlineStr">
        <is>
          <t>Oct 31-Nov 29</t>
        </is>
      </c>
      <c r="H1028" s="4" t="inlineStr">
        <is>
          <t>Dec 12-Dec 20</t>
        </is>
      </c>
      <c r="I1028" s="4" t="n"/>
      <c r="J1028" s="4" t="n"/>
      <c r="K1028" s="4" t="n"/>
      <c r="L1028" s="4" t="n"/>
    </row>
    <row r="1029">
      <c r="A1029" s="4" t="inlineStr">
        <is>
          <t>211</t>
        </is>
      </c>
      <c r="B1029" s="4" t="inlineStr">
        <is>
          <t>whitetail</t>
        </is>
      </c>
      <c r="C1029" s="4" t="inlineStr">
        <is>
          <t>General Deer License</t>
        </is>
      </c>
      <c r="D1029" s="13" t="inlineStr">
        <is>
          <t>General license</t>
        </is>
      </c>
      <c r="E1029" s="4" t="inlineStr">
        <is>
          <t>Either-sex White-tailed Deer</t>
        </is>
      </c>
      <c r="F1029" s="4" t="n"/>
      <c r="G1029" s="4" t="inlineStr">
        <is>
          <t>Oct 31-Nov 29</t>
        </is>
      </c>
      <c r="H1029" s="4" t="inlineStr">
        <is>
          <t>Dec 12-Dec 20</t>
        </is>
      </c>
      <c r="I1029" s="4" t="n"/>
      <c r="J1029" s="4" t="n"/>
      <c r="K1029" s="4" t="n"/>
      <c r="L1029" s="4" t="inlineStr">
        <is>
          <t>Only youth ages 10-15.</t>
        </is>
      </c>
    </row>
    <row r="1030">
      <c r="A1030" s="4" t="inlineStr">
        <is>
          <t>211</t>
        </is>
      </c>
      <c r="B1030" s="4" t="inlineStr">
        <is>
          <t>whitetail</t>
        </is>
      </c>
      <c r="C1030" s="4" t="inlineStr">
        <is>
          <t>Deer B License: 211-00</t>
        </is>
      </c>
      <c r="D1030" s="15" t="inlineStr">
        <is>
          <t>Drawing</t>
        </is>
      </c>
      <c r="E1030" s="4" t="inlineStr">
        <is>
          <t>Antlerless White-tailed Deer</t>
        </is>
      </c>
      <c r="F1030" s="4" t="inlineStr">
        <is>
          <t>Sep 05-Oct 18</t>
        </is>
      </c>
      <c r="G1030" s="4" t="inlineStr">
        <is>
          <t>Oct 24-Nov 29</t>
        </is>
      </c>
      <c r="H1030" s="4" t="inlineStr">
        <is>
          <t>Dec 12-Dec 20</t>
        </is>
      </c>
      <c r="I1030" s="4" t="n"/>
      <c r="J1030" s="4" t="inlineStr">
        <is>
          <t>Jun 1</t>
        </is>
      </c>
      <c r="K1030" s="4" t="inlineStr">
        <is>
          <t>25</t>
        </is>
      </c>
      <c r="L1030" s="4" t="n"/>
    </row>
    <row r="1031">
      <c r="A1031" s="4" t="inlineStr">
        <is>
          <t>212</t>
        </is>
      </c>
      <c r="B1031" s="4" t="inlineStr">
        <is>
          <t>whitetail</t>
        </is>
      </c>
      <c r="C1031" s="4" t="inlineStr">
        <is>
          <t>General Deer License</t>
        </is>
      </c>
      <c r="D1031" s="13" t="inlineStr">
        <is>
          <t>General license</t>
        </is>
      </c>
      <c r="E1031" s="4" t="inlineStr">
        <is>
          <t>Either-sex White-tailed Deer</t>
        </is>
      </c>
      <c r="F1031" s="4" t="inlineStr">
        <is>
          <t>Sep 05-Oct 18</t>
        </is>
      </c>
      <c r="G1031" s="4" t="inlineStr">
        <is>
          <t>Oct 24-Nov 29</t>
        </is>
      </c>
      <c r="H1031" s="4" t="inlineStr">
        <is>
          <t>Dec 12-Dec 20</t>
        </is>
      </c>
      <c r="I1031" s="4" t="n"/>
      <c r="J1031" s="4" t="n"/>
      <c r="K1031" s="4" t="n"/>
      <c r="L1031" s="4" t="n"/>
    </row>
    <row r="1032">
      <c r="A1032" s="4" t="inlineStr">
        <is>
          <t>212</t>
        </is>
      </c>
      <c r="B1032" s="4" t="inlineStr">
        <is>
          <t>whitetail</t>
        </is>
      </c>
      <c r="C1032" s="4" t="inlineStr">
        <is>
          <t>Deer B License: 212-02</t>
        </is>
      </c>
      <c r="D1032" s="4" t="inlineStr">
        <is>
          <t>Over the counter</t>
        </is>
      </c>
      <c r="E1032" s="4" t="inlineStr">
        <is>
          <t>Antlerless White-tailed Deer</t>
        </is>
      </c>
      <c r="F1032" s="4" t="inlineStr">
        <is>
          <t>Sep 05-Oct 18</t>
        </is>
      </c>
      <c r="G1032" s="4" t="inlineStr">
        <is>
          <t>Oct 24-Nov 29</t>
        </is>
      </c>
      <c r="H1032" s="4" t="n"/>
      <c r="I1032" s="4" t="inlineStr">
        <is>
          <t>Nov 30-Jan 01</t>
        </is>
      </c>
      <c r="J1032" s="4" t="inlineStr">
        <is>
          <t>OTC: Jun 15</t>
        </is>
      </c>
      <c r="K1032" s="4" t="inlineStr">
        <is>
          <t>UNL</t>
        </is>
      </c>
      <c r="L1032" s="4" t="inlineStr">
        <is>
          <t>Valid outside the National Forest Boundary and NOT valid on FWP WMAs or BLM lands. One per hunter.</t>
        </is>
      </c>
    </row>
    <row r="1033">
      <c r="A1033" s="4" t="inlineStr">
        <is>
          <t>213</t>
        </is>
      </c>
      <c r="B1033" s="4" t="inlineStr">
        <is>
          <t>whitetail</t>
        </is>
      </c>
      <c r="C1033" s="4" t="inlineStr">
        <is>
          <t>General Deer License</t>
        </is>
      </c>
      <c r="D1033" s="13" t="inlineStr">
        <is>
          <t>General license</t>
        </is>
      </c>
      <c r="E1033" s="4" t="inlineStr">
        <is>
          <t>Either-sex White-tailed Deer</t>
        </is>
      </c>
      <c r="F1033" s="4" t="inlineStr">
        <is>
          <t>Sep 05-Oct 18</t>
        </is>
      </c>
      <c r="G1033" s="4" t="inlineStr">
        <is>
          <t>Oct 24-Nov 29</t>
        </is>
      </c>
      <c r="H1033" s="4" t="inlineStr">
        <is>
          <t>Dec 12-Dec 20</t>
        </is>
      </c>
      <c r="I1033" s="4" t="n"/>
      <c r="J1033" s="4" t="n"/>
      <c r="K1033" s="4" t="n"/>
      <c r="L1033" s="4" t="n"/>
    </row>
    <row r="1034">
      <c r="A1034" s="4" t="inlineStr">
        <is>
          <t>213</t>
        </is>
      </c>
      <c r="B1034" s="4" t="inlineStr">
        <is>
          <t>whitetail</t>
        </is>
      </c>
      <c r="C1034" s="4" t="inlineStr">
        <is>
          <t>General Deer License</t>
        </is>
      </c>
      <c r="D1034" s="13" t="inlineStr">
        <is>
          <t>General license</t>
        </is>
      </c>
      <c r="E1034" s="4" t="inlineStr">
        <is>
          <t>Either-sex White-tailed Deer</t>
        </is>
      </c>
      <c r="F1034" s="4" t="n"/>
      <c r="G1034" s="4" t="n"/>
      <c r="H1034" s="4" t="n"/>
      <c r="I1034" s="4" t="inlineStr">
        <is>
          <t>Nov 30-Jan 01</t>
        </is>
      </c>
      <c r="J1034" s="4" t="n"/>
      <c r="K1034" s="4" t="n"/>
      <c r="L1034" s="4" t="inlineStr">
        <is>
          <t>Only valid on Prison Ranch ArchEquip only area.</t>
        </is>
      </c>
    </row>
    <row r="1035">
      <c r="A1035" s="4" t="inlineStr">
        <is>
          <t>213</t>
        </is>
      </c>
      <c r="B1035" s="4" t="inlineStr">
        <is>
          <t>whitetail</t>
        </is>
      </c>
      <c r="C1035" s="4" t="inlineStr">
        <is>
          <t>Deer B License: 213-02</t>
        </is>
      </c>
      <c r="D1035" s="4" t="inlineStr">
        <is>
          <t>Over the counter</t>
        </is>
      </c>
      <c r="E1035" s="4" t="inlineStr">
        <is>
          <t>Antlerless White-tailed Deer</t>
        </is>
      </c>
      <c r="F1035" s="4" t="inlineStr">
        <is>
          <t>Sep 05-Oct 18</t>
        </is>
      </c>
      <c r="G1035" s="4" t="inlineStr">
        <is>
          <t>Oct 24-Nov 29</t>
        </is>
      </c>
      <c r="H1035" s="4" t="inlineStr">
        <is>
          <t>Dec 12-Dec 20</t>
        </is>
      </c>
      <c r="I1035" s="4" t="n"/>
      <c r="J1035" s="4" t="inlineStr">
        <is>
          <t>OTC: Jun 15</t>
        </is>
      </c>
      <c r="K1035" s="4" t="inlineStr">
        <is>
          <t>UNL</t>
        </is>
      </c>
      <c r="L1035" s="4" t="inlineStr">
        <is>
          <t>Valid outside the National Forest Boundary and NOT valid on FWP WMAs or BLM lands. Up to two per hunter. Valid on private lands and also valid on Prison Ranch ArchEquip only area. Up to two per hunter.</t>
        </is>
      </c>
    </row>
    <row r="1036">
      <c r="A1036" s="4" t="inlineStr">
        <is>
          <t>213</t>
        </is>
      </c>
      <c r="B1036" s="4" t="inlineStr">
        <is>
          <t>whitetail</t>
        </is>
      </c>
      <c r="C1036" s="4" t="inlineStr">
        <is>
          <t>Deer B License: 213-20</t>
        </is>
      </c>
      <c r="D1036" s="4" t="inlineStr">
        <is>
          <t>Over the counter</t>
        </is>
      </c>
      <c r="E1036" s="4" t="inlineStr">
        <is>
          <t>Either-sex White-tailed Deer</t>
        </is>
      </c>
      <c r="F1036" s="4" t="inlineStr">
        <is>
          <t>Sep 05-Oct 23</t>
        </is>
      </c>
      <c r="G1036" s="4" t="inlineStr">
        <is>
          <t>Oct 24-Nov 29</t>
        </is>
      </c>
      <c r="H1036" s="4" t="n"/>
      <c r="I1036" s="4" t="inlineStr">
        <is>
          <t>Nov 30-Jan 01</t>
        </is>
      </c>
      <c r="J1036" s="4" t="inlineStr">
        <is>
          <t>OTC: Jun 15</t>
        </is>
      </c>
      <c r="K1036" s="4" t="inlineStr">
        <is>
          <t>UNL</t>
        </is>
      </c>
      <c r="L1036" s="4" t="inlineStr">
        <is>
          <t>Up to two per hunter. Only valid on the Prison Ranch ArchEquip only area. Legal description and map available from FWP-R2 HQ 406- 542-5500.</t>
        </is>
      </c>
    </row>
    <row r="1037">
      <c r="A1037" s="4" t="inlineStr">
        <is>
          <t>214</t>
        </is>
      </c>
      <c r="B1037" s="4" t="inlineStr">
        <is>
          <t>whitetail</t>
        </is>
      </c>
      <c r="C1037" s="4" t="inlineStr">
        <is>
          <t>General Deer License</t>
        </is>
      </c>
      <c r="D1037" s="13" t="inlineStr">
        <is>
          <t>General license</t>
        </is>
      </c>
      <c r="E1037" s="4" t="inlineStr">
        <is>
          <t>Either-sex White-tailed Deer</t>
        </is>
      </c>
      <c r="F1037" s="4" t="inlineStr">
        <is>
          <t>Sep 05-Oct 18</t>
        </is>
      </c>
      <c r="G1037" s="4" t="inlineStr">
        <is>
          <t>Oct 24-Oct 30</t>
        </is>
      </c>
      <c r="H1037" s="4" t="n"/>
      <c r="I1037" s="4" t="n"/>
      <c r="J1037" s="4" t="n"/>
      <c r="K1037" s="4" t="n"/>
      <c r="L1037" s="4" t="n"/>
    </row>
    <row r="1038">
      <c r="A1038" s="4" t="inlineStr">
        <is>
          <t>214</t>
        </is>
      </c>
      <c r="B1038" s="4" t="inlineStr">
        <is>
          <t>whitetail</t>
        </is>
      </c>
      <c r="C1038" s="4" t="inlineStr">
        <is>
          <t>General Deer License</t>
        </is>
      </c>
      <c r="D1038" s="13" t="inlineStr">
        <is>
          <t>General license</t>
        </is>
      </c>
      <c r="E1038" s="4" t="inlineStr">
        <is>
          <t>Antlered Buck White-tailed Deer</t>
        </is>
      </c>
      <c r="F1038" s="4" t="n"/>
      <c r="G1038" s="4" t="inlineStr">
        <is>
          <t>Oct 31-Nov 29</t>
        </is>
      </c>
      <c r="H1038" s="4" t="inlineStr">
        <is>
          <t>Dec 12-Dec 20</t>
        </is>
      </c>
      <c r="I1038" s="4" t="n"/>
      <c r="J1038" s="4" t="n"/>
      <c r="K1038" s="4" t="n"/>
      <c r="L1038" s="4" t="n"/>
    </row>
    <row r="1039">
      <c r="A1039" s="4" t="inlineStr">
        <is>
          <t>214</t>
        </is>
      </c>
      <c r="B1039" s="4" t="inlineStr">
        <is>
          <t>whitetail</t>
        </is>
      </c>
      <c r="C1039" s="4" t="inlineStr">
        <is>
          <t>General Deer License</t>
        </is>
      </c>
      <c r="D1039" s="13" t="inlineStr">
        <is>
          <t>General license</t>
        </is>
      </c>
      <c r="E1039" s="4" t="inlineStr">
        <is>
          <t>Either-sex White-tailed Deer</t>
        </is>
      </c>
      <c r="F1039" s="4" t="n"/>
      <c r="G1039" s="4" t="inlineStr">
        <is>
          <t>Oct 31-Nov 29</t>
        </is>
      </c>
      <c r="H1039" s="4" t="inlineStr">
        <is>
          <t>Dec 12-Dec 20</t>
        </is>
      </c>
      <c r="I1039" s="4" t="n"/>
      <c r="J1039" s="4" t="n"/>
      <c r="K1039" s="4" t="n"/>
      <c r="L1039" s="4" t="inlineStr">
        <is>
          <t>Only youth ages 10-15.</t>
        </is>
      </c>
    </row>
    <row r="1040">
      <c r="A1040" s="4" t="inlineStr">
        <is>
          <t>215</t>
        </is>
      </c>
      <c r="B1040" s="4" t="inlineStr">
        <is>
          <t>whitetail</t>
        </is>
      </c>
      <c r="C1040" s="4" t="inlineStr">
        <is>
          <t>General Deer License</t>
        </is>
      </c>
      <c r="D1040" s="13" t="inlineStr">
        <is>
          <t>General license</t>
        </is>
      </c>
      <c r="E1040" s="4" t="inlineStr">
        <is>
          <t>Either-sex White-tailed Deer</t>
        </is>
      </c>
      <c r="F1040" s="4" t="inlineStr">
        <is>
          <t>Sep 05-Oct 18</t>
        </is>
      </c>
      <c r="G1040" s="4" t="inlineStr">
        <is>
          <t>Oct 24-Nov 29</t>
        </is>
      </c>
      <c r="H1040" s="4" t="inlineStr">
        <is>
          <t>Dec 12-Dec 20</t>
        </is>
      </c>
      <c r="I1040" s="4" t="n"/>
      <c r="J1040" s="4" t="n"/>
      <c r="K1040" s="4" t="n"/>
      <c r="L1040" s="4" t="n"/>
    </row>
    <row r="1041">
      <c r="A1041" s="4" t="inlineStr">
        <is>
          <t>215</t>
        </is>
      </c>
      <c r="B1041" s="4" t="inlineStr">
        <is>
          <t>whitetail</t>
        </is>
      </c>
      <c r="C1041" s="4" t="inlineStr">
        <is>
          <t>Deer B License: 215-02</t>
        </is>
      </c>
      <c r="D1041" s="4" t="inlineStr">
        <is>
          <t>Over the counter</t>
        </is>
      </c>
      <c r="E1041" s="4" t="inlineStr">
        <is>
          <t>Antlerless White-tailed Deer</t>
        </is>
      </c>
      <c r="F1041" s="4" t="inlineStr">
        <is>
          <t>Sep 05-Oct 18</t>
        </is>
      </c>
      <c r="G1041" s="4" t="inlineStr">
        <is>
          <t>Oct 24-Nov 29</t>
        </is>
      </c>
      <c r="H1041" s="4" t="inlineStr">
        <is>
          <t>Dec 12-Dec 20</t>
        </is>
      </c>
      <c r="I1041" s="4" t="n"/>
      <c r="J1041" s="4" t="inlineStr">
        <is>
          <t>OTC: Jun 15</t>
        </is>
      </c>
      <c r="K1041" s="4" t="inlineStr">
        <is>
          <t>UNL</t>
        </is>
      </c>
      <c r="L1041" s="4" t="inlineStr">
        <is>
          <t>Valid outside the National Forest Boundary and NOT valid on FWP WMAs or BLM lands. One per hunter. Only valid on private lands outside the National Forest Boundary and NOT valid on FWP WMAs or BLM lands. One per hunter.</t>
        </is>
      </c>
    </row>
    <row r="1042">
      <c r="A1042" s="4" t="inlineStr">
        <is>
          <t>216</t>
        </is>
      </c>
      <c r="B1042" s="4" t="inlineStr">
        <is>
          <t>whitetail</t>
        </is>
      </c>
      <c r="C1042" s="4" t="inlineStr">
        <is>
          <t>General Deer License</t>
        </is>
      </c>
      <c r="D1042" s="13" t="inlineStr">
        <is>
          <t>General license</t>
        </is>
      </c>
      <c r="E1042" s="4" t="inlineStr">
        <is>
          <t>Either-sex White-tailed Deer</t>
        </is>
      </c>
      <c r="F1042" s="4" t="inlineStr">
        <is>
          <t>Sep 05-Oct 18</t>
        </is>
      </c>
      <c r="G1042" s="4" t="inlineStr">
        <is>
          <t>Oct 24-Oct 30</t>
        </is>
      </c>
      <c r="H1042" s="4" t="n"/>
      <c r="I1042" s="4" t="n"/>
      <c r="J1042" s="4" t="n"/>
      <c r="K1042" s="4" t="n"/>
      <c r="L1042" s="4" t="n"/>
    </row>
    <row r="1043">
      <c r="A1043" s="4" t="inlineStr">
        <is>
          <t>216</t>
        </is>
      </c>
      <c r="B1043" s="4" t="inlineStr">
        <is>
          <t>whitetail</t>
        </is>
      </c>
      <c r="C1043" s="4" t="inlineStr">
        <is>
          <t>General Deer License</t>
        </is>
      </c>
      <c r="D1043" s="13" t="inlineStr">
        <is>
          <t>General license</t>
        </is>
      </c>
      <c r="E1043" s="4" t="inlineStr">
        <is>
          <t>Antlered Buck White-tailed Deer</t>
        </is>
      </c>
      <c r="F1043" s="4" t="n"/>
      <c r="G1043" s="4" t="inlineStr">
        <is>
          <t>Oct 31-Nov 29</t>
        </is>
      </c>
      <c r="H1043" s="4" t="inlineStr">
        <is>
          <t>Dec 12-Dec 20</t>
        </is>
      </c>
      <c r="I1043" s="4" t="n"/>
      <c r="J1043" s="4" t="n"/>
      <c r="K1043" s="4" t="n"/>
      <c r="L1043" s="4" t="n"/>
    </row>
    <row r="1044">
      <c r="A1044" s="4" t="inlineStr">
        <is>
          <t>216</t>
        </is>
      </c>
      <c r="B1044" s="4" t="inlineStr">
        <is>
          <t>whitetail</t>
        </is>
      </c>
      <c r="C1044" s="4" t="inlineStr">
        <is>
          <t>General Deer License</t>
        </is>
      </c>
      <c r="D1044" s="13" t="inlineStr">
        <is>
          <t>General license</t>
        </is>
      </c>
      <c r="E1044" s="4" t="inlineStr">
        <is>
          <t>Either-sex White-tailed Deer</t>
        </is>
      </c>
      <c r="F1044" s="4" t="n"/>
      <c r="G1044" s="4" t="inlineStr">
        <is>
          <t>Oct 31-Nov 29</t>
        </is>
      </c>
      <c r="H1044" s="4" t="inlineStr">
        <is>
          <t>Dec 12-Dec 20</t>
        </is>
      </c>
      <c r="I1044" s="4" t="n"/>
      <c r="J1044" s="4" t="n"/>
      <c r="K1044" s="4" t="n"/>
      <c r="L1044" s="4" t="inlineStr">
        <is>
          <t>Only youth ages 10-15.</t>
        </is>
      </c>
    </row>
    <row r="1045">
      <c r="A1045" s="4" t="inlineStr">
        <is>
          <t>216</t>
        </is>
      </c>
      <c r="B1045" s="4" t="inlineStr">
        <is>
          <t>whitetail</t>
        </is>
      </c>
      <c r="C1045" s="4" t="inlineStr">
        <is>
          <t>Deer B License: 216-00</t>
        </is>
      </c>
      <c r="D1045" s="15" t="inlineStr">
        <is>
          <t>Drawing</t>
        </is>
      </c>
      <c r="E1045" s="4" t="inlineStr">
        <is>
          <t>Antlerless White-tailed Deer</t>
        </is>
      </c>
      <c r="F1045" s="4" t="inlineStr">
        <is>
          <t>Sep 05-Oct 18</t>
        </is>
      </c>
      <c r="G1045" s="4" t="inlineStr">
        <is>
          <t>Oct 24-Nov 29</t>
        </is>
      </c>
      <c r="H1045" s="4" t="inlineStr">
        <is>
          <t>Dec 12-Dec 20</t>
        </is>
      </c>
      <c r="I1045" s="4" t="n"/>
      <c r="J1045" s="4" t="inlineStr">
        <is>
          <t>Jun 1</t>
        </is>
      </c>
      <c r="K1045" s="4" t="inlineStr">
        <is>
          <t>25</t>
        </is>
      </c>
      <c r="L1045" s="4" t="n"/>
    </row>
    <row r="1046">
      <c r="A1046" s="4" t="inlineStr">
        <is>
          <t>216</t>
        </is>
      </c>
      <c r="B1046" s="4" t="inlineStr">
        <is>
          <t>whitetail</t>
        </is>
      </c>
      <c r="C1046" s="4" t="inlineStr">
        <is>
          <t>Deer B License: 216-01</t>
        </is>
      </c>
      <c r="D1046" s="4" t="inlineStr">
        <is>
          <t>Over the counter</t>
        </is>
      </c>
      <c r="E1046" s="4" t="inlineStr">
        <is>
          <t>Antlerless White-tailed Deer</t>
        </is>
      </c>
      <c r="F1046" s="4" t="inlineStr">
        <is>
          <t>Sep 05-Oct 18</t>
        </is>
      </c>
      <c r="G1046" s="4" t="inlineStr">
        <is>
          <t>Oct 24-Nov 29</t>
        </is>
      </c>
      <c r="H1046" s="4" t="n"/>
      <c r="I1046" s="4" t="inlineStr">
        <is>
          <t>Nov 30-Jan 01</t>
        </is>
      </c>
      <c r="J1046" s="4" t="inlineStr">
        <is>
          <t>OTC: Jun 15</t>
        </is>
      </c>
      <c r="K1046" s="4" t="inlineStr">
        <is>
          <t>UNL</t>
        </is>
      </c>
      <c r="L1046" s="4" t="inlineStr">
        <is>
          <t>Valid outside the National Forest Boundary. NOT valid on BLM lands. One per hunter.</t>
        </is>
      </c>
    </row>
    <row r="1047">
      <c r="A1047" s="4" t="inlineStr">
        <is>
          <t>217</t>
        </is>
      </c>
      <c r="B1047" s="4" t="inlineStr">
        <is>
          <t>whitetail</t>
        </is>
      </c>
      <c r="C1047" s="4" t="inlineStr">
        <is>
          <t>General Deer License</t>
        </is>
      </c>
      <c r="D1047" s="13" t="inlineStr">
        <is>
          <t>General license</t>
        </is>
      </c>
      <c r="E1047" s="4" t="inlineStr">
        <is>
          <t>Either-sex White-tailed Deer</t>
        </is>
      </c>
      <c r="F1047" s="4" t="inlineStr">
        <is>
          <t>Sep 05-Oct 18</t>
        </is>
      </c>
      <c r="G1047" s="4" t="inlineStr">
        <is>
          <t>Oct 24-Nov 29</t>
        </is>
      </c>
      <c r="H1047" s="4" t="inlineStr">
        <is>
          <t>Dec 12-Dec 20</t>
        </is>
      </c>
      <c r="I1047" s="4" t="n"/>
      <c r="J1047" s="4" t="n"/>
      <c r="K1047" s="4" t="n"/>
      <c r="L1047" s="4" t="n"/>
    </row>
    <row r="1048">
      <c r="A1048" s="4" t="inlineStr">
        <is>
          <t>217</t>
        </is>
      </c>
      <c r="B1048" s="4" t="inlineStr">
        <is>
          <t>whitetail</t>
        </is>
      </c>
      <c r="C1048" s="4" t="inlineStr">
        <is>
          <t>Deer B License: 217-01</t>
        </is>
      </c>
      <c r="D1048" s="4" t="inlineStr">
        <is>
          <t>Over the counter</t>
        </is>
      </c>
      <c r="E1048" s="4" t="inlineStr">
        <is>
          <t>Antlerless White-tailed Deer</t>
        </is>
      </c>
      <c r="F1048" s="4" t="inlineStr">
        <is>
          <t>Sep 05-Oct 18</t>
        </is>
      </c>
      <c r="G1048" s="4" t="inlineStr">
        <is>
          <t>Oct 24-Nov 29</t>
        </is>
      </c>
      <c r="H1048" s="4" t="n"/>
      <c r="I1048" s="4" t="inlineStr">
        <is>
          <t>Nov 30-Jan 01</t>
        </is>
      </c>
      <c r="J1048" s="4" t="inlineStr">
        <is>
          <t>OTC: Jun 15</t>
        </is>
      </c>
      <c r="K1048" s="4" t="inlineStr">
        <is>
          <t>UNL</t>
        </is>
      </c>
      <c r="L1048" s="4" t="inlineStr">
        <is>
          <t xml:space="preserve">Valid outside the National Forest Boundary. NOT valid on BLM lands. Up to two per hunter. LICENSE/PERMIT OPPORTUNITY APPL Y BY DATE QUOTA QUOTA RANGE EARL Y SEASON DATES ARCHERY ONL Y SEASON DATES GENERAL SEASON DATES HERITAGE MUZZLELOADER SEASON DATES LATE SEASON DATES OPPORTUNITY SPECIFIC DETAILS </t>
        </is>
      </c>
    </row>
    <row r="1049">
      <c r="A1049" s="4" t="inlineStr">
        <is>
          <t>240</t>
        </is>
      </c>
      <c r="B1049" s="4" t="inlineStr">
        <is>
          <t>whitetail</t>
        </is>
      </c>
      <c r="C1049" s="4" t="inlineStr">
        <is>
          <t>General Deer License</t>
        </is>
      </c>
      <c r="D1049" s="13" t="inlineStr">
        <is>
          <t>General license</t>
        </is>
      </c>
      <c r="E1049" s="4" t="inlineStr">
        <is>
          <t>Either-sex White-tailed Deer</t>
        </is>
      </c>
      <c r="F1049" s="4" t="inlineStr">
        <is>
          <t>Sep 05-Oct 18</t>
        </is>
      </c>
      <c r="G1049" s="4" t="inlineStr">
        <is>
          <t>Oct 24-Nov 29</t>
        </is>
      </c>
      <c r="H1049" s="4" t="inlineStr">
        <is>
          <t>Dec 12-Dec 20</t>
        </is>
      </c>
      <c r="I1049" s="4" t="n"/>
      <c r="J1049" s="4" t="n"/>
      <c r="K1049" s="4" t="n"/>
      <c r="L1049" s="4" t="inlineStr">
        <is>
          <t>Only valid on private land.</t>
        </is>
      </c>
    </row>
    <row r="1050">
      <c r="A1050" s="4" t="inlineStr">
        <is>
          <t>240</t>
        </is>
      </c>
      <c r="B1050" s="4" t="inlineStr">
        <is>
          <t>whitetail</t>
        </is>
      </c>
      <c r="C1050" s="4" t="inlineStr">
        <is>
          <t>General Deer License</t>
        </is>
      </c>
      <c r="D1050" s="13" t="inlineStr">
        <is>
          <t>General license</t>
        </is>
      </c>
      <c r="E1050" s="4" t="inlineStr">
        <is>
          <t>Either-sex White-tailed Deer</t>
        </is>
      </c>
      <c r="F1050" s="4" t="inlineStr">
        <is>
          <t>Sep 05-Oct 18</t>
        </is>
      </c>
      <c r="G1050" s="4" t="n"/>
      <c r="H1050" s="4" t="n"/>
      <c r="I1050" s="4" t="n"/>
      <c r="J1050" s="4" t="n"/>
      <c r="K1050" s="4" t="n"/>
      <c r="L1050" s="4" t="n"/>
    </row>
    <row r="1051">
      <c r="A1051" s="4" t="inlineStr">
        <is>
          <t>240</t>
        </is>
      </c>
      <c r="B1051" s="4" t="inlineStr">
        <is>
          <t>whitetail</t>
        </is>
      </c>
      <c r="C1051" s="4" t="inlineStr">
        <is>
          <t>General Deer License</t>
        </is>
      </c>
      <c r="D1051" s="13" t="inlineStr">
        <is>
          <t>General license</t>
        </is>
      </c>
      <c r="E1051" s="4" t="inlineStr">
        <is>
          <t>Antlered Buck White-tailed Deer</t>
        </is>
      </c>
      <c r="F1051" s="4" t="n"/>
      <c r="G1051" s="4" t="inlineStr">
        <is>
          <t>Oct 24-Nov 29</t>
        </is>
      </c>
      <c r="H1051" s="4" t="inlineStr">
        <is>
          <t>Dec 12-Dec 20</t>
        </is>
      </c>
      <c r="I1051" s="4" t="n"/>
      <c r="J1051" s="4" t="n"/>
      <c r="K1051" s="4" t="n"/>
      <c r="L1051" s="4" t="n"/>
    </row>
    <row r="1052">
      <c r="A1052" s="4" t="inlineStr">
        <is>
          <t>240</t>
        </is>
      </c>
      <c r="B1052" s="4" t="inlineStr">
        <is>
          <t>whitetail</t>
        </is>
      </c>
      <c r="C1052" s="4" t="inlineStr">
        <is>
          <t>General Deer License</t>
        </is>
      </c>
      <c r="D1052" s="13" t="inlineStr">
        <is>
          <t>General license</t>
        </is>
      </c>
      <c r="E1052" s="4" t="inlineStr">
        <is>
          <t>Either-sex White-tailed Deer</t>
        </is>
      </c>
      <c r="F1052" s="4" t="n"/>
      <c r="G1052" s="4" t="inlineStr">
        <is>
          <t>Oct 24-Nov 29</t>
        </is>
      </c>
      <c r="H1052" s="4" t="inlineStr">
        <is>
          <t>Dec 12-Dec 20</t>
        </is>
      </c>
      <c r="I1052" s="4" t="n"/>
      <c r="J1052" s="4" t="n"/>
      <c r="K1052" s="4" t="n"/>
      <c r="L1052" s="4" t="inlineStr">
        <is>
          <t>Only youth ages 10-15.</t>
        </is>
      </c>
    </row>
    <row r="1053">
      <c r="A1053" s="4" t="inlineStr">
        <is>
          <t>240</t>
        </is>
      </c>
      <c r="B1053" s="4" t="inlineStr">
        <is>
          <t>whitetail</t>
        </is>
      </c>
      <c r="C1053" s="4" t="inlineStr">
        <is>
          <t>Deer B License: 260-01</t>
        </is>
      </c>
      <c r="D1053" s="4" t="inlineStr">
        <is>
          <t>Over the counter</t>
        </is>
      </c>
      <c r="E1053" s="4" t="inlineStr">
        <is>
          <t>Antlerless White-tailed Deer</t>
        </is>
      </c>
      <c r="F1053" s="4" t="inlineStr">
        <is>
          <t>Sep 05-Oct 18</t>
        </is>
      </c>
      <c r="G1053" s="4" t="inlineStr">
        <is>
          <t>Oct 19-Nov 29</t>
        </is>
      </c>
      <c r="H1053" s="4" t="n"/>
      <c r="I1053" s="4" t="inlineStr">
        <is>
          <t>Nov 30-Jan 15</t>
        </is>
      </c>
      <c r="J1053" s="4" t="inlineStr">
        <is>
          <t>OTC: Jun 15</t>
        </is>
      </c>
      <c r="K1053" s="4" t="inlineStr">
        <is>
          <t>UNL</t>
        </is>
      </c>
      <c r="L1053" s="4" t="inlineStr">
        <is>
          <t>ArchEquip only. Hunters may purchase up to three 260-01 antlerless white-tailed deer B licenses per hunter. Only valid in HDs 201 east of Hwy 93, 204, 240, 260, 261, 262, and 270.</t>
        </is>
      </c>
    </row>
    <row r="1054">
      <c r="A1054" s="4" t="inlineStr">
        <is>
          <t>240</t>
        </is>
      </c>
      <c r="B1054" s="4" t="inlineStr">
        <is>
          <t>whitetail</t>
        </is>
      </c>
      <c r="C1054" s="4" t="inlineStr">
        <is>
          <t>Deer B License: 299-00</t>
        </is>
      </c>
      <c r="D1054" s="4" t="inlineStr">
        <is>
          <t>Over the counter</t>
        </is>
      </c>
      <c r="E1054" s="4" t="inlineStr">
        <is>
          <t>Antlerless White-tailed Deer</t>
        </is>
      </c>
      <c r="F1054" s="4" t="inlineStr">
        <is>
          <t>Sep 05-Oct 18</t>
        </is>
      </c>
      <c r="G1054" s="4" t="inlineStr">
        <is>
          <t>Oct 24-Nov 29</t>
        </is>
      </c>
      <c r="H1054" s="4" t="inlineStr">
        <is>
          <t>Dec 12-Dec 20</t>
        </is>
      </c>
      <c r="I1054" s="4" t="n"/>
      <c r="J1054" s="4" t="inlineStr">
        <is>
          <t>OTC: Jun 15</t>
        </is>
      </c>
      <c r="K1054" s="4" t="inlineStr">
        <is>
          <t>UNL</t>
        </is>
      </c>
      <c r="L1054" s="4" t="inlineStr">
        <is>
          <t>One per hunter. Only valid on private land in HDs 204, 240, 261, and 270.</t>
        </is>
      </c>
    </row>
    <row r="1055">
      <c r="A1055" s="4" t="inlineStr">
        <is>
          <t>250</t>
        </is>
      </c>
      <c r="B1055" s="4" t="inlineStr">
        <is>
          <t>whitetail</t>
        </is>
      </c>
      <c r="C1055" s="4" t="inlineStr">
        <is>
          <t>General Deer License</t>
        </is>
      </c>
      <c r="D1055" s="13" t="inlineStr">
        <is>
          <t>General license</t>
        </is>
      </c>
      <c r="E1055" s="4" t="inlineStr">
        <is>
          <t>Antlered Buck White-tailed Deer</t>
        </is>
      </c>
      <c r="F1055" s="4" t="n"/>
      <c r="G1055" s="4" t="inlineStr">
        <is>
          <t>Oct 24-Nov 29</t>
        </is>
      </c>
      <c r="H1055" s="4" t="inlineStr">
        <is>
          <t>Dec 12-Dec 20</t>
        </is>
      </c>
      <c r="I1055" s="4" t="n"/>
      <c r="J1055" s="4" t="n"/>
      <c r="K1055" s="4" t="n"/>
      <c r="L1055" s="4" t="inlineStr">
        <is>
          <t>Either-sex White-tailed Deer</t>
        </is>
      </c>
    </row>
    <row r="1056">
      <c r="A1056" s="4" t="inlineStr">
        <is>
          <t>250</t>
        </is>
      </c>
      <c r="B1056" s="4" t="inlineStr">
        <is>
          <t>whitetail</t>
        </is>
      </c>
      <c r="C1056" s="4" t="inlineStr">
        <is>
          <t>General Deer License</t>
        </is>
      </c>
      <c r="D1056" s="13" t="inlineStr">
        <is>
          <t>General license</t>
        </is>
      </c>
      <c r="E1056" s="4" t="inlineStr">
        <is>
          <t>Either-sex White-tailed Deer</t>
        </is>
      </c>
      <c r="F1056" s="4" t="n"/>
      <c r="G1056" s="4" t="inlineStr">
        <is>
          <t>Oct 24-Nov 29</t>
        </is>
      </c>
      <c r="H1056" s="4" t="inlineStr">
        <is>
          <t>Dec 12-Dec 20</t>
        </is>
      </c>
      <c r="I1056" s="4" t="n"/>
      <c r="J1056" s="4" t="n"/>
      <c r="K1056" s="4" t="n"/>
      <c r="L1056" s="4" t="inlineStr">
        <is>
          <t>Only youth ages 10-15.</t>
        </is>
      </c>
    </row>
    <row r="1057">
      <c r="A1057" s="4" t="inlineStr">
        <is>
          <t>260</t>
        </is>
      </c>
      <c r="B1057" s="4" t="inlineStr">
        <is>
          <t>whitetail</t>
        </is>
      </c>
      <c r="C1057" s="4" t="inlineStr">
        <is>
          <t>General Deer License</t>
        </is>
      </c>
      <c r="D1057" s="13" t="inlineStr">
        <is>
          <t>General license</t>
        </is>
      </c>
      <c r="E1057" s="4" t="inlineStr">
        <is>
          <t>Either-sex White-tailed Deer</t>
        </is>
      </c>
      <c r="F1057" s="4" t="inlineStr">
        <is>
          <t>Sep 05-Oct 18</t>
        </is>
      </c>
      <c r="G1057" s="4" t="inlineStr">
        <is>
          <t>Oct 19-Nov 29</t>
        </is>
      </c>
      <c r="H1057" s="4" t="n"/>
      <c r="I1057" s="4" t="inlineStr">
        <is>
          <t>Nov 30-Jan 15</t>
        </is>
      </c>
      <c r="J1057" s="4" t="n"/>
      <c r="K1057" s="4" t="n"/>
      <c r="L1057" s="4" t="inlineStr">
        <is>
          <t>ArchEquip only.</t>
        </is>
      </c>
    </row>
    <row r="1058">
      <c r="A1058" s="4" t="inlineStr">
        <is>
          <t>260</t>
        </is>
      </c>
      <c r="B1058" s="4" t="inlineStr">
        <is>
          <t>whitetail</t>
        </is>
      </c>
      <c r="C1058" s="4" t="inlineStr">
        <is>
          <t>Deer B License: 260-01</t>
        </is>
      </c>
      <c r="D1058" s="4" t="inlineStr">
        <is>
          <t>Over the counter</t>
        </is>
      </c>
      <c r="E1058" s="4" t="inlineStr">
        <is>
          <t>Antlerless White-tailed Deer</t>
        </is>
      </c>
      <c r="F1058" s="4" t="inlineStr">
        <is>
          <t>Sep 05-Oct 18</t>
        </is>
      </c>
      <c r="G1058" s="4" t="inlineStr">
        <is>
          <t>Oct 19-Nov 29</t>
        </is>
      </c>
      <c r="H1058" s="4" t="n"/>
      <c r="I1058" s="4" t="inlineStr">
        <is>
          <t>Nov 30-Jan 15</t>
        </is>
      </c>
      <c r="J1058" s="4" t="inlineStr">
        <is>
          <t>OTC: Jun 15</t>
        </is>
      </c>
      <c r="K1058" s="4" t="inlineStr">
        <is>
          <t>UNL</t>
        </is>
      </c>
      <c r="L1058" s="4" t="inlineStr">
        <is>
          <t>ArchEquip only. Hunters may purchase up to three 260-01 antlerless white-tailed deer B Licenses per hunter. Only valid in HDs 201 east of Hwy 93, 204, 240, 260, 261, 262, and 270.</t>
        </is>
      </c>
    </row>
    <row r="1059">
      <c r="A1059" s="4" t="inlineStr">
        <is>
          <t>260</t>
        </is>
      </c>
      <c r="B1059" s="4" t="inlineStr">
        <is>
          <t>whitetail</t>
        </is>
      </c>
      <c r="C1059" s="4" t="inlineStr">
        <is>
          <t>Deer B License: 260-20</t>
        </is>
      </c>
      <c r="D1059" s="15" t="inlineStr">
        <is>
          <t>Drawing</t>
        </is>
      </c>
      <c r="E1059" s="4" t="inlineStr">
        <is>
          <t>Either-sex White-tailed Deer</t>
        </is>
      </c>
      <c r="F1059" s="4" t="inlineStr">
        <is>
          <t>Sep 05-Oct 18</t>
        </is>
      </c>
      <c r="G1059" s="4" t="inlineStr">
        <is>
          <t>Oct 19-Nov 29</t>
        </is>
      </c>
      <c r="H1059" s="4" t="n"/>
      <c r="I1059" s="4" t="inlineStr">
        <is>
          <t>Nov 30-Jan 15</t>
        </is>
      </c>
      <c r="J1059" s="4" t="inlineStr">
        <is>
          <t>Jun 1</t>
        </is>
      </c>
      <c r="K1059" s="4" t="inlineStr">
        <is>
          <t>300</t>
        </is>
      </c>
      <c r="L1059" s="4" t="inlineStr">
        <is>
          <t>ArchEquip Only.</t>
        </is>
      </c>
    </row>
    <row r="1060">
      <c r="A1060" s="4" t="inlineStr">
        <is>
          <t>261</t>
        </is>
      </c>
      <c r="B1060" s="4" t="inlineStr">
        <is>
          <t>whitetail</t>
        </is>
      </c>
      <c r="C1060" s="4" t="inlineStr">
        <is>
          <t>General Deer License</t>
        </is>
      </c>
      <c r="D1060" s="13" t="inlineStr">
        <is>
          <t>General license</t>
        </is>
      </c>
      <c r="E1060" s="4" t="inlineStr">
        <is>
          <t>Either-sex White-tailed Deer</t>
        </is>
      </c>
      <c r="F1060" s="4" t="inlineStr">
        <is>
          <t>Sep 05-Oct 18</t>
        </is>
      </c>
      <c r="G1060" s="4" t="inlineStr">
        <is>
          <t>Oct 24-Nov 29</t>
        </is>
      </c>
      <c r="H1060" s="4" t="inlineStr">
        <is>
          <t>Dec 12-Dec 20</t>
        </is>
      </c>
      <c r="I1060" s="4" t="n"/>
      <c r="J1060" s="4" t="n"/>
      <c r="K1060" s="4" t="n"/>
      <c r="L1060" s="4" t="inlineStr">
        <is>
          <t>Only valid on private land.</t>
        </is>
      </c>
    </row>
    <row r="1061">
      <c r="A1061" s="4" t="inlineStr">
        <is>
          <t>261</t>
        </is>
      </c>
      <c r="B1061" s="4" t="inlineStr">
        <is>
          <t>whitetail</t>
        </is>
      </c>
      <c r="C1061" s="4" t="inlineStr">
        <is>
          <t>General Deer License</t>
        </is>
      </c>
      <c r="D1061" s="13" t="inlineStr">
        <is>
          <t>General license</t>
        </is>
      </c>
      <c r="E1061" s="4" t="inlineStr">
        <is>
          <t>Either-sex White-tailed Deer</t>
        </is>
      </c>
      <c r="F1061" s="4" t="inlineStr">
        <is>
          <t>Sep 05-Oct 18</t>
        </is>
      </c>
      <c r="G1061" s="4" t="n"/>
      <c r="H1061" s="4" t="n"/>
      <c r="I1061" s="4" t="n"/>
      <c r="J1061" s="4" t="n"/>
      <c r="K1061" s="4" t="n"/>
      <c r="L1061" s="4" t="n"/>
    </row>
    <row r="1062">
      <c r="A1062" s="4" t="inlineStr">
        <is>
          <t>261</t>
        </is>
      </c>
      <c r="B1062" s="4" t="inlineStr">
        <is>
          <t>whitetail</t>
        </is>
      </c>
      <c r="C1062" s="4" t="inlineStr">
        <is>
          <t>General Deer License</t>
        </is>
      </c>
      <c r="D1062" s="13" t="inlineStr">
        <is>
          <t>General license</t>
        </is>
      </c>
      <c r="E1062" s="4" t="inlineStr">
        <is>
          <t>Antlered Buck White-tailed Deer</t>
        </is>
      </c>
      <c r="F1062" s="4" t="n"/>
      <c r="G1062" s="4" t="inlineStr">
        <is>
          <t>Oct 24-Nov 29</t>
        </is>
      </c>
      <c r="H1062" s="4" t="inlineStr">
        <is>
          <t>Dec 12-Dec 20</t>
        </is>
      </c>
      <c r="I1062" s="4" t="n"/>
      <c r="J1062" s="4" t="n"/>
      <c r="K1062" s="4" t="n"/>
      <c r="L1062" s="4" t="n"/>
    </row>
    <row r="1063">
      <c r="A1063" s="4" t="inlineStr">
        <is>
          <t>261</t>
        </is>
      </c>
      <c r="B1063" s="4" t="inlineStr">
        <is>
          <t>whitetail</t>
        </is>
      </c>
      <c r="C1063" s="4" t="inlineStr">
        <is>
          <t>General Deer License</t>
        </is>
      </c>
      <c r="D1063" s="13" t="inlineStr">
        <is>
          <t>General license</t>
        </is>
      </c>
      <c r="E1063" s="4" t="inlineStr">
        <is>
          <t>Either-sex White-tailed Deer</t>
        </is>
      </c>
      <c r="F1063" s="4" t="n"/>
      <c r="G1063" s="4" t="inlineStr">
        <is>
          <t>Oct 24-Nov 29</t>
        </is>
      </c>
      <c r="H1063" s="4" t="inlineStr">
        <is>
          <t>Dec 12-Dec 20</t>
        </is>
      </c>
      <c r="I1063" s="4" t="n"/>
      <c r="J1063" s="4" t="n"/>
      <c r="K1063" s="4" t="n"/>
      <c r="L1063" s="4" t="inlineStr">
        <is>
          <t>Only youth ages 10-15.</t>
        </is>
      </c>
    </row>
    <row r="1064">
      <c r="A1064" s="4" t="inlineStr">
        <is>
          <t>261</t>
        </is>
      </c>
      <c r="B1064" s="4" t="inlineStr">
        <is>
          <t>whitetail</t>
        </is>
      </c>
      <c r="C1064" s="4" t="inlineStr">
        <is>
          <t>Deer B License: 260-01</t>
        </is>
      </c>
      <c r="D1064" s="4" t="inlineStr">
        <is>
          <t>Over the counter</t>
        </is>
      </c>
      <c r="E1064" s="4" t="inlineStr">
        <is>
          <t>Antlerless White-tailed Deer</t>
        </is>
      </c>
      <c r="F1064" s="4" t="inlineStr">
        <is>
          <t>Sep 05-Oct 18</t>
        </is>
      </c>
      <c r="G1064" s="4" t="inlineStr">
        <is>
          <t>Oct 19-Nov 29</t>
        </is>
      </c>
      <c r="H1064" s="4" t="n"/>
      <c r="I1064" s="4" t="inlineStr">
        <is>
          <t>Nov 30-Jan 15</t>
        </is>
      </c>
      <c r="J1064" s="4" t="inlineStr">
        <is>
          <t>OTC: Jun 15</t>
        </is>
      </c>
      <c r="K1064" s="4" t="inlineStr">
        <is>
          <t>UNL</t>
        </is>
      </c>
      <c r="L1064" s="4" t="inlineStr">
        <is>
          <t>ArchEquip only. Hunters may purchase up to three 260-01 antlerless white-tailed deer B licenses per hunter. Only valid in HDs 201 east of Hwy 93, 204, 240, 260, 261, 262, and 270.</t>
        </is>
      </c>
    </row>
    <row r="1065">
      <c r="A1065" s="4" t="inlineStr">
        <is>
          <t>261</t>
        </is>
      </c>
      <c r="B1065" s="4" t="inlineStr">
        <is>
          <t>whitetail</t>
        </is>
      </c>
      <c r="C1065" s="4" t="inlineStr">
        <is>
          <t>Deer B License: 299-00</t>
        </is>
      </c>
      <c r="D1065" s="4" t="inlineStr">
        <is>
          <t>Over the counter</t>
        </is>
      </c>
      <c r="E1065" s="4" t="inlineStr">
        <is>
          <t>Antlerless White-tailed Deer</t>
        </is>
      </c>
      <c r="F1065" s="4" t="inlineStr">
        <is>
          <t>Sep 05-Oct 18</t>
        </is>
      </c>
      <c r="G1065" s="4" t="inlineStr">
        <is>
          <t>Oct 24-Nov 29</t>
        </is>
      </c>
      <c r="H1065" s="4" t="inlineStr">
        <is>
          <t>Dec 12-Dec 20</t>
        </is>
      </c>
      <c r="I1065" s="4" t="n"/>
      <c r="J1065" s="4" t="inlineStr">
        <is>
          <t>OTC: Jun 15</t>
        </is>
      </c>
      <c r="K1065" s="4" t="inlineStr">
        <is>
          <t>UNL</t>
        </is>
      </c>
      <c r="L1065" s="4" t="inlineStr">
        <is>
          <t>One per hunter. Only valid on private land in HDs 204, 240, 261, and 270.</t>
        </is>
      </c>
    </row>
    <row r="1066">
      <c r="A1066" s="4" t="inlineStr">
        <is>
          <t>262</t>
        </is>
      </c>
      <c r="B1066" s="4" t="inlineStr">
        <is>
          <t>whitetail</t>
        </is>
      </c>
      <c r="C1066" s="4" t="inlineStr">
        <is>
          <t>General Deer License</t>
        </is>
      </c>
      <c r="D1066" s="13" t="inlineStr">
        <is>
          <t>General license</t>
        </is>
      </c>
      <c r="E1066" s="4" t="inlineStr">
        <is>
          <t>Either-sex White-tailed Deer</t>
        </is>
      </c>
      <c r="F1066" s="4" t="inlineStr">
        <is>
          <t>Sep 05-Oct 18</t>
        </is>
      </c>
      <c r="G1066" s="4" t="inlineStr">
        <is>
          <t>Oct 24-Nov 29</t>
        </is>
      </c>
      <c r="H1066" s="4" t="inlineStr">
        <is>
          <t>Dec 12-Dec 20</t>
        </is>
      </c>
      <c r="I1066" s="4" t="n"/>
      <c r="J1066" s="4" t="n"/>
      <c r="K1066" s="4" t="n"/>
      <c r="L1066" s="4" t="n"/>
    </row>
    <row r="1067">
      <c r="A1067" s="4" t="inlineStr">
        <is>
          <t>262</t>
        </is>
      </c>
      <c r="B1067" s="4" t="inlineStr">
        <is>
          <t>whitetail</t>
        </is>
      </c>
      <c r="C1067" s="4" t="inlineStr">
        <is>
          <t>Deer B License: 260-01</t>
        </is>
      </c>
      <c r="D1067" s="4" t="inlineStr">
        <is>
          <t>Over the counter</t>
        </is>
      </c>
      <c r="E1067" s="4" t="inlineStr">
        <is>
          <t>Antlerless White-tailed Deer</t>
        </is>
      </c>
      <c r="F1067" s="4" t="inlineStr">
        <is>
          <t>Sep 05-Oct 18</t>
        </is>
      </c>
      <c r="G1067" s="4" t="inlineStr">
        <is>
          <t>Oct 19-Nov 29</t>
        </is>
      </c>
      <c r="H1067" s="4" t="n"/>
      <c r="I1067" s="4" t="inlineStr">
        <is>
          <t>Nov 30-Jan 15</t>
        </is>
      </c>
      <c r="J1067" s="4" t="inlineStr">
        <is>
          <t>OTC: Jun 15</t>
        </is>
      </c>
      <c r="K1067" s="4" t="inlineStr">
        <is>
          <t>UNL</t>
        </is>
      </c>
      <c r="L1067" s="4" t="inlineStr">
        <is>
          <t>ArchEquip only. Hunters may purchase up to three 260-01 antlerless white-tailed deer B licenses per hunter. Only valid in HDs 201 east of Hwy 93, 204, 240, 260, 261, 262, and 270.</t>
        </is>
      </c>
    </row>
    <row r="1068">
      <c r="A1068" s="4" t="inlineStr">
        <is>
          <t>262</t>
        </is>
      </c>
      <c r="B1068" s="4" t="inlineStr">
        <is>
          <t>whitetail</t>
        </is>
      </c>
      <c r="C1068" s="4" t="inlineStr">
        <is>
          <t>Deer B License: 262-02</t>
        </is>
      </c>
      <c r="D1068" s="4" t="inlineStr">
        <is>
          <t>Over the counter</t>
        </is>
      </c>
      <c r="E1068" s="4" t="inlineStr">
        <is>
          <t>Antlerless White-tailed Deer</t>
        </is>
      </c>
      <c r="F1068" s="4" t="n"/>
      <c r="G1068" s="4" t="inlineStr">
        <is>
          <t>Oct 24-Nov 29</t>
        </is>
      </c>
      <c r="H1068" s="4" t="n"/>
      <c r="I1068" s="4" t="inlineStr">
        <is>
          <t>Nov 30-Jan 15</t>
        </is>
      </c>
      <c r="J1068" s="4" t="inlineStr">
        <is>
          <t>OTC: Jun 15</t>
        </is>
      </c>
      <c r="K1068" s="4" t="inlineStr">
        <is>
          <t>UNL</t>
        </is>
      </c>
      <c r="L1068" s="4" t="inlineStr">
        <is>
          <t>ArchEquip, shotgun, traditional handgun, muzzleloader, or crossbow only. Up to three 262- 02 Deer B Licenses per hunter. Up to three 262-02 Deer B Licenses per hunter.</t>
        </is>
      </c>
    </row>
    <row r="1069">
      <c r="A1069" s="4" t="inlineStr">
        <is>
          <t>270</t>
        </is>
      </c>
      <c r="B1069" s="4" t="inlineStr">
        <is>
          <t>whitetail</t>
        </is>
      </c>
      <c r="C1069" s="4" t="inlineStr">
        <is>
          <t>General Deer License</t>
        </is>
      </c>
      <c r="D1069" s="13" t="inlineStr">
        <is>
          <t>General license</t>
        </is>
      </c>
      <c r="E1069" s="4" t="inlineStr">
        <is>
          <t>Either-sex White-tailed Deer</t>
        </is>
      </c>
      <c r="F1069" s="4" t="inlineStr">
        <is>
          <t>Sep 05-Oct 18</t>
        </is>
      </c>
      <c r="G1069" s="4" t="inlineStr">
        <is>
          <t>Oct 24-Nov 29</t>
        </is>
      </c>
      <c r="H1069" s="4" t="inlineStr">
        <is>
          <t>Dec 12-Dec 20</t>
        </is>
      </c>
      <c r="I1069" s="4" t="n"/>
      <c r="J1069" s="4" t="n"/>
      <c r="K1069" s="4" t="n"/>
      <c r="L1069" s="4" t="inlineStr">
        <is>
          <t>Only valid on private land.</t>
        </is>
      </c>
    </row>
    <row r="1070">
      <c r="A1070" s="4" t="inlineStr">
        <is>
          <t>270</t>
        </is>
      </c>
      <c r="B1070" s="4" t="inlineStr">
        <is>
          <t>whitetail</t>
        </is>
      </c>
      <c r="C1070" s="4" t="inlineStr">
        <is>
          <t>General Deer License</t>
        </is>
      </c>
      <c r="D1070" s="13" t="inlineStr">
        <is>
          <t>General license</t>
        </is>
      </c>
      <c r="E1070" s="4" t="inlineStr">
        <is>
          <t>Either-sex White-tailed Deer</t>
        </is>
      </c>
      <c r="F1070" s="4" t="inlineStr">
        <is>
          <t>Sep 05-Oct 18</t>
        </is>
      </c>
      <c r="G1070" s="4" t="n"/>
      <c r="H1070" s="4" t="n"/>
      <c r="I1070" s="4" t="n"/>
      <c r="J1070" s="4" t="n"/>
      <c r="K1070" s="4" t="n"/>
      <c r="L1070" s="4" t="n"/>
    </row>
    <row r="1071">
      <c r="A1071" s="4" t="inlineStr">
        <is>
          <t>270</t>
        </is>
      </c>
      <c r="B1071" s="4" t="inlineStr">
        <is>
          <t>whitetail</t>
        </is>
      </c>
      <c r="C1071" s="4" t="inlineStr">
        <is>
          <t>General Deer License</t>
        </is>
      </c>
      <c r="D1071" s="13" t="inlineStr">
        <is>
          <t>General license</t>
        </is>
      </c>
      <c r="E1071" s="4" t="inlineStr">
        <is>
          <t>Antlered Buck White-tailed Deer</t>
        </is>
      </c>
      <c r="F1071" s="4" t="n"/>
      <c r="G1071" s="4" t="inlineStr">
        <is>
          <t>Oct 24-Nov 29</t>
        </is>
      </c>
      <c r="H1071" s="4" t="inlineStr">
        <is>
          <t>Dec 12-Dec 20</t>
        </is>
      </c>
      <c r="I1071" s="4" t="n"/>
      <c r="J1071" s="4" t="n"/>
      <c r="K1071" s="4" t="n"/>
      <c r="L1071" s="4" t="n"/>
    </row>
    <row r="1072">
      <c r="A1072" s="4" t="inlineStr">
        <is>
          <t>270</t>
        </is>
      </c>
      <c r="B1072" s="4" t="inlineStr">
        <is>
          <t>whitetail</t>
        </is>
      </c>
      <c r="C1072" s="4" t="inlineStr">
        <is>
          <t>General Deer License</t>
        </is>
      </c>
      <c r="D1072" s="13" t="inlineStr">
        <is>
          <t>General license</t>
        </is>
      </c>
      <c r="E1072" s="4" t="inlineStr">
        <is>
          <t>Either-sex White-tailed Deer</t>
        </is>
      </c>
      <c r="F1072" s="4" t="n"/>
      <c r="G1072" s="4" t="inlineStr">
        <is>
          <t>Oct 24-Nov 29</t>
        </is>
      </c>
      <c r="H1072" s="4" t="inlineStr">
        <is>
          <t>Dec 12-Dec 20</t>
        </is>
      </c>
      <c r="I1072" s="4" t="n"/>
      <c r="J1072" s="4" t="n"/>
      <c r="K1072" s="4" t="n"/>
      <c r="L1072" s="4" t="inlineStr">
        <is>
          <t>Only youth ages 10-15.</t>
        </is>
      </c>
    </row>
    <row r="1073">
      <c r="A1073" s="4" t="inlineStr">
        <is>
          <t>270</t>
        </is>
      </c>
      <c r="B1073" s="4" t="inlineStr">
        <is>
          <t>whitetail</t>
        </is>
      </c>
      <c r="C1073" s="4" t="inlineStr">
        <is>
          <t>Deer B License: 260-01</t>
        </is>
      </c>
      <c r="D1073" s="4" t="inlineStr">
        <is>
          <t>Over the counter</t>
        </is>
      </c>
      <c r="E1073" s="4" t="inlineStr">
        <is>
          <t>Antlerless White-tailed Deer</t>
        </is>
      </c>
      <c r="F1073" s="4" t="inlineStr">
        <is>
          <t>Sep 05-Oct 18</t>
        </is>
      </c>
      <c r="G1073" s="4" t="inlineStr">
        <is>
          <t>Oct 19-Nov 29</t>
        </is>
      </c>
      <c r="H1073" s="4" t="n"/>
      <c r="I1073" s="4" t="inlineStr">
        <is>
          <t>Nov 30-Jan 15</t>
        </is>
      </c>
      <c r="J1073" s="4" t="inlineStr">
        <is>
          <t>OTC: Jun 15</t>
        </is>
      </c>
      <c r="K1073" s="4" t="inlineStr">
        <is>
          <t>UNL</t>
        </is>
      </c>
      <c r="L1073" s="4" t="inlineStr">
        <is>
          <t>ArchEquip only. Hunters may purchase up to three 260-01 antlerless white-tailed deer B licenses per hunter. Only valid in HDs 201 east of Hwy 93, 204, 240, 260, 261, 262, and 270.</t>
        </is>
      </c>
    </row>
    <row r="1074">
      <c r="A1074" s="4" t="inlineStr">
        <is>
          <t>270</t>
        </is>
      </c>
      <c r="B1074" s="4" t="inlineStr">
        <is>
          <t>whitetail</t>
        </is>
      </c>
      <c r="C1074" s="4" t="inlineStr">
        <is>
          <t>Deer B License: 299-00</t>
        </is>
      </c>
      <c r="D1074" s="4" t="inlineStr">
        <is>
          <t>Over the counter</t>
        </is>
      </c>
      <c r="E1074" s="4" t="inlineStr">
        <is>
          <t>Antlerless White-tailed Deer</t>
        </is>
      </c>
      <c r="F1074" s="4" t="inlineStr">
        <is>
          <t>Sep 05-Oct 18</t>
        </is>
      </c>
      <c r="G1074" s="4" t="inlineStr">
        <is>
          <t>Oct 24-Nov 29</t>
        </is>
      </c>
      <c r="H1074" s="4" t="inlineStr">
        <is>
          <t>Dec 12-Dec 20</t>
        </is>
      </c>
      <c r="I1074" s="4" t="n"/>
      <c r="J1074" s="4" t="inlineStr">
        <is>
          <t>OTC: Jun 15</t>
        </is>
      </c>
      <c r="K1074" s="4" t="inlineStr">
        <is>
          <t>UNL</t>
        </is>
      </c>
      <c r="L1074" s="4" t="inlineStr">
        <is>
          <t>One per hunter. Only valid on private land in HDs 204, 240, 261, and 270.</t>
        </is>
      </c>
    </row>
    <row r="1075">
      <c r="A1075" s="4" t="inlineStr">
        <is>
          <t>280</t>
        </is>
      </c>
      <c r="B1075" s="4" t="inlineStr">
        <is>
          <t>whitetail</t>
        </is>
      </c>
      <c r="C1075" s="4" t="inlineStr">
        <is>
          <t>General Deer License</t>
        </is>
      </c>
      <c r="D1075" s="13" t="inlineStr">
        <is>
          <t>General license</t>
        </is>
      </c>
      <c r="E1075" s="4" t="inlineStr">
        <is>
          <t>Antlered Buck White-tailed Deer</t>
        </is>
      </c>
      <c r="F1075" s="4" t="inlineStr">
        <is>
          <t>Sep 05-Sep 14</t>
        </is>
      </c>
      <c r="G1075" s="4" t="inlineStr">
        <is>
          <t>Sep 15-Nov 29</t>
        </is>
      </c>
      <c r="H1075" s="4" t="inlineStr">
        <is>
          <t>Dec 12-Dec 20</t>
        </is>
      </c>
      <c r="I1075" s="4" t="n"/>
      <c r="J1075" s="4" t="n"/>
      <c r="K1075" s="4" t="n"/>
      <c r="L1075" s="4" t="n"/>
    </row>
    <row r="1076">
      <c r="A1076" s="4" t="inlineStr">
        <is>
          <t>280</t>
        </is>
      </c>
      <c r="B1076" s="4" t="inlineStr">
        <is>
          <t>whitetail</t>
        </is>
      </c>
      <c r="C1076" s="4" t="inlineStr">
        <is>
          <t>General Deer License</t>
        </is>
      </c>
      <c r="D1076" s="13" t="inlineStr">
        <is>
          <t>General license</t>
        </is>
      </c>
      <c r="E1076" s="4" t="inlineStr">
        <is>
          <t>Either-sex White-tailed Deer</t>
        </is>
      </c>
      <c r="F1076" s="4" t="n"/>
      <c r="G1076" s="4" t="inlineStr">
        <is>
          <t>Sep 15-Nov 29</t>
        </is>
      </c>
      <c r="H1076" s="4" t="inlineStr">
        <is>
          <t>Dec 12-Dec 20</t>
        </is>
      </c>
      <c r="I1076" s="4" t="n"/>
      <c r="J1076" s="4" t="n"/>
      <c r="K1076" s="4" t="n"/>
      <c r="L1076" s="4" t="inlineStr">
        <is>
          <t>Only youth ages 10-15.</t>
        </is>
      </c>
    </row>
    <row r="1077">
      <c r="A1077" s="4" t="inlineStr">
        <is>
          <t>281</t>
        </is>
      </c>
      <c r="B1077" s="4" t="inlineStr">
        <is>
          <t>whitetail</t>
        </is>
      </c>
      <c r="C1077" s="4" t="inlineStr">
        <is>
          <t>General Deer License</t>
        </is>
      </c>
      <c r="D1077" s="13" t="inlineStr">
        <is>
          <t>General license</t>
        </is>
      </c>
      <c r="E1077" s="4" t="inlineStr">
        <is>
          <t>Either-sex White-tailed Deer</t>
        </is>
      </c>
      <c r="F1077" s="4" t="inlineStr">
        <is>
          <t>Sep 05-Oct 18</t>
        </is>
      </c>
      <c r="G1077" s="4" t="inlineStr">
        <is>
          <t>Oct 24-Oct 30</t>
        </is>
      </c>
      <c r="H1077" s="4" t="n"/>
      <c r="I1077" s="4" t="n"/>
      <c r="J1077" s="4" t="n"/>
      <c r="K1077" s="4" t="n"/>
      <c r="L1077" s="4" t="n"/>
    </row>
    <row r="1078">
      <c r="A1078" s="4" t="inlineStr">
        <is>
          <t>281</t>
        </is>
      </c>
      <c r="B1078" s="4" t="inlineStr">
        <is>
          <t>whitetail</t>
        </is>
      </c>
      <c r="C1078" s="4" t="inlineStr">
        <is>
          <t>General Deer License</t>
        </is>
      </c>
      <c r="D1078" s="13" t="inlineStr">
        <is>
          <t>General license</t>
        </is>
      </c>
      <c r="E1078" s="4" t="inlineStr">
        <is>
          <t>Antlered Buck White-tailed Deer</t>
        </is>
      </c>
      <c r="F1078" s="4" t="n"/>
      <c r="G1078" s="4" t="inlineStr">
        <is>
          <t>Oct 31-Nov 29</t>
        </is>
      </c>
      <c r="H1078" s="4" t="inlineStr">
        <is>
          <t>Dec 12-Dec 20</t>
        </is>
      </c>
      <c r="I1078" s="4" t="n"/>
      <c r="J1078" s="4" t="n"/>
      <c r="K1078" s="4" t="n"/>
      <c r="L1078" s="4" t="n"/>
    </row>
    <row r="1079">
      <c r="A1079" s="4" t="inlineStr">
        <is>
          <t>281</t>
        </is>
      </c>
      <c r="B1079" s="4" t="inlineStr">
        <is>
          <t>whitetail</t>
        </is>
      </c>
      <c r="C1079" s="4" t="inlineStr">
        <is>
          <t>General Deer License</t>
        </is>
      </c>
      <c r="D1079" s="13" t="inlineStr">
        <is>
          <t>General license</t>
        </is>
      </c>
      <c r="E1079" s="4" t="inlineStr">
        <is>
          <t>Either-sex White-tailed Deer</t>
        </is>
      </c>
      <c r="F1079" s="4" t="n"/>
      <c r="G1079" s="4" t="inlineStr">
        <is>
          <t>Oct 31-Nov 29</t>
        </is>
      </c>
      <c r="H1079" s="4" t="inlineStr">
        <is>
          <t>Dec 12-Dec 20</t>
        </is>
      </c>
      <c r="I1079" s="4" t="n"/>
      <c r="J1079" s="4" t="n"/>
      <c r="K1079" s="4" t="n"/>
      <c r="L1079" s="4" t="inlineStr">
        <is>
          <t>Only youth ages 10-15.</t>
        </is>
      </c>
    </row>
    <row r="1080">
      <c r="A1080" s="4" t="inlineStr">
        <is>
          <t>281</t>
        </is>
      </c>
      <c r="B1080" s="4" t="inlineStr">
        <is>
          <t>whitetail</t>
        </is>
      </c>
      <c r="C1080" s="4" t="inlineStr">
        <is>
          <t>Deer B License: 281-00</t>
        </is>
      </c>
      <c r="D1080" s="15" t="inlineStr">
        <is>
          <t>Drawing</t>
        </is>
      </c>
      <c r="E1080" s="4" t="inlineStr">
        <is>
          <t>Antlerless White-tailed Deer</t>
        </is>
      </c>
      <c r="F1080" s="4" t="inlineStr">
        <is>
          <t>Sep 05-Oct 18</t>
        </is>
      </c>
      <c r="G1080" s="4" t="inlineStr">
        <is>
          <t>Oct 24-Nov 29</t>
        </is>
      </c>
      <c r="H1080" s="4" t="inlineStr">
        <is>
          <t>Dec 12-Dec 20</t>
        </is>
      </c>
      <c r="I1080" s="4" t="n"/>
      <c r="J1080" s="4" t="inlineStr">
        <is>
          <t>Jun 1</t>
        </is>
      </c>
      <c r="K1080" s="4" t="inlineStr">
        <is>
          <t>25</t>
        </is>
      </c>
      <c r="L1080" s="4" t="inlineStr">
        <is>
          <t>LICENSE/PERMIT OPPORTUNITY APPL Y BY DATE QUOTA QUOTA RANGE EARL Y SEASON DATES ARCHERY ONL Y SEASON DATES GENERAL SEASON DATES HERITAGE MUZZLELOADER SEASON DATES LATE SEASON DATES OPPORTUNITY SPECIFIC DETAILS AND/ORRESTRICTIONS</t>
        </is>
      </c>
    </row>
    <row r="1081">
      <c r="A1081" s="4" t="inlineStr">
        <is>
          <t>282</t>
        </is>
      </c>
      <c r="B1081" s="4" t="inlineStr">
        <is>
          <t>whitetail</t>
        </is>
      </c>
      <c r="C1081" s="4" t="inlineStr">
        <is>
          <t>General Deer License</t>
        </is>
      </c>
      <c r="D1081" s="13" t="inlineStr">
        <is>
          <t>General license</t>
        </is>
      </c>
      <c r="E1081" s="4" t="inlineStr">
        <is>
          <t>Antlered Buck White-tailed Deer</t>
        </is>
      </c>
      <c r="F1081" s="4" t="inlineStr">
        <is>
          <t>Sep 05-Oct 18</t>
        </is>
      </c>
      <c r="G1081" s="4" t="n"/>
      <c r="H1081" s="4" t="n"/>
      <c r="I1081" s="4" t="n"/>
      <c r="J1081" s="4" t="n"/>
      <c r="K1081" s="4" t="n"/>
      <c r="L1081" s="4" t="n"/>
    </row>
    <row r="1082">
      <c r="A1082" s="4" t="inlineStr">
        <is>
          <t>282</t>
        </is>
      </c>
      <c r="B1082" s="4" t="inlineStr">
        <is>
          <t>whitetail</t>
        </is>
      </c>
      <c r="C1082" s="4" t="inlineStr">
        <is>
          <t>Deer B License: 282-00</t>
        </is>
      </c>
      <c r="D1082" s="15" t="inlineStr">
        <is>
          <t>Drawing</t>
        </is>
      </c>
      <c r="E1082" s="4" t="inlineStr">
        <is>
          <t>Antlerless White-tailed Deer</t>
        </is>
      </c>
      <c r="F1082" s="4" t="inlineStr">
        <is>
          <t>Sep 05-Oct 18</t>
        </is>
      </c>
      <c r="G1082" s="4" t="inlineStr">
        <is>
          <t>Oct 24-Nov 29</t>
        </is>
      </c>
      <c r="H1082" s="4" t="inlineStr">
        <is>
          <t>Dec 12-Dec 20</t>
        </is>
      </c>
      <c r="I1082" s="4" t="n"/>
      <c r="J1082" s="4" t="inlineStr">
        <is>
          <t>Jun 1</t>
        </is>
      </c>
      <c r="K1082" s="4" t="inlineStr">
        <is>
          <t>25</t>
        </is>
      </c>
      <c r="L1082" s="4" t="n"/>
    </row>
    <row r="1083">
      <c r="A1083" s="4" t="inlineStr">
        <is>
          <t>282</t>
        </is>
      </c>
      <c r="B1083" s="4" t="inlineStr">
        <is>
          <t>whitetail</t>
        </is>
      </c>
      <c r="C1083" s="4" t="inlineStr">
        <is>
          <t>Deer Permit: 282-51</t>
        </is>
      </c>
      <c r="D1083" s="15" t="inlineStr">
        <is>
          <t>Drawing</t>
        </is>
      </c>
      <c r="E1083" s="4" t="inlineStr">
        <is>
          <t>Antlered Buck White-tailed Deer</t>
        </is>
      </c>
      <c r="F1083" s="4" t="inlineStr">
        <is>
          <t>Sep 05-Oct 18</t>
        </is>
      </c>
      <c r="G1083" s="4" t="inlineStr">
        <is>
          <t>Oct 24-Nov 29</t>
        </is>
      </c>
      <c r="H1083" s="4" t="inlineStr">
        <is>
          <t>Dec 12-Dec 20</t>
        </is>
      </c>
      <c r="I1083" s="4" t="n"/>
      <c r="J1083" s="4" t="inlineStr">
        <is>
          <t>April 1</t>
        </is>
      </c>
      <c r="K1083" s="4" t="inlineStr">
        <is>
          <t>25</t>
        </is>
      </c>
      <c r="L1083" s="4" t="inlineStr">
        <is>
          <t>Permit must be used with a valid General Deer License. Holders may not hunt Antlered Buck White-tailed Deer in any other HD.</t>
        </is>
      </c>
    </row>
    <row r="1084">
      <c r="A1084" s="4" t="inlineStr">
        <is>
          <t>284</t>
        </is>
      </c>
      <c r="B1084" s="4" t="inlineStr">
        <is>
          <t>whitetail</t>
        </is>
      </c>
      <c r="C1084" s="4" t="inlineStr">
        <is>
          <t>General Deer License</t>
        </is>
      </c>
      <c r="D1084" s="13" t="inlineStr">
        <is>
          <t>General license</t>
        </is>
      </c>
      <c r="E1084" s="4" t="inlineStr">
        <is>
          <t>Antlered Buck White-tailed Deer</t>
        </is>
      </c>
      <c r="F1084" s="4" t="n"/>
      <c r="G1084" s="4" t="inlineStr">
        <is>
          <t>Sep 05-Nov 29</t>
        </is>
      </c>
      <c r="H1084" s="4" t="n"/>
      <c r="I1084" s="4" t="n"/>
      <c r="J1084" s="4" t="n"/>
      <c r="K1084" s="4" t="n"/>
      <c r="L1084" s="4" t="inlineStr">
        <is>
          <t>ArchEquip only.</t>
        </is>
      </c>
    </row>
    <row r="1085">
      <c r="A1085" s="4" t="inlineStr">
        <is>
          <t>285</t>
        </is>
      </c>
      <c r="B1085" s="4" t="inlineStr">
        <is>
          <t>whitetail</t>
        </is>
      </c>
      <c r="C1085" s="4" t="inlineStr">
        <is>
          <t>General Deer License</t>
        </is>
      </c>
      <c r="D1085" s="13" t="inlineStr">
        <is>
          <t>General license</t>
        </is>
      </c>
      <c r="E1085" s="4" t="inlineStr">
        <is>
          <t>Either-sex White-tailed Deer</t>
        </is>
      </c>
      <c r="F1085" s="4" t="inlineStr">
        <is>
          <t>Sep 05-Oct 18</t>
        </is>
      </c>
      <c r="G1085" s="4" t="inlineStr">
        <is>
          <t>Oct 24-Oct 30</t>
        </is>
      </c>
      <c r="H1085" s="4" t="n"/>
      <c r="I1085" s="4" t="n"/>
      <c r="J1085" s="4" t="n"/>
      <c r="K1085" s="4" t="n"/>
      <c r="L1085" s="4" t="n"/>
    </row>
    <row r="1086">
      <c r="A1086" s="4" t="inlineStr">
        <is>
          <t>285</t>
        </is>
      </c>
      <c r="B1086" s="4" t="inlineStr">
        <is>
          <t>whitetail</t>
        </is>
      </c>
      <c r="C1086" s="4" t="inlineStr">
        <is>
          <t>General Deer License</t>
        </is>
      </c>
      <c r="D1086" s="13" t="inlineStr">
        <is>
          <t>General license</t>
        </is>
      </c>
      <c r="E1086" s="4" t="inlineStr">
        <is>
          <t>Antlered Buck White-tailed Deer</t>
        </is>
      </c>
      <c r="F1086" s="4" t="n"/>
      <c r="G1086" s="4" t="inlineStr">
        <is>
          <t>Oct 31-Nov 29</t>
        </is>
      </c>
      <c r="H1086" s="4" t="inlineStr">
        <is>
          <t>Dec 12-Dec 20</t>
        </is>
      </c>
      <c r="I1086" s="4" t="n"/>
      <c r="J1086" s="4" t="n"/>
      <c r="K1086" s="4" t="n"/>
      <c r="L1086" s="4" t="n"/>
    </row>
    <row r="1087">
      <c r="A1087" s="4" t="inlineStr">
        <is>
          <t>285</t>
        </is>
      </c>
      <c r="B1087" s="4" t="inlineStr">
        <is>
          <t>whitetail</t>
        </is>
      </c>
      <c r="C1087" s="4" t="inlineStr">
        <is>
          <t>General Deer License</t>
        </is>
      </c>
      <c r="D1087" s="13" t="inlineStr">
        <is>
          <t>General license</t>
        </is>
      </c>
      <c r="E1087" s="4" t="inlineStr">
        <is>
          <t>Either-sex White-tailed Deer</t>
        </is>
      </c>
      <c r="F1087" s="4" t="n"/>
      <c r="G1087" s="4" t="inlineStr">
        <is>
          <t>Oct 31-Nov 29</t>
        </is>
      </c>
      <c r="H1087" s="4" t="inlineStr">
        <is>
          <t>Dec 12-Dec 20</t>
        </is>
      </c>
      <c r="I1087" s="4" t="n"/>
      <c r="J1087" s="4" t="n"/>
      <c r="K1087" s="4" t="n"/>
      <c r="L1087" s="4" t="inlineStr">
        <is>
          <t>Only youth ages 10-15.</t>
        </is>
      </c>
    </row>
    <row r="1088">
      <c r="A1088" s="4" t="inlineStr">
        <is>
          <t>285</t>
        </is>
      </c>
      <c r="B1088" s="4" t="inlineStr">
        <is>
          <t>whitetail</t>
        </is>
      </c>
      <c r="C1088" s="4" t="inlineStr">
        <is>
          <t>Deer B License: 285-00</t>
        </is>
      </c>
      <c r="D1088" s="15" t="inlineStr">
        <is>
          <t>Drawing</t>
        </is>
      </c>
      <c r="E1088" s="4" t="inlineStr">
        <is>
          <t>Antlerless White-tailed Deer</t>
        </is>
      </c>
      <c r="F1088" s="4" t="inlineStr">
        <is>
          <t>Sep 05-Oct 18</t>
        </is>
      </c>
      <c r="G1088" s="4" t="inlineStr">
        <is>
          <t>Oct 24-Nov 29</t>
        </is>
      </c>
      <c r="H1088" s="4" t="inlineStr">
        <is>
          <t>Dec 12-Dec 20</t>
        </is>
      </c>
      <c r="I1088" s="4" t="n"/>
      <c r="J1088" s="4" t="inlineStr">
        <is>
          <t>Jun 1</t>
        </is>
      </c>
      <c r="K1088" s="4" t="inlineStr">
        <is>
          <t>100</t>
        </is>
      </c>
      <c r="L1088" s="4" t="n"/>
    </row>
    <row r="1089">
      <c r="A1089" s="4" t="inlineStr">
        <is>
          <t>290</t>
        </is>
      </c>
      <c r="B1089" s="4" t="inlineStr">
        <is>
          <t>whitetail</t>
        </is>
      </c>
      <c r="C1089" s="4" t="inlineStr">
        <is>
          <t>General Deer License</t>
        </is>
      </c>
      <c r="D1089" s="13" t="inlineStr">
        <is>
          <t>General license</t>
        </is>
      </c>
      <c r="E1089" s="4" t="inlineStr">
        <is>
          <t>Either-sex White-tailed Deer</t>
        </is>
      </c>
      <c r="F1089" s="4" t="n"/>
      <c r="G1089" s="4" t="inlineStr">
        <is>
          <t>Sep 05-Nov 29</t>
        </is>
      </c>
      <c r="H1089" s="4" t="n"/>
      <c r="I1089" s="4" t="inlineStr">
        <is>
          <t>Nov 30-Dec 15</t>
        </is>
      </c>
      <c r="J1089" s="4" t="n"/>
      <c r="K1089" s="4" t="n"/>
      <c r="L1089" s="4" t="inlineStr">
        <is>
          <t>ArchEquip only.</t>
        </is>
      </c>
    </row>
    <row r="1090">
      <c r="A1090" s="4" t="inlineStr">
        <is>
          <t>290</t>
        </is>
      </c>
      <c r="B1090" s="4" t="inlineStr">
        <is>
          <t>whitetail</t>
        </is>
      </c>
      <c r="C1090" s="4" t="inlineStr">
        <is>
          <t>Deer B License: 290-00</t>
        </is>
      </c>
      <c r="D1090" s="4" t="inlineStr">
        <is>
          <t>Over the counter</t>
        </is>
      </c>
      <c r="E1090" s="4" t="inlineStr">
        <is>
          <t>Antlerless White-tailed Deer</t>
        </is>
      </c>
      <c r="F1090" s="4" t="n"/>
      <c r="G1090" s="4" t="inlineStr">
        <is>
          <t>Sep 05-Nov 29</t>
        </is>
      </c>
      <c r="H1090" s="4" t="n"/>
      <c r="I1090" s="4" t="inlineStr">
        <is>
          <t>Nov 30-Dec 15</t>
        </is>
      </c>
      <c r="J1090" s="4" t="inlineStr">
        <is>
          <t>OTC: Jun 15</t>
        </is>
      </c>
      <c r="K1090" s="4" t="inlineStr">
        <is>
          <t>UNL</t>
        </is>
      </c>
      <c r="L1090" s="4" t="inlineStr">
        <is>
          <t>ArchEquip only. Up to three OTC B Licenses per hunter.</t>
        </is>
      </c>
    </row>
    <row r="1091">
      <c r="A1091" s="4" t="inlineStr">
        <is>
          <t>290</t>
        </is>
      </c>
      <c r="B1091" s="4" t="inlineStr">
        <is>
          <t>whitetail</t>
        </is>
      </c>
      <c r="C1091" s="4" t="inlineStr">
        <is>
          <t>Deer B License: 290-01</t>
        </is>
      </c>
      <c r="D1091" s="15" t="inlineStr">
        <is>
          <t>Drawing</t>
        </is>
      </c>
      <c r="E1091" s="4" t="inlineStr">
        <is>
          <t>Antlerless White-tailed Deer</t>
        </is>
      </c>
      <c r="F1091" s="4" t="inlineStr">
        <is>
          <t>Sep 05-Oct 18</t>
        </is>
      </c>
      <c r="G1091" s="4" t="n"/>
      <c r="H1091" s="4" t="n"/>
      <c r="I1091" s="4" t="n"/>
      <c r="J1091" s="4" t="inlineStr">
        <is>
          <t>Jun 1</t>
        </is>
      </c>
      <c r="K1091" s="4" t="inlineStr">
        <is>
          <t>25</t>
        </is>
      </c>
      <c r="L1091" s="4" t="inlineStr">
        <is>
          <t>Only valid on private land. Valid on private land only. Firearms allowed outside of East Ovando Archery Area.</t>
        </is>
      </c>
    </row>
    <row r="1092">
      <c r="A1092" s="4" t="inlineStr">
        <is>
          <t>290</t>
        </is>
      </c>
      <c r="B1092" s="4" t="inlineStr">
        <is>
          <t>whitetail</t>
        </is>
      </c>
      <c r="C1092" s="4" t="inlineStr">
        <is>
          <t>Deer B License: 290-02</t>
        </is>
      </c>
      <c r="D1092" s="15" t="inlineStr">
        <is>
          <t>Drawing</t>
        </is>
      </c>
      <c r="E1092" s="4" t="inlineStr">
        <is>
          <t>Either-sex White-tailed Deer</t>
        </is>
      </c>
      <c r="F1092" s="4" t="inlineStr">
        <is>
          <t>Sep 05-Oct 18</t>
        </is>
      </c>
      <c r="G1092" s="4" t="inlineStr">
        <is>
          <t>Oct 19-Nov 29</t>
        </is>
      </c>
      <c r="H1092" s="4" t="n"/>
      <c r="I1092" s="4" t="inlineStr">
        <is>
          <t>Nov 30-Jan 01</t>
        </is>
      </c>
      <c r="J1092" s="4" t="inlineStr">
        <is>
          <t>Jun 1</t>
        </is>
      </c>
      <c r="K1092" s="4" t="inlineStr">
        <is>
          <t>50</t>
        </is>
      </c>
      <c r="L1092" s="4" t="inlineStr">
        <is>
          <t>ArchEquip only.</t>
        </is>
      </c>
    </row>
    <row r="1093">
      <c r="A1093" s="4" t="inlineStr">
        <is>
          <t>291</t>
        </is>
      </c>
      <c r="B1093" s="4" t="inlineStr">
        <is>
          <t>whitetail</t>
        </is>
      </c>
      <c r="C1093" s="4" t="inlineStr">
        <is>
          <t>General Deer License</t>
        </is>
      </c>
      <c r="D1093" s="13" t="inlineStr">
        <is>
          <t>General license</t>
        </is>
      </c>
      <c r="E1093" s="4" t="inlineStr">
        <is>
          <t>Antlered Buck White-tailed Deer</t>
        </is>
      </c>
      <c r="F1093" s="4" t="n"/>
      <c r="G1093" s="4" t="inlineStr">
        <is>
          <t>Oct 24-Nov 29</t>
        </is>
      </c>
      <c r="H1093" s="4" t="inlineStr">
        <is>
          <t>Dec 12-Dec 20</t>
        </is>
      </c>
      <c r="I1093" s="4" t="n"/>
      <c r="J1093" s="4" t="n"/>
      <c r="K1093" s="4" t="n"/>
      <c r="L1093" s="4" t="n"/>
    </row>
    <row r="1094">
      <c r="A1094" s="4" t="inlineStr">
        <is>
          <t>291</t>
        </is>
      </c>
      <c r="B1094" s="4" t="inlineStr">
        <is>
          <t>whitetail</t>
        </is>
      </c>
      <c r="C1094" s="4" t="inlineStr">
        <is>
          <t>General Deer License</t>
        </is>
      </c>
      <c r="D1094" s="13" t="inlineStr">
        <is>
          <t>General license</t>
        </is>
      </c>
      <c r="E1094" s="4" t="inlineStr">
        <is>
          <t>Either-sex White-tailed Deer</t>
        </is>
      </c>
      <c r="F1094" s="4" t="inlineStr">
        <is>
          <t>Sep 05-Oct 18</t>
        </is>
      </c>
      <c r="G1094" s="4" t="n"/>
      <c r="H1094" s="4" t="n"/>
      <c r="I1094" s="4" t="n"/>
      <c r="J1094" s="4" t="n"/>
      <c r="K1094" s="4" t="n"/>
      <c r="L1094" s="4" t="n"/>
    </row>
    <row r="1095">
      <c r="A1095" s="4" t="inlineStr">
        <is>
          <t>291</t>
        </is>
      </c>
      <c r="B1095" s="4" t="inlineStr">
        <is>
          <t>whitetail</t>
        </is>
      </c>
      <c r="C1095" s="4" t="inlineStr">
        <is>
          <t>General Deer License</t>
        </is>
      </c>
      <c r="D1095" s="13" t="inlineStr">
        <is>
          <t>General license</t>
        </is>
      </c>
      <c r="E1095" s="4" t="inlineStr">
        <is>
          <t>Either-sex White-tailed Deer</t>
        </is>
      </c>
      <c r="F1095" s="4" t="n"/>
      <c r="G1095" s="4" t="inlineStr">
        <is>
          <t>Oct 24-Nov 29</t>
        </is>
      </c>
      <c r="H1095" s="4" t="inlineStr">
        <is>
          <t>Dec 12-Dec 20</t>
        </is>
      </c>
      <c r="I1095" s="4" t="n"/>
      <c r="J1095" s="4" t="n"/>
      <c r="K1095" s="4" t="n"/>
      <c r="L1095" s="4" t="inlineStr">
        <is>
          <t>Only youth ages 10-15.</t>
        </is>
      </c>
    </row>
    <row r="1096">
      <c r="A1096" s="4" t="inlineStr">
        <is>
          <t>291</t>
        </is>
      </c>
      <c r="B1096" s="4" t="inlineStr">
        <is>
          <t>whitetail</t>
        </is>
      </c>
      <c r="C1096" s="4" t="inlineStr">
        <is>
          <t>Deer B License: 291-00</t>
        </is>
      </c>
      <c r="D1096" s="15" t="inlineStr">
        <is>
          <t>Drawing</t>
        </is>
      </c>
      <c r="E1096" s="4" t="inlineStr">
        <is>
          <t>Antlerless White-tailed Deer</t>
        </is>
      </c>
      <c r="F1096" s="4" t="inlineStr">
        <is>
          <t>Sep 05-Oct 18</t>
        </is>
      </c>
      <c r="G1096" s="4" t="inlineStr">
        <is>
          <t>Oct 24-Nov 29</t>
        </is>
      </c>
      <c r="H1096" s="4" t="inlineStr">
        <is>
          <t>Dec 12-Dec 20</t>
        </is>
      </c>
      <c r="I1096" s="4" t="n"/>
      <c r="J1096" s="4" t="inlineStr">
        <is>
          <t>Jun 1</t>
        </is>
      </c>
      <c r="K1096" s="4" t="inlineStr">
        <is>
          <t>50</t>
        </is>
      </c>
      <c r="L1096" s="4" t="n"/>
    </row>
    <row r="1097">
      <c r="A1097" s="4" t="inlineStr">
        <is>
          <t>292</t>
        </is>
      </c>
      <c r="B1097" s="4" t="inlineStr">
        <is>
          <t>whitetail</t>
        </is>
      </c>
      <c r="C1097" s="4" t="inlineStr">
        <is>
          <t>General Deer License</t>
        </is>
      </c>
      <c r="D1097" s="13" t="inlineStr">
        <is>
          <t>General license</t>
        </is>
      </c>
      <c r="E1097" s="4" t="inlineStr">
        <is>
          <t>Either-sex White-tailed Deer</t>
        </is>
      </c>
      <c r="F1097" s="4" t="inlineStr">
        <is>
          <t>Sep 05-Oct 18</t>
        </is>
      </c>
      <c r="G1097" s="4" t="inlineStr">
        <is>
          <t>Oct 24-Oct 30</t>
        </is>
      </c>
      <c r="H1097" s="4" t="n"/>
      <c r="I1097" s="4" t="n"/>
      <c r="J1097" s="4" t="n"/>
      <c r="K1097" s="4" t="n"/>
      <c r="L1097" s="4" t="n"/>
    </row>
    <row r="1098">
      <c r="A1098" s="4" t="inlineStr">
        <is>
          <t>292</t>
        </is>
      </c>
      <c r="B1098" s="4" t="inlineStr">
        <is>
          <t>whitetail</t>
        </is>
      </c>
      <c r="C1098" s="4" t="inlineStr">
        <is>
          <t>General Deer License</t>
        </is>
      </c>
      <c r="D1098" s="13" t="inlineStr">
        <is>
          <t>General license</t>
        </is>
      </c>
      <c r="E1098" s="4" t="inlineStr">
        <is>
          <t>Antlered Buck White-tailed Deer</t>
        </is>
      </c>
      <c r="F1098" s="4" t="n"/>
      <c r="G1098" s="4" t="inlineStr">
        <is>
          <t>Oct 31-Nov 29</t>
        </is>
      </c>
      <c r="H1098" s="4" t="inlineStr">
        <is>
          <t>Dec 12-Dec 20</t>
        </is>
      </c>
      <c r="I1098" s="4" t="n"/>
      <c r="J1098" s="4" t="n"/>
      <c r="K1098" s="4" t="n"/>
      <c r="L1098" s="4" t="n"/>
    </row>
    <row r="1099">
      <c r="A1099" s="4" t="inlineStr">
        <is>
          <t>292</t>
        </is>
      </c>
      <c r="B1099" s="4" t="inlineStr">
        <is>
          <t>whitetail</t>
        </is>
      </c>
      <c r="C1099" s="4" t="inlineStr">
        <is>
          <t>General Deer License</t>
        </is>
      </c>
      <c r="D1099" s="13" t="inlineStr">
        <is>
          <t>General license</t>
        </is>
      </c>
      <c r="E1099" s="4" t="inlineStr">
        <is>
          <t>Either-sex White-tailed Deer</t>
        </is>
      </c>
      <c r="F1099" s="4" t="n"/>
      <c r="G1099" s="4" t="inlineStr">
        <is>
          <t>Oct 31-Nov 29</t>
        </is>
      </c>
      <c r="H1099" s="4" t="inlineStr">
        <is>
          <t>Dec 12-Dec 20</t>
        </is>
      </c>
      <c r="I1099" s="4" t="n"/>
      <c r="J1099" s="4" t="n"/>
      <c r="K1099" s="4" t="n"/>
      <c r="L1099" s="4" t="inlineStr">
        <is>
          <t>Only youth ages 10-15.</t>
        </is>
      </c>
    </row>
    <row r="1100">
      <c r="A1100" s="4" t="inlineStr">
        <is>
          <t>292</t>
        </is>
      </c>
      <c r="B1100" s="4" t="inlineStr">
        <is>
          <t>whitetail</t>
        </is>
      </c>
      <c r="C1100" s="4" t="inlineStr">
        <is>
          <t>Deer B License: 292-00</t>
        </is>
      </c>
      <c r="D1100" s="15" t="inlineStr">
        <is>
          <t>Drawing</t>
        </is>
      </c>
      <c r="E1100" s="4" t="inlineStr">
        <is>
          <t>Antlerless White-tailed Deer</t>
        </is>
      </c>
      <c r="F1100" s="4" t="inlineStr">
        <is>
          <t>Sep 05-Oct 18</t>
        </is>
      </c>
      <c r="G1100" s="4" t="inlineStr">
        <is>
          <t>Oct 24-Nov 29</t>
        </is>
      </c>
      <c r="H1100" s="4" t="inlineStr">
        <is>
          <t>Dec 12-Dec 20</t>
        </is>
      </c>
      <c r="I1100" s="4" t="n"/>
      <c r="J1100" s="4" t="inlineStr">
        <is>
          <t>Jun 1</t>
        </is>
      </c>
      <c r="K1100" s="4" t="inlineStr">
        <is>
          <t>100</t>
        </is>
      </c>
      <c r="L1100" s="4" t="inlineStr">
        <is>
          <t>Only valid on private land within the Blackfoot watershed.</t>
        </is>
      </c>
    </row>
    <row r="1101">
      <c r="A1101" s="4" t="inlineStr">
        <is>
          <t>293</t>
        </is>
      </c>
      <c r="B1101" s="4" t="inlineStr">
        <is>
          <t>whitetail</t>
        </is>
      </c>
      <c r="C1101" s="4" t="inlineStr">
        <is>
          <t>General Deer License</t>
        </is>
      </c>
      <c r="D1101" s="13" t="inlineStr">
        <is>
          <t>General license</t>
        </is>
      </c>
      <c r="E1101" s="4" t="inlineStr">
        <is>
          <t>Either-sex White-tailed Deer</t>
        </is>
      </c>
      <c r="F1101" s="4" t="inlineStr">
        <is>
          <t>Sep 05-Oct 18</t>
        </is>
      </c>
      <c r="G1101" s="4" t="inlineStr">
        <is>
          <t>Oct 24-Oct 30</t>
        </is>
      </c>
      <c r="H1101" s="4" t="n"/>
      <c r="I1101" s="4" t="n"/>
      <c r="J1101" s="4" t="n"/>
      <c r="K1101" s="4" t="n"/>
      <c r="L1101" s="4" t="n"/>
    </row>
    <row r="1102">
      <c r="A1102" s="4" t="inlineStr">
        <is>
          <t>293</t>
        </is>
      </c>
      <c r="B1102" s="4" t="inlineStr">
        <is>
          <t>whitetail</t>
        </is>
      </c>
      <c r="C1102" s="4" t="inlineStr">
        <is>
          <t>General Deer License</t>
        </is>
      </c>
      <c r="D1102" s="13" t="inlineStr">
        <is>
          <t>General license</t>
        </is>
      </c>
      <c r="E1102" s="4" t="inlineStr">
        <is>
          <t>Antlered Buck White-tailed Deer</t>
        </is>
      </c>
      <c r="F1102" s="4" t="n"/>
      <c r="G1102" s="4" t="inlineStr">
        <is>
          <t>Oct 31-Nov 29</t>
        </is>
      </c>
      <c r="H1102" s="4" t="inlineStr">
        <is>
          <t>Dec 12-Dec 20</t>
        </is>
      </c>
      <c r="I1102" s="4" t="n"/>
      <c r="J1102" s="4" t="n"/>
      <c r="K1102" s="4" t="n"/>
      <c r="L1102" s="4" t="n"/>
    </row>
    <row r="1103">
      <c r="A1103" s="4" t="inlineStr">
        <is>
          <t>293</t>
        </is>
      </c>
      <c r="B1103" s="4" t="inlineStr">
        <is>
          <t>whitetail</t>
        </is>
      </c>
      <c r="C1103" s="4" t="inlineStr">
        <is>
          <t>General Deer License</t>
        </is>
      </c>
      <c r="D1103" s="13" t="inlineStr">
        <is>
          <t>General license</t>
        </is>
      </c>
      <c r="E1103" s="4" t="inlineStr">
        <is>
          <t>Either-sex White-tailed Deer</t>
        </is>
      </c>
      <c r="F1103" s="4" t="n"/>
      <c r="G1103" s="4" t="inlineStr">
        <is>
          <t>Oct 31-Nov 29</t>
        </is>
      </c>
      <c r="H1103" s="4" t="inlineStr">
        <is>
          <t>Dec 12-Dec 20</t>
        </is>
      </c>
      <c r="I1103" s="4" t="n"/>
      <c r="J1103" s="4" t="n"/>
      <c r="K1103" s="4" t="n"/>
      <c r="L1103" s="4" t="inlineStr">
        <is>
          <t>Only youth ages 10-15.</t>
        </is>
      </c>
    </row>
    <row r="1104">
      <c r="A1104" s="4" t="inlineStr">
        <is>
          <t>298</t>
        </is>
      </c>
      <c r="B1104" s="4" t="inlineStr">
        <is>
          <t>whitetail</t>
        </is>
      </c>
      <c r="C1104" s="4" t="inlineStr">
        <is>
          <t>General Deer License</t>
        </is>
      </c>
      <c r="D1104" s="13" t="inlineStr">
        <is>
          <t>General license</t>
        </is>
      </c>
      <c r="E1104" s="4" t="inlineStr">
        <is>
          <t>Either-sex White-tailed Deer</t>
        </is>
      </c>
      <c r="F1104" s="4" t="inlineStr">
        <is>
          <t>Sep 05-Oct 18</t>
        </is>
      </c>
      <c r="G1104" s="4" t="inlineStr">
        <is>
          <t>Oct 24-Oct 30</t>
        </is>
      </c>
      <c r="H1104" s="4" t="n"/>
      <c r="I1104" s="4" t="n"/>
      <c r="J1104" s="4" t="n"/>
      <c r="K1104" s="4" t="n"/>
      <c r="L1104" s="4" t="n"/>
    </row>
    <row r="1105">
      <c r="A1105" s="4" t="inlineStr">
        <is>
          <t>298</t>
        </is>
      </c>
      <c r="B1105" s="4" t="inlineStr">
        <is>
          <t>whitetail</t>
        </is>
      </c>
      <c r="C1105" s="4" t="inlineStr">
        <is>
          <t>General Deer License</t>
        </is>
      </c>
      <c r="D1105" s="13" t="inlineStr">
        <is>
          <t>General license</t>
        </is>
      </c>
      <c r="E1105" s="4" t="inlineStr">
        <is>
          <t>Antlered Buck White-tailed Deer</t>
        </is>
      </c>
      <c r="F1105" s="4" t="n"/>
      <c r="G1105" s="4" t="inlineStr">
        <is>
          <t>Oct 31-Nov 29</t>
        </is>
      </c>
      <c r="H1105" s="4" t="inlineStr">
        <is>
          <t>Dec 12-Dec 20</t>
        </is>
      </c>
      <c r="I1105" s="4" t="n"/>
      <c r="J1105" s="4" t="n"/>
      <c r="K1105" s="4" t="n"/>
      <c r="L1105" s="4" t="n"/>
    </row>
    <row r="1106">
      <c r="A1106" s="4" t="inlineStr">
        <is>
          <t>298</t>
        </is>
      </c>
      <c r="B1106" s="4" t="inlineStr">
        <is>
          <t>whitetail</t>
        </is>
      </c>
      <c r="C1106" s="4" t="inlineStr">
        <is>
          <t>General Deer License</t>
        </is>
      </c>
      <c r="D1106" s="13" t="inlineStr">
        <is>
          <t>General license</t>
        </is>
      </c>
      <c r="E1106" s="4" t="inlineStr">
        <is>
          <t>Either-sex White-tailed Deer</t>
        </is>
      </c>
      <c r="F1106" s="4" t="n"/>
      <c r="G1106" s="4" t="inlineStr">
        <is>
          <t>Oct 31-Nov 29</t>
        </is>
      </c>
      <c r="H1106" s="4" t="inlineStr">
        <is>
          <t>Dec 12-Dec 20</t>
        </is>
      </c>
      <c r="I1106" s="4" t="n"/>
      <c r="J1106" s="4" t="n"/>
      <c r="K1106" s="4" t="n"/>
      <c r="L1106" s="4" t="inlineStr">
        <is>
          <t>Only youth ages 10-15.</t>
        </is>
      </c>
    </row>
    <row r="1107">
      <c r="A1107" s="4" t="inlineStr">
        <is>
          <t>301</t>
        </is>
      </c>
      <c r="B1107" s="4" t="inlineStr">
        <is>
          <t>whitetail</t>
        </is>
      </c>
      <c r="C1107" s="4" t="inlineStr">
        <is>
          <t>General Deer License</t>
        </is>
      </c>
      <c r="D1107" s="13" t="inlineStr">
        <is>
          <t>General license</t>
        </is>
      </c>
      <c r="E1107" s="4" t="inlineStr">
        <is>
          <t>Either-sex White-tailed Deer</t>
        </is>
      </c>
      <c r="F1107" s="4" t="inlineStr">
        <is>
          <t>Sep 05-Oct 18</t>
        </is>
      </c>
      <c r="G1107" s="4" t="inlineStr">
        <is>
          <t>Oct 24-Nov 29</t>
        </is>
      </c>
      <c r="H1107" s="4" t="inlineStr">
        <is>
          <t>Dec 12-Dec 20</t>
        </is>
      </c>
      <c r="I1107" s="4" t="n"/>
      <c r="J1107" s="4" t="n"/>
      <c r="K1107" s="4" t="n"/>
      <c r="L1107" s="4" t="n"/>
    </row>
    <row r="1108">
      <c r="A1108" s="4" t="inlineStr">
        <is>
          <t>301</t>
        </is>
      </c>
      <c r="B1108" s="4" t="inlineStr">
        <is>
          <t>whitetail</t>
        </is>
      </c>
      <c r="C1108" s="4" t="inlineStr">
        <is>
          <t>Deer B License: 003-00</t>
        </is>
      </c>
      <c r="D1108" s="4" t="inlineStr">
        <is>
          <t>Over the counter</t>
        </is>
      </c>
      <c r="E1108" s="4" t="inlineStr">
        <is>
          <t>Antlerless White-tailed Deer</t>
        </is>
      </c>
      <c r="F1108" s="4" t="inlineStr">
        <is>
          <t>Sep 05-Oct 18</t>
        </is>
      </c>
      <c r="G1108" s="4" t="inlineStr">
        <is>
          <t>Oct 24-Nov 29</t>
        </is>
      </c>
      <c r="H1108" s="4" t="inlineStr">
        <is>
          <t>Dec 12-Dec 20</t>
        </is>
      </c>
      <c r="I1108" s="4" t="n"/>
      <c r="J1108" s="4" t="inlineStr">
        <is>
          <t>OTC: Jun 15</t>
        </is>
      </c>
      <c r="K1108" s="4" t="inlineStr">
        <is>
          <t>UNL</t>
        </is>
      </c>
      <c r="L1108" s="4" t="inlineStr">
        <is>
          <t>One per hunter. Valid in all Region 3 HDs.</t>
        </is>
      </c>
    </row>
    <row r="1109">
      <c r="A1109" s="4" t="inlineStr">
        <is>
          <t>302</t>
        </is>
      </c>
      <c r="B1109" s="4" t="inlineStr">
        <is>
          <t>whitetail</t>
        </is>
      </c>
      <c r="C1109" s="4" t="inlineStr">
        <is>
          <t>General Deer License</t>
        </is>
      </c>
      <c r="D1109" s="13" t="inlineStr">
        <is>
          <t>General license</t>
        </is>
      </c>
      <c r="E1109" s="4" t="inlineStr">
        <is>
          <t>Either-sex White-tailed Deer</t>
        </is>
      </c>
      <c r="F1109" s="4" t="inlineStr">
        <is>
          <t>Sep 05-Oct 18</t>
        </is>
      </c>
      <c r="G1109" s="4" t="inlineStr">
        <is>
          <t>Oct 24-Nov 29</t>
        </is>
      </c>
      <c r="H1109" s="4" t="inlineStr">
        <is>
          <t>Dec 12-Dec 20</t>
        </is>
      </c>
      <c r="I1109" s="4" t="n"/>
      <c r="J1109" s="4" t="n"/>
      <c r="K1109" s="4" t="n"/>
      <c r="L1109" s="4" t="n"/>
    </row>
    <row r="1110">
      <c r="A1110" s="4" t="inlineStr">
        <is>
          <t>302</t>
        </is>
      </c>
      <c r="B1110" s="4" t="inlineStr">
        <is>
          <t>whitetail</t>
        </is>
      </c>
      <c r="C1110" s="4" t="inlineStr">
        <is>
          <t>Deer B License: 003-00</t>
        </is>
      </c>
      <c r="D1110" s="4" t="inlineStr">
        <is>
          <t>Over the counter</t>
        </is>
      </c>
      <c r="E1110" s="4" t="inlineStr">
        <is>
          <t>Antlerless White-tailed Deer</t>
        </is>
      </c>
      <c r="F1110" s="4" t="inlineStr">
        <is>
          <t>Sep 05-Oct 18</t>
        </is>
      </c>
      <c r="G1110" s="4" t="inlineStr">
        <is>
          <t>Oct 24-Nov 29</t>
        </is>
      </c>
      <c r="H1110" s="4" t="inlineStr">
        <is>
          <t>Dec 12-Dec 20</t>
        </is>
      </c>
      <c r="I1110" s="4" t="n"/>
      <c r="J1110" s="4" t="inlineStr">
        <is>
          <t>OTC: Jun 15</t>
        </is>
      </c>
      <c r="K1110" s="4" t="inlineStr">
        <is>
          <t>UNL</t>
        </is>
      </c>
      <c r="L1110" s="4" t="inlineStr">
        <is>
          <t>One per hunter. Valid in all Region 3 HDs.</t>
        </is>
      </c>
    </row>
    <row r="1111">
      <c r="A1111" s="4" t="inlineStr">
        <is>
          <t>302</t>
        </is>
      </c>
      <c r="B1111" s="4" t="inlineStr">
        <is>
          <t>whitetail</t>
        </is>
      </c>
      <c r="C1111" s="4" t="inlineStr">
        <is>
          <t>Deer B License: 399-00</t>
        </is>
      </c>
      <c r="D1111" s="4" t="inlineStr">
        <is>
          <t>Over the counter</t>
        </is>
      </c>
      <c r="E1111" s="4" t="inlineStr">
        <is>
          <t>Antlerless White-tailed Deer</t>
        </is>
      </c>
      <c r="F1111" s="4" t="inlineStr">
        <is>
          <t>Sep 05-Oct 18</t>
        </is>
      </c>
      <c r="G1111" s="4" t="inlineStr">
        <is>
          <t>Oct 24-Nov 29</t>
        </is>
      </c>
      <c r="H1111" s="4" t="inlineStr">
        <is>
          <t>Dec 12-Dec 20</t>
        </is>
      </c>
      <c r="I1111" s="4" t="n"/>
      <c r="J1111" s="4" t="inlineStr">
        <is>
          <t>OTC: Jun 15</t>
        </is>
      </c>
      <c r="K1111" s="4" t="inlineStr">
        <is>
          <t>UNL</t>
        </is>
      </c>
      <c r="L1111" s="4" t="inlineStr">
        <is>
          <t>Per hunter license quota set annually. Valid in HDs 302, 303, 320, 322, 323, 324, 329, 331, 340, and 360.</t>
        </is>
      </c>
    </row>
    <row r="1112">
      <c r="A1112" s="4" t="inlineStr">
        <is>
          <t>303</t>
        </is>
      </c>
      <c r="B1112" s="4" t="inlineStr">
        <is>
          <t>whitetail</t>
        </is>
      </c>
      <c r="C1112" s="4" t="inlineStr">
        <is>
          <t>General Deer License</t>
        </is>
      </c>
      <c r="D1112" s="13" t="inlineStr">
        <is>
          <t>General license</t>
        </is>
      </c>
      <c r="E1112" s="4" t="inlineStr">
        <is>
          <t>Either-sex White-tailed Deer</t>
        </is>
      </c>
      <c r="F1112" s="4" t="inlineStr">
        <is>
          <t>Sep 05-Oct 18</t>
        </is>
      </c>
      <c r="G1112" s="4" t="inlineStr">
        <is>
          <t>Oct 24-Nov 29</t>
        </is>
      </c>
      <c r="H1112" s="4" t="inlineStr">
        <is>
          <t>Dec 12-Dec 20</t>
        </is>
      </c>
      <c r="I1112" s="4" t="n"/>
      <c r="J1112" s="4" t="n"/>
      <c r="K1112" s="4" t="n"/>
      <c r="L1112" s="4" t="n"/>
    </row>
    <row r="1113">
      <c r="A1113" s="4" t="inlineStr">
        <is>
          <t>303</t>
        </is>
      </c>
      <c r="B1113" s="4" t="inlineStr">
        <is>
          <t>whitetail</t>
        </is>
      </c>
      <c r="C1113" s="4" t="inlineStr">
        <is>
          <t>Deer B License: 003-00</t>
        </is>
      </c>
      <c r="D1113" s="4" t="inlineStr">
        <is>
          <t>Over the counter</t>
        </is>
      </c>
      <c r="E1113" s="4" t="inlineStr">
        <is>
          <t>Antlerless White-tailed Deer</t>
        </is>
      </c>
      <c r="F1113" s="4" t="inlineStr">
        <is>
          <t>Sep 05-Oct 18</t>
        </is>
      </c>
      <c r="G1113" s="4" t="inlineStr">
        <is>
          <t>Oct 24-Nov 29</t>
        </is>
      </c>
      <c r="H1113" s="4" t="inlineStr">
        <is>
          <t>Dec 12-Dec 20</t>
        </is>
      </c>
      <c r="I1113" s="4" t="n"/>
      <c r="J1113" s="4" t="inlineStr">
        <is>
          <t>OTC: Jun 15</t>
        </is>
      </c>
      <c r="K1113" s="4" t="inlineStr">
        <is>
          <t>UNL</t>
        </is>
      </c>
      <c r="L1113" s="4" t="inlineStr">
        <is>
          <t>One per hunter. Valid in all Region 3 HDs.</t>
        </is>
      </c>
    </row>
    <row r="1114">
      <c r="A1114" s="4" t="inlineStr">
        <is>
          <t>303</t>
        </is>
      </c>
      <c r="B1114" s="4" t="inlineStr">
        <is>
          <t>whitetail</t>
        </is>
      </c>
      <c r="C1114" s="4" t="inlineStr">
        <is>
          <t>Deer B License: 399-00</t>
        </is>
      </c>
      <c r="D1114" s="4" t="inlineStr">
        <is>
          <t>Over the counter</t>
        </is>
      </c>
      <c r="E1114" s="4" t="inlineStr">
        <is>
          <t>Antlerless White-tailed Deer</t>
        </is>
      </c>
      <c r="F1114" s="4" t="inlineStr">
        <is>
          <t>Sep 05-Oct 18</t>
        </is>
      </c>
      <c r="G1114" s="4" t="inlineStr">
        <is>
          <t>Oct 24-Nov 29</t>
        </is>
      </c>
      <c r="H1114" s="4" t="inlineStr">
        <is>
          <t>Dec 12-Dec 20</t>
        </is>
      </c>
      <c r="I1114" s="4" t="n"/>
      <c r="J1114" s="4" t="inlineStr">
        <is>
          <t>OTC: Jun 15</t>
        </is>
      </c>
      <c r="K1114" s="4" t="inlineStr">
        <is>
          <t>UNL</t>
        </is>
      </c>
      <c r="L1114" s="4" t="inlineStr">
        <is>
          <t>Per hunter license quota set annually. Valid in HDs 302, 303, 320, 322, 323, 324, 329, 331, 340, and 360.</t>
        </is>
      </c>
    </row>
    <row r="1115">
      <c r="A1115" s="4" t="inlineStr">
        <is>
          <t>304</t>
        </is>
      </c>
      <c r="B1115" s="4" t="inlineStr">
        <is>
          <t>whitetail</t>
        </is>
      </c>
      <c r="C1115" s="4" t="inlineStr">
        <is>
          <t>General Deer License</t>
        </is>
      </c>
      <c r="D1115" s="13" t="inlineStr">
        <is>
          <t>General license</t>
        </is>
      </c>
      <c r="E1115" s="4" t="inlineStr">
        <is>
          <t>Either-sex White-tailed Deer</t>
        </is>
      </c>
      <c r="F1115" s="4" t="inlineStr">
        <is>
          <t>Sep 05-Oct 18</t>
        </is>
      </c>
      <c r="G1115" s="4" t="inlineStr">
        <is>
          <t>Oct 24-Nov 29</t>
        </is>
      </c>
      <c r="H1115" s="4" t="inlineStr">
        <is>
          <t>Dec 12-Dec 20</t>
        </is>
      </c>
      <c r="I1115" s="4" t="n"/>
      <c r="J1115" s="4" t="n"/>
      <c r="K1115" s="4" t="n"/>
      <c r="L1115" s="4" t="n"/>
    </row>
    <row r="1116">
      <c r="A1116" s="4" t="inlineStr">
        <is>
          <t>304</t>
        </is>
      </c>
      <c r="B1116" s="4" t="inlineStr">
        <is>
          <t>whitetail</t>
        </is>
      </c>
      <c r="C1116" s="4" t="inlineStr">
        <is>
          <t>Deer B License: 003-00</t>
        </is>
      </c>
      <c r="D1116" s="4" t="inlineStr">
        <is>
          <t>Over the counter</t>
        </is>
      </c>
      <c r="E1116" s="4" t="inlineStr">
        <is>
          <t>Antlerless White-tailed Deer</t>
        </is>
      </c>
      <c r="F1116" s="4" t="inlineStr">
        <is>
          <t>Sep 05-Oct 18</t>
        </is>
      </c>
      <c r="G1116" s="4" t="inlineStr">
        <is>
          <t>Oct 24-Nov 29</t>
        </is>
      </c>
      <c r="H1116" s="4" t="inlineStr">
        <is>
          <t>Dec 12-Dec 20</t>
        </is>
      </c>
      <c r="I1116" s="4" t="n"/>
      <c r="J1116" s="4" t="inlineStr">
        <is>
          <t>OTC: Jun 15</t>
        </is>
      </c>
      <c r="K1116" s="4" t="inlineStr">
        <is>
          <t>UNL</t>
        </is>
      </c>
      <c r="L1116" s="4" t="inlineStr">
        <is>
          <t>One per hunter. Valid in all Region 3 HDs.</t>
        </is>
      </c>
    </row>
    <row r="1117">
      <c r="A1117" s="4" t="inlineStr">
        <is>
          <t>304</t>
        </is>
      </c>
      <c r="B1117" s="4" t="inlineStr">
        <is>
          <t>whitetail</t>
        </is>
      </c>
      <c r="C1117" s="4" t="inlineStr">
        <is>
          <t>Deer B License: 398-00</t>
        </is>
      </c>
      <c r="D1117" s="4" t="inlineStr">
        <is>
          <t>Over the counter</t>
        </is>
      </c>
      <c r="E1117" s="4" t="inlineStr">
        <is>
          <t>Antlerless White-tailed Deer</t>
        </is>
      </c>
      <c r="F1117" s="4" t="inlineStr">
        <is>
          <t>Sep 05-Oct 18</t>
        </is>
      </c>
      <c r="G1117" s="4" t="inlineStr">
        <is>
          <t>Oct 24-Nov 29</t>
        </is>
      </c>
      <c r="H1117" s="4" t="inlineStr">
        <is>
          <t>Dec 12-Dec 20</t>
        </is>
      </c>
      <c r="I1117" s="4" t="n"/>
      <c r="J1117" s="4" t="inlineStr">
        <is>
          <t>OTC: Jun 15</t>
        </is>
      </c>
      <c r="K1117" s="4" t="inlineStr">
        <is>
          <t>UNL</t>
        </is>
      </c>
      <c r="L1117" s="4" t="inlineStr">
        <is>
          <t>One to three B licenses per hunter may be ofered for purchase. Multi-district license.</t>
        </is>
      </c>
    </row>
    <row r="1118">
      <c r="A1118" s="4" t="inlineStr">
        <is>
          <t>309</t>
        </is>
      </c>
      <c r="B1118" s="4" t="inlineStr">
        <is>
          <t>whitetail</t>
        </is>
      </c>
      <c r="C1118" s="4" t="inlineStr">
        <is>
          <t>General Deer License</t>
        </is>
      </c>
      <c r="D1118" s="13" t="inlineStr">
        <is>
          <t>General license</t>
        </is>
      </c>
      <c r="E1118" s="4" t="inlineStr">
        <is>
          <t>Antlerless White-tailed Deer</t>
        </is>
      </c>
      <c r="F1118" s="4" t="n"/>
      <c r="G1118" s="4" t="n"/>
      <c r="H1118" s="4" t="n"/>
      <c r="I1118" s="4" t="inlineStr">
        <is>
          <t>Nov 30-Jan 31</t>
        </is>
      </c>
      <c r="J1118" s="4" t="n"/>
      <c r="K1118" s="4" t="n"/>
      <c r="L1118" s="4" t="n"/>
    </row>
    <row r="1119">
      <c r="A1119" s="4" t="inlineStr">
        <is>
          <t>309</t>
        </is>
      </c>
      <c r="B1119" s="4" t="inlineStr">
        <is>
          <t>whitetail</t>
        </is>
      </c>
      <c r="C1119" s="4" t="inlineStr">
        <is>
          <t>General Deer License</t>
        </is>
      </c>
      <c r="D1119" s="13" t="inlineStr">
        <is>
          <t>General license</t>
        </is>
      </c>
      <c r="E1119" s="4" t="inlineStr">
        <is>
          <t>Either-sex White-tailed Deer</t>
        </is>
      </c>
      <c r="F1119" s="4" t="n"/>
      <c r="G1119" s="4" t="inlineStr">
        <is>
          <t>Sep 05-Nov 29</t>
        </is>
      </c>
      <c r="H1119" s="4" t="inlineStr">
        <is>
          <t>Dec 12-Dec 20</t>
        </is>
      </c>
      <c r="I1119" s="4" t="n"/>
      <c r="J1119" s="4" t="n"/>
      <c r="K1119" s="4" t="n"/>
      <c r="L1119" s="4" t="n"/>
    </row>
    <row r="1120">
      <c r="A1120" s="4" t="inlineStr">
        <is>
          <t>309</t>
        </is>
      </c>
      <c r="B1120" s="4" t="inlineStr">
        <is>
          <t>whitetail</t>
        </is>
      </c>
      <c r="C1120" s="4" t="inlineStr">
        <is>
          <t>Deer B License: 003-00</t>
        </is>
      </c>
      <c r="D1120" s="4" t="inlineStr">
        <is>
          <t>Over the counter</t>
        </is>
      </c>
      <c r="E1120" s="4" t="inlineStr">
        <is>
          <t>Antlerless White-tailed Deer</t>
        </is>
      </c>
      <c r="F1120" s="4" t="n"/>
      <c r="G1120" s="4" t="inlineStr">
        <is>
          <t>Sep 05-Nov 29</t>
        </is>
      </c>
      <c r="H1120" s="4" t="n"/>
      <c r="I1120" s="4" t="inlineStr">
        <is>
          <t>Nov 30-Jan 31</t>
        </is>
      </c>
      <c r="J1120" s="4" t="inlineStr">
        <is>
          <t>OTC: Jun 15</t>
        </is>
      </c>
      <c r="K1120" s="4" t="inlineStr">
        <is>
          <t>UNL</t>
        </is>
      </c>
      <c r="L1120" s="4" t="inlineStr">
        <is>
          <t>One per hunter. Valid in all Region 3 HDs.</t>
        </is>
      </c>
    </row>
    <row r="1121">
      <c r="A1121" s="4" t="inlineStr">
        <is>
          <t>309</t>
        </is>
      </c>
      <c r="B1121" s="4" t="inlineStr">
        <is>
          <t>whitetail</t>
        </is>
      </c>
      <c r="C1121" s="4" t="inlineStr">
        <is>
          <t>Deer B License: 398-00</t>
        </is>
      </c>
      <c r="D1121" s="4" t="inlineStr">
        <is>
          <t>Over the counter</t>
        </is>
      </c>
      <c r="E1121" s="4" t="inlineStr">
        <is>
          <t>Antlerless White-tailed Deer</t>
        </is>
      </c>
      <c r="F1121" s="4" t="n"/>
      <c r="G1121" s="4" t="inlineStr">
        <is>
          <t>Sep 05-Nov 29</t>
        </is>
      </c>
      <c r="H1121" s="4" t="n"/>
      <c r="I1121" s="4" t="inlineStr">
        <is>
          <t>Nov 30-Jan 31</t>
        </is>
      </c>
      <c r="J1121" s="4" t="inlineStr">
        <is>
          <t>OTC: Jun 15</t>
        </is>
      </c>
      <c r="K1121" s="4" t="inlineStr">
        <is>
          <t>UNL</t>
        </is>
      </c>
      <c r="L1121" s="4" t="inlineStr">
        <is>
          <t>One to three B licenses per hunter may be ofered for purchase. Multi-district license.</t>
        </is>
      </c>
    </row>
    <row r="1122">
      <c r="A1122" s="4" t="inlineStr">
        <is>
          <t>310</t>
        </is>
      </c>
      <c r="B1122" s="4" t="inlineStr">
        <is>
          <t>whitetail</t>
        </is>
      </c>
      <c r="C1122" s="4" t="inlineStr">
        <is>
          <t>General Deer License</t>
        </is>
      </c>
      <c r="D1122" s="13" t="inlineStr">
        <is>
          <t>General license</t>
        </is>
      </c>
      <c r="E1122" s="4" t="inlineStr">
        <is>
          <t>Either-sex White-tailed Deer</t>
        </is>
      </c>
      <c r="F1122" s="4" t="inlineStr">
        <is>
          <t>Sep 05-Oct 18</t>
        </is>
      </c>
      <c r="G1122" s="4" t="inlineStr">
        <is>
          <t>Oct 24-Nov 29</t>
        </is>
      </c>
      <c r="H1122" s="4" t="inlineStr">
        <is>
          <t>Dec 12-Dec 20</t>
        </is>
      </c>
      <c r="I1122" s="4" t="n"/>
      <c r="J1122" s="4" t="n"/>
      <c r="K1122" s="4" t="n"/>
      <c r="L1122" s="4" t="n"/>
    </row>
    <row r="1123">
      <c r="A1123" s="4" t="inlineStr">
        <is>
          <t>310</t>
        </is>
      </c>
      <c r="B1123" s="4" t="inlineStr">
        <is>
          <t>whitetail</t>
        </is>
      </c>
      <c r="C1123" s="4" t="inlineStr">
        <is>
          <t>Deer B License: 003-00</t>
        </is>
      </c>
      <c r="D1123" s="4" t="inlineStr">
        <is>
          <t>Over the counter</t>
        </is>
      </c>
      <c r="E1123" s="4" t="inlineStr">
        <is>
          <t>Antlerless White-tailed Deer</t>
        </is>
      </c>
      <c r="F1123" s="4" t="inlineStr">
        <is>
          <t>Sep 05-Oct 18</t>
        </is>
      </c>
      <c r="G1123" s="4" t="inlineStr">
        <is>
          <t>Oct 24-Nov 29</t>
        </is>
      </c>
      <c r="H1123" s="4" t="inlineStr">
        <is>
          <t>Dec 12-Dec 20</t>
        </is>
      </c>
      <c r="I1123" s="4" t="n"/>
      <c r="J1123" s="4" t="inlineStr">
        <is>
          <t>OTC: Jun 15</t>
        </is>
      </c>
      <c r="K1123" s="4" t="inlineStr">
        <is>
          <t>UNL</t>
        </is>
      </c>
      <c r="L1123" s="4" t="inlineStr">
        <is>
          <t>One per hunter. Valid in all Region 3 HDs.</t>
        </is>
      </c>
    </row>
    <row r="1124">
      <c r="A1124" s="4" t="inlineStr">
        <is>
          <t>311</t>
        </is>
      </c>
      <c r="B1124" s="4" t="inlineStr">
        <is>
          <t>whitetail</t>
        </is>
      </c>
      <c r="C1124" s="4" t="inlineStr">
        <is>
          <t>General Deer License</t>
        </is>
      </c>
      <c r="D1124" s="13" t="inlineStr">
        <is>
          <t>General license</t>
        </is>
      </c>
      <c r="E1124" s="4" t="inlineStr">
        <is>
          <t>Either-sex White-tailed Deer</t>
        </is>
      </c>
      <c r="F1124" s="4" t="inlineStr">
        <is>
          <t>Sep 05-Oct 18</t>
        </is>
      </c>
      <c r="G1124" s="4" t="inlineStr">
        <is>
          <t>Oct 24-Nov 29</t>
        </is>
      </c>
      <c r="H1124" s="4" t="inlineStr">
        <is>
          <t>Dec 12-Dec 20</t>
        </is>
      </c>
      <c r="I1124" s="4" t="n"/>
      <c r="J1124" s="4" t="n"/>
      <c r="K1124" s="4" t="n"/>
      <c r="L1124" s="4" t="n"/>
    </row>
    <row r="1125">
      <c r="A1125" s="4" t="inlineStr">
        <is>
          <t>311</t>
        </is>
      </c>
      <c r="B1125" s="4" t="inlineStr">
        <is>
          <t>whitetail</t>
        </is>
      </c>
      <c r="C1125" s="4" t="inlineStr">
        <is>
          <t>Deer B License: 003-00</t>
        </is>
      </c>
      <c r="D1125" s="4" t="inlineStr">
        <is>
          <t>Over the counter</t>
        </is>
      </c>
      <c r="E1125" s="4" t="inlineStr">
        <is>
          <t>Antlerless White-tailed Deer</t>
        </is>
      </c>
      <c r="F1125" s="4" t="inlineStr">
        <is>
          <t>Sep 05-Oct 18</t>
        </is>
      </c>
      <c r="G1125" s="4" t="inlineStr">
        <is>
          <t>Oct 24-Nov 29</t>
        </is>
      </c>
      <c r="H1125" s="4" t="inlineStr">
        <is>
          <t>Dec 12-Dec 20</t>
        </is>
      </c>
      <c r="I1125" s="4" t="n"/>
      <c r="J1125" s="4" t="inlineStr">
        <is>
          <t>OTC: Jun 15</t>
        </is>
      </c>
      <c r="K1125" s="4" t="inlineStr">
        <is>
          <t>UNL</t>
        </is>
      </c>
      <c r="L1125" s="4" t="inlineStr">
        <is>
          <t>One per hunter. Valid in all Region 3 HDs.</t>
        </is>
      </c>
    </row>
    <row r="1126">
      <c r="A1126" s="4" t="inlineStr">
        <is>
          <t>311</t>
        </is>
      </c>
      <c r="B1126" s="4" t="inlineStr">
        <is>
          <t>whitetail</t>
        </is>
      </c>
      <c r="C1126" s="4" t="inlineStr">
        <is>
          <t>Deer B License: 398-00</t>
        </is>
      </c>
      <c r="D1126" s="4" t="inlineStr">
        <is>
          <t>Over the counter</t>
        </is>
      </c>
      <c r="E1126" s="4" t="inlineStr">
        <is>
          <t>Antlerless White-tailed Deer</t>
        </is>
      </c>
      <c r="F1126" s="4" t="inlineStr">
        <is>
          <t>Sep 05-Oct 18</t>
        </is>
      </c>
      <c r="G1126" s="4" t="inlineStr">
        <is>
          <t>Oct 24-Nov 29</t>
        </is>
      </c>
      <c r="H1126" s="4" t="inlineStr">
        <is>
          <t>Dec 12-Dec 20</t>
        </is>
      </c>
      <c r="I1126" s="4" t="n"/>
      <c r="J1126" s="4" t="inlineStr">
        <is>
          <t>OTC: Jun 15</t>
        </is>
      </c>
      <c r="K1126" s="4" t="inlineStr">
        <is>
          <t>UNL</t>
        </is>
      </c>
      <c r="L1126" s="4" t="inlineStr">
        <is>
          <t>One to three B licenses per hunter may be ofered for purchase. Multi-district license.</t>
        </is>
      </c>
    </row>
    <row r="1127">
      <c r="A1127" s="4" t="inlineStr">
        <is>
          <t>312</t>
        </is>
      </c>
      <c r="B1127" s="4" t="inlineStr">
        <is>
          <t>whitetail</t>
        </is>
      </c>
      <c r="C1127" s="4" t="inlineStr">
        <is>
          <t>General Deer License</t>
        </is>
      </c>
      <c r="D1127" s="13" t="inlineStr">
        <is>
          <t>General license</t>
        </is>
      </c>
      <c r="E1127" s="4" t="inlineStr">
        <is>
          <t>Either-sex White-tailed Deer</t>
        </is>
      </c>
      <c r="F1127" s="4" t="inlineStr">
        <is>
          <t>Sep 05-Oct 18</t>
        </is>
      </c>
      <c r="G1127" s="4" t="inlineStr">
        <is>
          <t>Oct 24-Nov 29</t>
        </is>
      </c>
      <c r="H1127" s="4" t="inlineStr">
        <is>
          <t>Dec 12-Dec 20</t>
        </is>
      </c>
      <c r="I1127" s="4" t="n"/>
      <c r="J1127" s="4" t="n"/>
      <c r="K1127" s="4" t="n"/>
      <c r="L1127" s="4" t="n"/>
    </row>
    <row r="1128">
      <c r="A1128" s="4" t="inlineStr">
        <is>
          <t>312</t>
        </is>
      </c>
      <c r="B1128" s="4" t="inlineStr">
        <is>
          <t>whitetail</t>
        </is>
      </c>
      <c r="C1128" s="4" t="inlineStr">
        <is>
          <t>Deer B License: 003-00</t>
        </is>
      </c>
      <c r="D1128" s="4" t="inlineStr">
        <is>
          <t>Over the counter</t>
        </is>
      </c>
      <c r="E1128" s="4" t="inlineStr">
        <is>
          <t>Antlerless White-tailed Deer</t>
        </is>
      </c>
      <c r="F1128" s="4" t="inlineStr">
        <is>
          <t>Sep 05-Oct 18</t>
        </is>
      </c>
      <c r="G1128" s="4" t="inlineStr">
        <is>
          <t>Oct 24-Nov 29</t>
        </is>
      </c>
      <c r="H1128" s="4" t="inlineStr">
        <is>
          <t>Dec 12-Dec 20</t>
        </is>
      </c>
      <c r="I1128" s="4" t="n"/>
      <c r="J1128" s="4" t="inlineStr">
        <is>
          <t>OTC: Jun 15</t>
        </is>
      </c>
      <c r="K1128" s="4" t="inlineStr">
        <is>
          <t>UNL</t>
        </is>
      </c>
      <c r="L1128" s="4" t="inlineStr">
        <is>
          <t>One per hunter. Valid in all Region 3 HDs.</t>
        </is>
      </c>
    </row>
    <row r="1129">
      <c r="A1129" s="4" t="inlineStr">
        <is>
          <t>312</t>
        </is>
      </c>
      <c r="B1129" s="4" t="inlineStr">
        <is>
          <t>whitetail</t>
        </is>
      </c>
      <c r="C1129" s="4" t="inlineStr">
        <is>
          <t>Deer B License: 398-00</t>
        </is>
      </c>
      <c r="D1129" s="4" t="inlineStr">
        <is>
          <t>Over the counter</t>
        </is>
      </c>
      <c r="E1129" s="4" t="inlineStr">
        <is>
          <t>Antlerless White-tailed Deer</t>
        </is>
      </c>
      <c r="F1129" s="4" t="inlineStr">
        <is>
          <t>Sep 05-Oct 18</t>
        </is>
      </c>
      <c r="G1129" s="4" t="inlineStr">
        <is>
          <t>Oct 24-Nov 29</t>
        </is>
      </c>
      <c r="H1129" s="4" t="inlineStr">
        <is>
          <t>Dec 12-Dec 20</t>
        </is>
      </c>
      <c r="I1129" s="4" t="n"/>
      <c r="J1129" s="4" t="inlineStr">
        <is>
          <t>OTC: Jun 15</t>
        </is>
      </c>
      <c r="K1129" s="4" t="inlineStr">
        <is>
          <t>UNL</t>
        </is>
      </c>
      <c r="L1129" s="4" t="inlineStr">
        <is>
          <t>One to three B licenses per hunter may be ofered for purchase. Multi-district license.</t>
        </is>
      </c>
    </row>
    <row r="1130">
      <c r="A1130" s="4" t="inlineStr">
        <is>
          <t>313</t>
        </is>
      </c>
      <c r="B1130" s="4" t="inlineStr">
        <is>
          <t>whitetail</t>
        </is>
      </c>
      <c r="C1130" s="4" t="inlineStr">
        <is>
          <t>General Deer License</t>
        </is>
      </c>
      <c r="D1130" s="13" t="inlineStr">
        <is>
          <t>General license</t>
        </is>
      </c>
      <c r="E1130" s="4" t="inlineStr">
        <is>
          <t>Either-sex White-tailed Deer</t>
        </is>
      </c>
      <c r="F1130" s="4" t="inlineStr">
        <is>
          <t>Sep 05-Oct 18</t>
        </is>
      </c>
      <c r="G1130" s="4" t="inlineStr">
        <is>
          <t>Oct 24-Nov 29</t>
        </is>
      </c>
      <c r="H1130" s="4" t="inlineStr">
        <is>
          <t>Dec 12-Dec 20</t>
        </is>
      </c>
      <c r="I1130" s="4" t="n"/>
      <c r="J1130" s="4" t="n"/>
      <c r="K1130" s="4" t="n"/>
      <c r="L1130" s="4" t="n"/>
    </row>
    <row r="1131">
      <c r="A1131" s="4" t="inlineStr">
        <is>
          <t>313</t>
        </is>
      </c>
      <c r="B1131" s="4" t="inlineStr">
        <is>
          <t>whitetail</t>
        </is>
      </c>
      <c r="C1131" s="4" t="inlineStr">
        <is>
          <t>Deer B License: 003-00</t>
        </is>
      </c>
      <c r="D1131" s="4" t="inlineStr">
        <is>
          <t>Over the counter</t>
        </is>
      </c>
      <c r="E1131" s="4" t="inlineStr">
        <is>
          <t>Antlerless White-tailed Deer</t>
        </is>
      </c>
      <c r="F1131" s="4" t="inlineStr">
        <is>
          <t>Sep 05-Oct 18</t>
        </is>
      </c>
      <c r="G1131" s="4" t="inlineStr">
        <is>
          <t>Oct 24-Nov 29</t>
        </is>
      </c>
      <c r="H1131" s="4" t="inlineStr">
        <is>
          <t>Dec 12-Dec 20</t>
        </is>
      </c>
      <c r="I1131" s="4" t="n"/>
      <c r="J1131" s="4" t="inlineStr">
        <is>
          <t>OTC: Jun 15</t>
        </is>
      </c>
      <c r="K1131" s="4" t="inlineStr">
        <is>
          <t>UNL</t>
        </is>
      </c>
      <c r="L1131" s="4" t="inlineStr">
        <is>
          <t>One per hunter. Valid in all Region 3 HDs.</t>
        </is>
      </c>
    </row>
    <row r="1132">
      <c r="A1132" s="4" t="inlineStr">
        <is>
          <t>314</t>
        </is>
      </c>
      <c r="B1132" s="4" t="inlineStr">
        <is>
          <t>whitetail</t>
        </is>
      </c>
      <c r="C1132" s="4" t="inlineStr">
        <is>
          <t>General Deer License</t>
        </is>
      </c>
      <c r="D1132" s="13" t="inlineStr">
        <is>
          <t>General license</t>
        </is>
      </c>
      <c r="E1132" s="4" t="inlineStr">
        <is>
          <t>Either-sex White-tailed Deer</t>
        </is>
      </c>
      <c r="F1132" s="4" t="inlineStr">
        <is>
          <t>Sep 05-Oct 18</t>
        </is>
      </c>
      <c r="G1132" s="4" t="inlineStr">
        <is>
          <t>Oct 24-Nov 29</t>
        </is>
      </c>
      <c r="H1132" s="4" t="inlineStr">
        <is>
          <t>Dec 12-Dec 20</t>
        </is>
      </c>
      <c r="I1132" s="4" t="n"/>
      <c r="J1132" s="4" t="n"/>
      <c r="K1132" s="4" t="n"/>
      <c r="L1132" s="4" t="n"/>
    </row>
    <row r="1133">
      <c r="A1133" s="4" t="inlineStr">
        <is>
          <t>314</t>
        </is>
      </c>
      <c r="B1133" s="4" t="inlineStr">
        <is>
          <t>whitetail</t>
        </is>
      </c>
      <c r="C1133" s="4" t="inlineStr">
        <is>
          <t>General Deer License</t>
        </is>
      </c>
      <c r="D1133" s="13" t="inlineStr">
        <is>
          <t>General license</t>
        </is>
      </c>
      <c r="E1133" s="4" t="inlineStr">
        <is>
          <t>Antlerless White-tailed Deer</t>
        </is>
      </c>
      <c r="F1133" s="4" t="n"/>
      <c r="G1133" s="4" t="n"/>
      <c r="H1133" s="4" t="n"/>
      <c r="I1133" s="4" t="inlineStr">
        <is>
          <t>Nov 30-Jan 31</t>
        </is>
      </c>
      <c r="J1133" s="4" t="n"/>
      <c r="K1133" s="4" t="n"/>
      <c r="L1133" s="4" t="n"/>
    </row>
    <row r="1134">
      <c r="A1134" s="4" t="inlineStr">
        <is>
          <t>314</t>
        </is>
      </c>
      <c r="B1134" s="4" t="inlineStr">
        <is>
          <t>whitetail</t>
        </is>
      </c>
      <c r="C1134" s="4" t="inlineStr">
        <is>
          <t>Deer B License: 003-00</t>
        </is>
      </c>
      <c r="D1134" s="4" t="inlineStr">
        <is>
          <t>Over the counter</t>
        </is>
      </c>
      <c r="E1134" s="4" t="inlineStr">
        <is>
          <t>Antlerless White-tailed Deer</t>
        </is>
      </c>
      <c r="F1134" s="4" t="inlineStr">
        <is>
          <t>Sep 05-Oct 18</t>
        </is>
      </c>
      <c r="G1134" s="4" t="inlineStr">
        <is>
          <t>Oct 24-Nov 29</t>
        </is>
      </c>
      <c r="H1134" s="4" t="inlineStr">
        <is>
          <t>Dec 12-Dec 20</t>
        </is>
      </c>
      <c r="I1134" s="4" t="inlineStr">
        <is>
          <t>Nov 30-Jan 31</t>
        </is>
      </c>
      <c r="J1134" s="4" t="inlineStr">
        <is>
          <t>OTC: Jun 15</t>
        </is>
      </c>
      <c r="K1134" s="4" t="inlineStr">
        <is>
          <t>UNL</t>
        </is>
      </c>
      <c r="L1134" s="4" t="inlineStr">
        <is>
          <t>One per hunter. Valid in all Region 3 HDs.</t>
        </is>
      </c>
    </row>
    <row r="1135">
      <c r="A1135" s="4" t="inlineStr">
        <is>
          <t>314</t>
        </is>
      </c>
      <c r="B1135" s="4" t="inlineStr">
        <is>
          <t>whitetail</t>
        </is>
      </c>
      <c r="C1135" s="4" t="inlineStr">
        <is>
          <t>Deer B License: 397-00</t>
        </is>
      </c>
      <c r="D1135" s="4" t="inlineStr">
        <is>
          <t>Over the counter</t>
        </is>
      </c>
      <c r="E1135" s="4" t="inlineStr">
        <is>
          <t>Antlerless White-tailed Deer</t>
        </is>
      </c>
      <c r="F1135" s="4" t="inlineStr">
        <is>
          <t>Sep 05-Oct 18</t>
        </is>
      </c>
      <c r="G1135" s="4" t="inlineStr">
        <is>
          <t>Oct 24-Nov 29</t>
        </is>
      </c>
      <c r="H1135" s="4" t="inlineStr">
        <is>
          <t>Dec 12-Dec 20</t>
        </is>
      </c>
      <c r="I1135" s="4" t="inlineStr">
        <is>
          <t>Nov 30-Jan 31</t>
        </is>
      </c>
      <c r="J1135" s="4" t="inlineStr">
        <is>
          <t>OTC: Jun 15</t>
        </is>
      </c>
      <c r="K1135" s="4" t="inlineStr">
        <is>
          <t>UNL</t>
        </is>
      </c>
      <c r="L1135" s="4" t="inlineStr">
        <is>
          <t>Up to two licenses per hunter. Valid in HDs 314 and 317 only. 77 2026 Deer • Elk • Antelope Visit fwp.mt.gov LICENSE/PERMIT OPPORTUNITY APPL Y BY DATE QUOTA QUOTA RANGE EARL Y SEASON DATES ARCHERY ONL Y SEASON DATES GENERAL SEASON DATES HERITAGE MUZZLELOADER SEASON DATES LATE SEASON DATES OPPORTUNIT</t>
        </is>
      </c>
    </row>
    <row r="1136">
      <c r="A1136" s="4" t="inlineStr">
        <is>
          <t>315</t>
        </is>
      </c>
      <c r="B1136" s="4" t="inlineStr">
        <is>
          <t>whitetail</t>
        </is>
      </c>
      <c r="C1136" s="4" t="inlineStr">
        <is>
          <t>General Deer License</t>
        </is>
      </c>
      <c r="D1136" s="13" t="inlineStr">
        <is>
          <t>General license</t>
        </is>
      </c>
      <c r="E1136" s="4" t="inlineStr">
        <is>
          <t>Either-sex White-tailed Deer</t>
        </is>
      </c>
      <c r="F1136" s="4" t="inlineStr">
        <is>
          <t>Sep 05-Oct 18</t>
        </is>
      </c>
      <c r="G1136" s="4" t="inlineStr">
        <is>
          <t>Oct 24-Nov 29</t>
        </is>
      </c>
      <c r="H1136" s="4" t="inlineStr">
        <is>
          <t>Dec 12-Dec 20</t>
        </is>
      </c>
      <c r="I1136" s="4" t="n"/>
      <c r="J1136" s="4" t="n"/>
      <c r="K1136" s="4" t="n"/>
      <c r="L1136" s="4" t="n"/>
    </row>
    <row r="1137">
      <c r="A1137" s="4" t="inlineStr">
        <is>
          <t>315</t>
        </is>
      </c>
      <c r="B1137" s="4" t="inlineStr">
        <is>
          <t>whitetail</t>
        </is>
      </c>
      <c r="C1137" s="4" t="inlineStr">
        <is>
          <t>Deer B License: 003-00</t>
        </is>
      </c>
      <c r="D1137" s="4" t="inlineStr">
        <is>
          <t>Over the counter</t>
        </is>
      </c>
      <c r="E1137" s="4" t="inlineStr">
        <is>
          <t>Antlerless White-tailed Deer</t>
        </is>
      </c>
      <c r="F1137" s="4" t="inlineStr">
        <is>
          <t>Sep 05-Oct 18</t>
        </is>
      </c>
      <c r="G1137" s="4" t="inlineStr">
        <is>
          <t>Oct 24-Nov 29</t>
        </is>
      </c>
      <c r="H1137" s="4" t="inlineStr">
        <is>
          <t>Dec 12-Dec 20</t>
        </is>
      </c>
      <c r="I1137" s="4" t="n"/>
      <c r="J1137" s="4" t="inlineStr">
        <is>
          <t>OTC: Jun 15</t>
        </is>
      </c>
      <c r="K1137" s="4" t="inlineStr">
        <is>
          <t>UNL</t>
        </is>
      </c>
      <c r="L1137" s="4" t="inlineStr">
        <is>
          <t>One per hunter. Valid in all Region 3 HDs.</t>
        </is>
      </c>
    </row>
    <row r="1138">
      <c r="A1138" s="4" t="inlineStr">
        <is>
          <t>315</t>
        </is>
      </c>
      <c r="B1138" s="4" t="inlineStr">
        <is>
          <t>whitetail</t>
        </is>
      </c>
      <c r="C1138" s="4" t="inlineStr">
        <is>
          <t>Deer B License: 315-01</t>
        </is>
      </c>
      <c r="D1138" s="15" t="inlineStr">
        <is>
          <t>Drawing</t>
        </is>
      </c>
      <c r="E1138" s="4" t="inlineStr">
        <is>
          <t>Antlerless White-tailed Deer</t>
        </is>
      </c>
      <c r="F1138" s="4" t="inlineStr">
        <is>
          <t>Sep 05-Oct 18</t>
        </is>
      </c>
      <c r="G1138" s="4" t="inlineStr">
        <is>
          <t>Oct 24-Nov 29</t>
        </is>
      </c>
      <c r="H1138" s="4" t="inlineStr">
        <is>
          <t>Dec 12-Dec 20</t>
        </is>
      </c>
      <c r="I1138" s="4" t="n"/>
      <c r="J1138" s="4" t="inlineStr">
        <is>
          <t>Jun 1</t>
        </is>
      </c>
      <c r="K1138" s="4" t="inlineStr">
        <is>
          <t>250</t>
        </is>
      </c>
      <c r="L1138" s="4" t="n"/>
    </row>
    <row r="1139">
      <c r="A1139" s="4" t="inlineStr">
        <is>
          <t>316</t>
        </is>
      </c>
      <c r="B1139" s="4" t="inlineStr">
        <is>
          <t>whitetail</t>
        </is>
      </c>
      <c r="C1139" s="4" t="inlineStr">
        <is>
          <t>General Deer License</t>
        </is>
      </c>
      <c r="D1139" s="13" t="inlineStr">
        <is>
          <t>General license</t>
        </is>
      </c>
      <c r="E1139" s="4" t="inlineStr">
        <is>
          <t>Antlered Buck White-tailed Deer</t>
        </is>
      </c>
      <c r="F1139" s="4" t="n"/>
      <c r="G1139" s="4" t="inlineStr">
        <is>
          <t>Sep 15-Nov 29</t>
        </is>
      </c>
      <c r="H1139" s="4" t="inlineStr">
        <is>
          <t>Dec 12-Dec 20</t>
        </is>
      </c>
      <c r="I1139" s="4" t="n"/>
      <c r="J1139" s="4" t="n"/>
      <c r="K1139" s="4" t="n"/>
      <c r="L1139" s="4" t="n"/>
    </row>
    <row r="1140">
      <c r="A1140" s="4" t="inlineStr">
        <is>
          <t>316</t>
        </is>
      </c>
      <c r="B1140" s="4" t="inlineStr">
        <is>
          <t>whitetail</t>
        </is>
      </c>
      <c r="C1140" s="4" t="inlineStr">
        <is>
          <t>Deer B License: 003-00</t>
        </is>
      </c>
      <c r="D1140" s="4" t="inlineStr">
        <is>
          <t>Over the counter</t>
        </is>
      </c>
      <c r="E1140" s="4" t="inlineStr">
        <is>
          <t>Antlerless White-tailed Deer</t>
        </is>
      </c>
      <c r="F1140" s="4" t="n"/>
      <c r="G1140" s="4" t="inlineStr">
        <is>
          <t>Oct 24-Nov 29</t>
        </is>
      </c>
      <c r="H1140" s="4" t="inlineStr">
        <is>
          <t>Dec 12-Dec 20</t>
        </is>
      </c>
      <c r="I1140" s="4" t="n"/>
      <c r="J1140" s="4" t="inlineStr">
        <is>
          <t>OTC: Jun 15</t>
        </is>
      </c>
      <c r="K1140" s="4" t="inlineStr">
        <is>
          <t>UNL</t>
        </is>
      </c>
      <c r="L1140" s="4" t="inlineStr">
        <is>
          <t>One per hunter. Valid in all Region 3 HDs.</t>
        </is>
      </c>
    </row>
    <row r="1141">
      <c r="A1141" s="4" t="inlineStr">
        <is>
          <t>317</t>
        </is>
      </c>
      <c r="B1141" s="4" t="inlineStr">
        <is>
          <t>whitetail</t>
        </is>
      </c>
      <c r="C1141" s="4" t="inlineStr">
        <is>
          <t>General Deer License</t>
        </is>
      </c>
      <c r="D1141" s="13" t="inlineStr">
        <is>
          <t>General license</t>
        </is>
      </c>
      <c r="E1141" s="4" t="inlineStr">
        <is>
          <t>Either-sex White-tailed Deer</t>
        </is>
      </c>
      <c r="F1141" s="4" t="inlineStr">
        <is>
          <t>Sep 05-Oct 18</t>
        </is>
      </c>
      <c r="G1141" s="4" t="inlineStr">
        <is>
          <t>Oct 24-Nov 29</t>
        </is>
      </c>
      <c r="H1141" s="4" t="inlineStr">
        <is>
          <t>Dec 12-Dec 20</t>
        </is>
      </c>
      <c r="I1141" s="4" t="n"/>
      <c r="J1141" s="4" t="n"/>
      <c r="K1141" s="4" t="n"/>
      <c r="L1141" s="4" t="n"/>
    </row>
    <row r="1142">
      <c r="A1142" s="4" t="inlineStr">
        <is>
          <t>317</t>
        </is>
      </c>
      <c r="B1142" s="4" t="inlineStr">
        <is>
          <t>whitetail</t>
        </is>
      </c>
      <c r="C1142" s="4" t="inlineStr">
        <is>
          <t>General Deer License</t>
        </is>
      </c>
      <c r="D1142" s="13" t="inlineStr">
        <is>
          <t>General license</t>
        </is>
      </c>
      <c r="E1142" s="4" t="inlineStr">
        <is>
          <t>Antlerless White-tailed Deer</t>
        </is>
      </c>
      <c r="F1142" s="4" t="n"/>
      <c r="G1142" s="4" t="n"/>
      <c r="H1142" s="4" t="n"/>
      <c r="I1142" s="4" t="inlineStr">
        <is>
          <t>Nov 30-Jan 31</t>
        </is>
      </c>
      <c r="J1142" s="4" t="n"/>
      <c r="K1142" s="4" t="n"/>
      <c r="L1142" s="4" t="n"/>
    </row>
    <row r="1143">
      <c r="A1143" s="4" t="inlineStr">
        <is>
          <t>317</t>
        </is>
      </c>
      <c r="B1143" s="4" t="inlineStr">
        <is>
          <t>whitetail</t>
        </is>
      </c>
      <c r="C1143" s="4" t="inlineStr">
        <is>
          <t>Deer B License: 003-00</t>
        </is>
      </c>
      <c r="D1143" s="4" t="inlineStr">
        <is>
          <t>Over the counter</t>
        </is>
      </c>
      <c r="E1143" s="4" t="inlineStr">
        <is>
          <t>Antlerless White-tailed Deer</t>
        </is>
      </c>
      <c r="F1143" s="4" t="inlineStr">
        <is>
          <t>Sep 05-Oct 18</t>
        </is>
      </c>
      <c r="G1143" s="4" t="inlineStr">
        <is>
          <t>Oct 24-Nov 29</t>
        </is>
      </c>
      <c r="H1143" s="4" t="inlineStr">
        <is>
          <t>Dec 12-Dec 20</t>
        </is>
      </c>
      <c r="I1143" s="4" t="inlineStr">
        <is>
          <t>Nov 30-Jan 31</t>
        </is>
      </c>
      <c r="J1143" s="4" t="inlineStr">
        <is>
          <t>OTC: Jun 15</t>
        </is>
      </c>
      <c r="K1143" s="4" t="inlineStr">
        <is>
          <t>UNL</t>
        </is>
      </c>
      <c r="L1143" s="4" t="inlineStr">
        <is>
          <t>One per hunter. Valid in all Region 3 HDs.</t>
        </is>
      </c>
    </row>
    <row r="1144">
      <c r="A1144" s="4" t="inlineStr">
        <is>
          <t>317</t>
        </is>
      </c>
      <c r="B1144" s="4" t="inlineStr">
        <is>
          <t>whitetail</t>
        </is>
      </c>
      <c r="C1144" s="4" t="inlineStr">
        <is>
          <t>Deer B License: 397-00</t>
        </is>
      </c>
      <c r="D1144" s="4" t="inlineStr">
        <is>
          <t>Over the counter</t>
        </is>
      </c>
      <c r="E1144" s="4" t="inlineStr">
        <is>
          <t>Antlerless White-tailed Deer</t>
        </is>
      </c>
      <c r="F1144" s="4" t="inlineStr">
        <is>
          <t>Sep 05-Oct 18</t>
        </is>
      </c>
      <c r="G1144" s="4" t="inlineStr">
        <is>
          <t>Oct 24-Nov 29</t>
        </is>
      </c>
      <c r="H1144" s="4" t="inlineStr">
        <is>
          <t>Dec 12-Dec 20</t>
        </is>
      </c>
      <c r="I1144" s="4" t="inlineStr">
        <is>
          <t>Nov 30-Jan 31</t>
        </is>
      </c>
      <c r="J1144" s="4" t="inlineStr">
        <is>
          <t>OTC: Jun 15</t>
        </is>
      </c>
      <c r="K1144" s="4" t="inlineStr">
        <is>
          <t>UNL</t>
        </is>
      </c>
      <c r="L1144" s="4" t="inlineStr">
        <is>
          <t>Up to two licenses per hunter. Valid in HDs 314 and 317 only.</t>
        </is>
      </c>
    </row>
    <row r="1145">
      <c r="A1145" s="4" t="inlineStr">
        <is>
          <t>318</t>
        </is>
      </c>
      <c r="B1145" s="4" t="inlineStr">
        <is>
          <t>whitetail</t>
        </is>
      </c>
      <c r="C1145" s="4" t="inlineStr">
        <is>
          <t>General Deer License</t>
        </is>
      </c>
      <c r="D1145" s="13" t="inlineStr">
        <is>
          <t>General license</t>
        </is>
      </c>
      <c r="E1145" s="4" t="inlineStr">
        <is>
          <t>Either-sex White-tailed Deer</t>
        </is>
      </c>
      <c r="F1145" s="4" t="inlineStr">
        <is>
          <t>Sep 05-Oct 18</t>
        </is>
      </c>
      <c r="G1145" s="4" t="inlineStr">
        <is>
          <t>Oct 24-Nov 29</t>
        </is>
      </c>
      <c r="H1145" s="4" t="inlineStr">
        <is>
          <t>Dec 12-Dec 20</t>
        </is>
      </c>
      <c r="I1145" s="4" t="n"/>
      <c r="J1145" s="4" t="n"/>
      <c r="K1145" s="4" t="n"/>
      <c r="L1145" s="4" t="n"/>
    </row>
    <row r="1146">
      <c r="A1146" s="4" t="inlineStr">
        <is>
          <t>318</t>
        </is>
      </c>
      <c r="B1146" s="4" t="inlineStr">
        <is>
          <t>whitetail</t>
        </is>
      </c>
      <c r="C1146" s="4" t="inlineStr">
        <is>
          <t>Deer B License: 003-00</t>
        </is>
      </c>
      <c r="D1146" s="4" t="inlineStr">
        <is>
          <t>Over the counter</t>
        </is>
      </c>
      <c r="E1146" s="4" t="inlineStr">
        <is>
          <t>Antlerless White-tailed Deer</t>
        </is>
      </c>
      <c r="F1146" s="4" t="inlineStr">
        <is>
          <t>Sep 05-Oct 18</t>
        </is>
      </c>
      <c r="G1146" s="4" t="inlineStr">
        <is>
          <t>Oct 24-Nov 29</t>
        </is>
      </c>
      <c r="H1146" s="4" t="inlineStr">
        <is>
          <t>Dec 12-Dec 20</t>
        </is>
      </c>
      <c r="I1146" s="4" t="n"/>
      <c r="J1146" s="4" t="inlineStr">
        <is>
          <t>OTC: Jun 15</t>
        </is>
      </c>
      <c r="K1146" s="4" t="inlineStr">
        <is>
          <t>UNL</t>
        </is>
      </c>
      <c r="L1146" s="4" t="inlineStr">
        <is>
          <t>One per hunter. Valid in all Region 3 HDs.</t>
        </is>
      </c>
    </row>
    <row r="1147">
      <c r="A1147" s="4" t="inlineStr">
        <is>
          <t>319</t>
        </is>
      </c>
      <c r="B1147" s="4" t="inlineStr">
        <is>
          <t>whitetail</t>
        </is>
      </c>
      <c r="C1147" s="4" t="inlineStr">
        <is>
          <t>General Deer License</t>
        </is>
      </c>
      <c r="D1147" s="13" t="inlineStr">
        <is>
          <t>General license</t>
        </is>
      </c>
      <c r="E1147" s="4" t="inlineStr">
        <is>
          <t>Either-sex White-tailed Deer</t>
        </is>
      </c>
      <c r="F1147" s="4" t="inlineStr">
        <is>
          <t>Sep 05-Oct 18</t>
        </is>
      </c>
      <c r="G1147" s="4" t="inlineStr">
        <is>
          <t>Oct 24-Nov 29</t>
        </is>
      </c>
      <c r="H1147" s="4" t="inlineStr">
        <is>
          <t>Dec 12-Dec 20</t>
        </is>
      </c>
      <c r="I1147" s="4" t="n"/>
      <c r="J1147" s="4" t="n"/>
      <c r="K1147" s="4" t="n"/>
      <c r="L1147" s="4" t="n"/>
    </row>
    <row r="1148">
      <c r="A1148" s="4" t="inlineStr">
        <is>
          <t>319</t>
        </is>
      </c>
      <c r="B1148" s="4" t="inlineStr">
        <is>
          <t>whitetail</t>
        </is>
      </c>
      <c r="C1148" s="4" t="inlineStr">
        <is>
          <t>Deer B License: 003-00</t>
        </is>
      </c>
      <c r="D1148" s="4" t="inlineStr">
        <is>
          <t>Over the counter</t>
        </is>
      </c>
      <c r="E1148" s="4" t="inlineStr">
        <is>
          <t>Antlerless White-tailed Deer</t>
        </is>
      </c>
      <c r="F1148" s="4" t="inlineStr">
        <is>
          <t>Sep 05-Oct 18</t>
        </is>
      </c>
      <c r="G1148" s="4" t="inlineStr">
        <is>
          <t>Oct 24-Nov 29</t>
        </is>
      </c>
      <c r="H1148" s="4" t="inlineStr">
        <is>
          <t>Dec 12-Dec 20</t>
        </is>
      </c>
      <c r="I1148" s="4" t="n"/>
      <c r="J1148" s="4" t="inlineStr">
        <is>
          <t>OTC: Jun 15</t>
        </is>
      </c>
      <c r="K1148" s="4" t="inlineStr">
        <is>
          <t>UNL</t>
        </is>
      </c>
      <c r="L1148" s="4" t="inlineStr">
        <is>
          <t>One per hunter. Valid in all Region 3 HDs.</t>
        </is>
      </c>
    </row>
    <row r="1149">
      <c r="A1149" s="4" t="inlineStr">
        <is>
          <t>320</t>
        </is>
      </c>
      <c r="B1149" s="4" t="inlineStr">
        <is>
          <t>whitetail</t>
        </is>
      </c>
      <c r="C1149" s="4" t="inlineStr">
        <is>
          <t>General Deer License</t>
        </is>
      </c>
      <c r="D1149" s="13" t="inlineStr">
        <is>
          <t>General license</t>
        </is>
      </c>
      <c r="E1149" s="4" t="inlineStr">
        <is>
          <t>Either-sex White-tailed Deer</t>
        </is>
      </c>
      <c r="F1149" s="4" t="inlineStr">
        <is>
          <t>Sep 05-Oct 18</t>
        </is>
      </c>
      <c r="G1149" s="4" t="inlineStr">
        <is>
          <t>Oct 24-Nov 29</t>
        </is>
      </c>
      <c r="H1149" s="4" t="inlineStr">
        <is>
          <t>Dec 12-Dec 20</t>
        </is>
      </c>
      <c r="I1149" s="4" t="n"/>
      <c r="J1149" s="4" t="n"/>
      <c r="K1149" s="4" t="n"/>
      <c r="L1149" s="4" t="n"/>
    </row>
    <row r="1150">
      <c r="A1150" s="4" t="inlineStr">
        <is>
          <t>320</t>
        </is>
      </c>
      <c r="B1150" s="4" t="inlineStr">
        <is>
          <t>whitetail</t>
        </is>
      </c>
      <c r="C1150" s="4" t="inlineStr">
        <is>
          <t>Deer B License: 003-00</t>
        </is>
      </c>
      <c r="D1150" s="4" t="inlineStr">
        <is>
          <t>Over the counter</t>
        </is>
      </c>
      <c r="E1150" s="4" t="inlineStr">
        <is>
          <t>Antlerless White-tailed Deer</t>
        </is>
      </c>
      <c r="F1150" s="4" t="inlineStr">
        <is>
          <t>Sep 05-Oct 18</t>
        </is>
      </c>
      <c r="G1150" s="4" t="inlineStr">
        <is>
          <t>Oct 24-Nov 29</t>
        </is>
      </c>
      <c r="H1150" s="4" t="inlineStr">
        <is>
          <t>Dec 12-Dec 20</t>
        </is>
      </c>
      <c r="I1150" s="4" t="n"/>
      <c r="J1150" s="4" t="inlineStr">
        <is>
          <t>OTC: Jun 15</t>
        </is>
      </c>
      <c r="K1150" s="4" t="inlineStr">
        <is>
          <t>UNL</t>
        </is>
      </c>
      <c r="L1150" s="4" t="inlineStr">
        <is>
          <t>One per hunter. Valid in all Region 3 HDs.</t>
        </is>
      </c>
    </row>
    <row r="1151">
      <c r="A1151" s="4" t="inlineStr">
        <is>
          <t>320</t>
        </is>
      </c>
      <c r="B1151" s="4" t="inlineStr">
        <is>
          <t>whitetail</t>
        </is>
      </c>
      <c r="C1151" s="4" t="inlineStr">
        <is>
          <t>Deer B License: 399-00</t>
        </is>
      </c>
      <c r="D1151" s="4" t="inlineStr">
        <is>
          <t>Over the counter</t>
        </is>
      </c>
      <c r="E1151" s="4" t="inlineStr">
        <is>
          <t>Antlerless White-tailed Deer</t>
        </is>
      </c>
      <c r="F1151" s="4" t="inlineStr">
        <is>
          <t>Sep 05-Oct 18</t>
        </is>
      </c>
      <c r="G1151" s="4" t="inlineStr">
        <is>
          <t>Oct 24-Nov 29</t>
        </is>
      </c>
      <c r="H1151" s="4" t="inlineStr">
        <is>
          <t>Dec 12-Dec 20</t>
        </is>
      </c>
      <c r="I1151" s="4" t="n"/>
      <c r="J1151" s="4" t="inlineStr">
        <is>
          <t>OTC: Jun 15</t>
        </is>
      </c>
      <c r="K1151" s="4" t="inlineStr">
        <is>
          <t>UNL</t>
        </is>
      </c>
      <c r="L1151" s="4" t="inlineStr">
        <is>
          <t>Per hunter quota set annually. Multi-district license.</t>
        </is>
      </c>
    </row>
    <row r="1152">
      <c r="A1152" s="4" t="inlineStr">
        <is>
          <t>321</t>
        </is>
      </c>
      <c r="B1152" s="4" t="inlineStr">
        <is>
          <t>whitetail</t>
        </is>
      </c>
      <c r="C1152" s="4" t="inlineStr">
        <is>
          <t>General Deer License</t>
        </is>
      </c>
      <c r="D1152" s="13" t="inlineStr">
        <is>
          <t>General license</t>
        </is>
      </c>
      <c r="E1152" s="4" t="inlineStr">
        <is>
          <t>Either-sex White-tailed Deer</t>
        </is>
      </c>
      <c r="F1152" s="4" t="inlineStr">
        <is>
          <t>Sep 05-Oct 18</t>
        </is>
      </c>
      <c r="G1152" s="4" t="inlineStr">
        <is>
          <t>Oct 24-Nov 29</t>
        </is>
      </c>
      <c r="H1152" s="4" t="inlineStr">
        <is>
          <t>Dec 12-Dec 20</t>
        </is>
      </c>
      <c r="I1152" s="4" t="n"/>
      <c r="J1152" s="4" t="n"/>
      <c r="K1152" s="4" t="n"/>
      <c r="L1152" s="4" t="n"/>
    </row>
    <row r="1153">
      <c r="A1153" s="4" t="inlineStr">
        <is>
          <t>321</t>
        </is>
      </c>
      <c r="B1153" s="4" t="inlineStr">
        <is>
          <t>whitetail</t>
        </is>
      </c>
      <c r="C1153" s="4" t="inlineStr">
        <is>
          <t>Deer B License: 003-00</t>
        </is>
      </c>
      <c r="D1153" s="4" t="inlineStr">
        <is>
          <t>Over the counter</t>
        </is>
      </c>
      <c r="E1153" s="4" t="inlineStr">
        <is>
          <t>Antlerless White-tailed Deer</t>
        </is>
      </c>
      <c r="F1153" s="4" t="inlineStr">
        <is>
          <t>Sep 05-Oct 18</t>
        </is>
      </c>
      <c r="G1153" s="4" t="inlineStr">
        <is>
          <t>Oct 24-Nov 29</t>
        </is>
      </c>
      <c r="H1153" s="4" t="inlineStr">
        <is>
          <t>Dec 12-Dec 20</t>
        </is>
      </c>
      <c r="I1153" s="4" t="n"/>
      <c r="J1153" s="4" t="inlineStr">
        <is>
          <t>OTC: Jun 15</t>
        </is>
      </c>
      <c r="K1153" s="4" t="inlineStr">
        <is>
          <t>UNL</t>
        </is>
      </c>
      <c r="L1153" s="4" t="inlineStr">
        <is>
          <t>One per hunter. Valid in all Region 3 HDs.</t>
        </is>
      </c>
    </row>
    <row r="1154">
      <c r="A1154" s="4" t="inlineStr">
        <is>
          <t>322</t>
        </is>
      </c>
      <c r="B1154" s="4" t="inlineStr">
        <is>
          <t>whitetail</t>
        </is>
      </c>
      <c r="C1154" s="4" t="inlineStr">
        <is>
          <t>General Deer License</t>
        </is>
      </c>
      <c r="D1154" s="13" t="inlineStr">
        <is>
          <t>General license</t>
        </is>
      </c>
      <c r="E1154" s="4" t="inlineStr">
        <is>
          <t>Either-sex White-tailed Deer</t>
        </is>
      </c>
      <c r="F1154" s="4" t="inlineStr">
        <is>
          <t>Sep 05-Oct 18</t>
        </is>
      </c>
      <c r="G1154" s="4" t="inlineStr">
        <is>
          <t>Oct 24-Nov 29</t>
        </is>
      </c>
      <c r="H1154" s="4" t="inlineStr">
        <is>
          <t>Dec 12-Dec 20</t>
        </is>
      </c>
      <c r="I1154" s="4" t="n"/>
      <c r="J1154" s="4" t="n"/>
      <c r="K1154" s="4" t="n"/>
      <c r="L1154" s="4" t="n"/>
    </row>
    <row r="1155">
      <c r="A1155" s="4" t="inlineStr">
        <is>
          <t>322</t>
        </is>
      </c>
      <c r="B1155" s="4" t="inlineStr">
        <is>
          <t>whitetail</t>
        </is>
      </c>
      <c r="C1155" s="4" t="inlineStr">
        <is>
          <t>Deer B License: 003-00</t>
        </is>
      </c>
      <c r="D1155" s="4" t="inlineStr">
        <is>
          <t>Over the counter</t>
        </is>
      </c>
      <c r="E1155" s="4" t="inlineStr">
        <is>
          <t>Antlerless White-tailed Deer</t>
        </is>
      </c>
      <c r="F1155" s="4" t="inlineStr">
        <is>
          <t>Sep 05-Oct 18</t>
        </is>
      </c>
      <c r="G1155" s="4" t="inlineStr">
        <is>
          <t>Oct 24-Nov 29</t>
        </is>
      </c>
      <c r="H1155" s="4" t="inlineStr">
        <is>
          <t>Dec 12-Dec 20</t>
        </is>
      </c>
      <c r="I1155" s="4" t="n"/>
      <c r="J1155" s="4" t="inlineStr">
        <is>
          <t>OTC: Jun 15</t>
        </is>
      </c>
      <c r="K1155" s="4" t="inlineStr">
        <is>
          <t>UNL</t>
        </is>
      </c>
      <c r="L1155" s="4" t="inlineStr">
        <is>
          <t>One per hunter. Valid in all Region 3 HDs.</t>
        </is>
      </c>
    </row>
    <row r="1156">
      <c r="A1156" s="4" t="inlineStr">
        <is>
          <t>322</t>
        </is>
      </c>
      <c r="B1156" s="4" t="inlineStr">
        <is>
          <t>whitetail</t>
        </is>
      </c>
      <c r="C1156" s="4" t="inlineStr">
        <is>
          <t>Deer B License: 399-00</t>
        </is>
      </c>
      <c r="D1156" s="4" t="inlineStr">
        <is>
          <t>Over the counter</t>
        </is>
      </c>
      <c r="E1156" s="4" t="inlineStr">
        <is>
          <t>Antlerless White-tailed Deer</t>
        </is>
      </c>
      <c r="F1156" s="4" t="inlineStr">
        <is>
          <t>Sep 05-Oct 18</t>
        </is>
      </c>
      <c r="G1156" s="4" t="inlineStr">
        <is>
          <t>Oct 24-Nov 29</t>
        </is>
      </c>
      <c r="H1156" s="4" t="inlineStr">
        <is>
          <t>Dec 12-Dec 20</t>
        </is>
      </c>
      <c r="I1156" s="4" t="n"/>
      <c r="J1156" s="4" t="inlineStr">
        <is>
          <t>OTC: Jun 15</t>
        </is>
      </c>
      <c r="K1156" s="4" t="inlineStr">
        <is>
          <t>UNL</t>
        </is>
      </c>
      <c r="L1156" s="4" t="inlineStr">
        <is>
          <t>Per hunter license quota set annually. Multi-district license.</t>
        </is>
      </c>
    </row>
    <row r="1157">
      <c r="A1157" s="4" t="inlineStr">
        <is>
          <t>323</t>
        </is>
      </c>
      <c r="B1157" s="4" t="inlineStr">
        <is>
          <t>whitetail</t>
        </is>
      </c>
      <c r="C1157" s="4" t="inlineStr">
        <is>
          <t>General Deer License</t>
        </is>
      </c>
      <c r="D1157" s="13" t="inlineStr">
        <is>
          <t>General license</t>
        </is>
      </c>
      <c r="E1157" s="4" t="inlineStr">
        <is>
          <t>Either-sex White-tailed Deer</t>
        </is>
      </c>
      <c r="F1157" s="4" t="inlineStr">
        <is>
          <t>Sep 05-Oct 18</t>
        </is>
      </c>
      <c r="G1157" s="4" t="inlineStr">
        <is>
          <t>Oct 24-Nov 29</t>
        </is>
      </c>
      <c r="H1157" s="4" t="inlineStr">
        <is>
          <t>Dec 12-Dec 20</t>
        </is>
      </c>
      <c r="I1157" s="4" t="n"/>
      <c r="J1157" s="4" t="n"/>
      <c r="K1157" s="4" t="n"/>
      <c r="L1157" s="4" t="n"/>
    </row>
    <row r="1158">
      <c r="A1158" s="4" t="inlineStr">
        <is>
          <t>323</t>
        </is>
      </c>
      <c r="B1158" s="4" t="inlineStr">
        <is>
          <t>whitetail</t>
        </is>
      </c>
      <c r="C1158" s="4" t="inlineStr">
        <is>
          <t>Deer B License: 003-00</t>
        </is>
      </c>
      <c r="D1158" s="4" t="inlineStr">
        <is>
          <t>Over the counter</t>
        </is>
      </c>
      <c r="E1158" s="4" t="inlineStr">
        <is>
          <t>Antlerless White-tailed Deer</t>
        </is>
      </c>
      <c r="F1158" s="4" t="inlineStr">
        <is>
          <t>Sep 05-Oct 18</t>
        </is>
      </c>
      <c r="G1158" s="4" t="inlineStr">
        <is>
          <t>Oct 24-Nov 29</t>
        </is>
      </c>
      <c r="H1158" s="4" t="inlineStr">
        <is>
          <t>Dec 12-Dec 20</t>
        </is>
      </c>
      <c r="I1158" s="4" t="n"/>
      <c r="J1158" s="4" t="inlineStr">
        <is>
          <t>OTC: Jun 15</t>
        </is>
      </c>
      <c r="K1158" s="4" t="inlineStr">
        <is>
          <t>UNL</t>
        </is>
      </c>
      <c r="L1158" s="4" t="inlineStr">
        <is>
          <t>One per hunter. Valid in all Region 3 HDs.</t>
        </is>
      </c>
    </row>
    <row r="1159">
      <c r="A1159" s="4" t="inlineStr">
        <is>
          <t>323</t>
        </is>
      </c>
      <c r="B1159" s="4" t="inlineStr">
        <is>
          <t>whitetail</t>
        </is>
      </c>
      <c r="C1159" s="4" t="inlineStr">
        <is>
          <t>Deer B License: 399-00</t>
        </is>
      </c>
      <c r="D1159" s="4" t="inlineStr">
        <is>
          <t>Over the counter</t>
        </is>
      </c>
      <c r="E1159" s="4" t="inlineStr">
        <is>
          <t>Antlerless White-tailed Deer</t>
        </is>
      </c>
      <c r="F1159" s="4" t="inlineStr">
        <is>
          <t>Sep 05-Oct 18</t>
        </is>
      </c>
      <c r="G1159" s="4" t="inlineStr">
        <is>
          <t>Oct 24-Nov 29</t>
        </is>
      </c>
      <c r="H1159" s="4" t="inlineStr">
        <is>
          <t>Dec 12-Dec 20</t>
        </is>
      </c>
      <c r="I1159" s="4" t="n"/>
      <c r="J1159" s="4" t="inlineStr">
        <is>
          <t>OTC: Jun 15</t>
        </is>
      </c>
      <c r="K1159" s="4" t="inlineStr">
        <is>
          <t>UNL</t>
        </is>
      </c>
      <c r="L1159" s="4" t="inlineStr">
        <is>
          <t>Per hunter license quota set annually. Multi-district license.</t>
        </is>
      </c>
    </row>
    <row r="1160">
      <c r="A1160" s="4" t="inlineStr">
        <is>
          <t>324</t>
        </is>
      </c>
      <c r="B1160" s="4" t="inlineStr">
        <is>
          <t>whitetail</t>
        </is>
      </c>
      <c r="C1160" s="4" t="inlineStr">
        <is>
          <t>General Deer License</t>
        </is>
      </c>
      <c r="D1160" s="13" t="inlineStr">
        <is>
          <t>General license</t>
        </is>
      </c>
      <c r="E1160" s="4" t="inlineStr">
        <is>
          <t>Either-sex White-tailed Deer</t>
        </is>
      </c>
      <c r="F1160" s="4" t="inlineStr">
        <is>
          <t>Sep 05-Oct 18</t>
        </is>
      </c>
      <c r="G1160" s="4" t="inlineStr">
        <is>
          <t>Oct 24-Nov 29</t>
        </is>
      </c>
      <c r="H1160" s="4" t="inlineStr">
        <is>
          <t>Dec 12-Dec 20</t>
        </is>
      </c>
      <c r="I1160" s="4" t="n"/>
      <c r="J1160" s="4" t="n"/>
      <c r="K1160" s="4" t="n"/>
      <c r="L1160" s="4" t="n"/>
    </row>
    <row r="1161">
      <c r="A1161" s="4" t="inlineStr">
        <is>
          <t>324</t>
        </is>
      </c>
      <c r="B1161" s="4" t="inlineStr">
        <is>
          <t>whitetail</t>
        </is>
      </c>
      <c r="C1161" s="4" t="inlineStr">
        <is>
          <t>Deer B License: 003-00</t>
        </is>
      </c>
      <c r="D1161" s="4" t="inlineStr">
        <is>
          <t>Over the counter</t>
        </is>
      </c>
      <c r="E1161" s="4" t="inlineStr">
        <is>
          <t>Antlerless White-tailed Deer</t>
        </is>
      </c>
      <c r="F1161" s="4" t="inlineStr">
        <is>
          <t>Sep 05-Oct 18</t>
        </is>
      </c>
      <c r="G1161" s="4" t="inlineStr">
        <is>
          <t>Oct 24-Nov 29</t>
        </is>
      </c>
      <c r="H1161" s="4" t="inlineStr">
        <is>
          <t>Dec 12-Dec 20</t>
        </is>
      </c>
      <c r="I1161" s="4" t="n"/>
      <c r="J1161" s="4" t="inlineStr">
        <is>
          <t>OTC: Jun 15</t>
        </is>
      </c>
      <c r="K1161" s="4" t="inlineStr">
        <is>
          <t>UNL</t>
        </is>
      </c>
      <c r="L1161" s="4" t="inlineStr">
        <is>
          <t>One per hunter. Valid in all Region 3 HDs.</t>
        </is>
      </c>
    </row>
    <row r="1162">
      <c r="A1162" s="4" t="inlineStr">
        <is>
          <t>324</t>
        </is>
      </c>
      <c r="B1162" s="4" t="inlineStr">
        <is>
          <t>whitetail</t>
        </is>
      </c>
      <c r="C1162" s="4" t="inlineStr">
        <is>
          <t>Deer B License: 399-00</t>
        </is>
      </c>
      <c r="D1162" s="4" t="inlineStr">
        <is>
          <t>Over the counter</t>
        </is>
      </c>
      <c r="E1162" s="4" t="inlineStr">
        <is>
          <t>Antlerless White-tailed Deer</t>
        </is>
      </c>
      <c r="F1162" s="4" t="inlineStr">
        <is>
          <t>Sep 05-Oct 18</t>
        </is>
      </c>
      <c r="G1162" s="4" t="inlineStr">
        <is>
          <t>Oct 24-Nov 29</t>
        </is>
      </c>
      <c r="H1162" s="4" t="inlineStr">
        <is>
          <t>Dec 12-Dec 20</t>
        </is>
      </c>
      <c r="I1162" s="4" t="n"/>
      <c r="J1162" s="4" t="inlineStr">
        <is>
          <t>OTC: Jun 15</t>
        </is>
      </c>
      <c r="K1162" s="4" t="inlineStr">
        <is>
          <t>UNL</t>
        </is>
      </c>
      <c r="L1162" s="4" t="inlineStr">
        <is>
          <t>Per hunter license quota set annually. Multi-district license.</t>
        </is>
      </c>
    </row>
    <row r="1163">
      <c r="A1163" s="4" t="inlineStr">
        <is>
          <t>329</t>
        </is>
      </c>
      <c r="B1163" s="4" t="inlineStr">
        <is>
          <t>whitetail</t>
        </is>
      </c>
      <c r="C1163" s="4" t="inlineStr">
        <is>
          <t>General Deer License</t>
        </is>
      </c>
      <c r="D1163" s="13" t="inlineStr">
        <is>
          <t>General license</t>
        </is>
      </c>
      <c r="E1163" s="4" t="inlineStr">
        <is>
          <t>Either-sex White-tailed Deer</t>
        </is>
      </c>
      <c r="F1163" s="4" t="inlineStr">
        <is>
          <t>Sep 05-Oct 18</t>
        </is>
      </c>
      <c r="G1163" s="4" t="inlineStr">
        <is>
          <t>Oct 24-Nov 29</t>
        </is>
      </c>
      <c r="H1163" s="4" t="inlineStr">
        <is>
          <t>Dec 12-Dec 20</t>
        </is>
      </c>
      <c r="I1163" s="4" t="n"/>
      <c r="J1163" s="4" t="n"/>
      <c r="K1163" s="4" t="n"/>
      <c r="L1163" s="4" t="n"/>
    </row>
    <row r="1164">
      <c r="A1164" s="4" t="inlineStr">
        <is>
          <t>329</t>
        </is>
      </c>
      <c r="B1164" s="4" t="inlineStr">
        <is>
          <t>whitetail</t>
        </is>
      </c>
      <c r="C1164" s="4" t="inlineStr">
        <is>
          <t>Deer B License: 003-00</t>
        </is>
      </c>
      <c r="D1164" s="4" t="inlineStr">
        <is>
          <t>Over the counter</t>
        </is>
      </c>
      <c r="E1164" s="4" t="inlineStr">
        <is>
          <t>Antlerless White-tailed Deer</t>
        </is>
      </c>
      <c r="F1164" s="4" t="inlineStr">
        <is>
          <t>Sep 05-Oct 18</t>
        </is>
      </c>
      <c r="G1164" s="4" t="inlineStr">
        <is>
          <t>Oct 24-Nov 29</t>
        </is>
      </c>
      <c r="H1164" s="4" t="inlineStr">
        <is>
          <t>Dec 12-Dec 20</t>
        </is>
      </c>
      <c r="I1164" s="4" t="n"/>
      <c r="J1164" s="4" t="inlineStr">
        <is>
          <t>OTC: Jun 15</t>
        </is>
      </c>
      <c r="K1164" s="4" t="inlineStr">
        <is>
          <t>UNL</t>
        </is>
      </c>
      <c r="L1164" s="4" t="inlineStr">
        <is>
          <t>One per hunter. Valid in all Region 3 HDs.</t>
        </is>
      </c>
    </row>
    <row r="1165">
      <c r="A1165" s="4" t="inlineStr">
        <is>
          <t>329</t>
        </is>
      </c>
      <c r="B1165" s="4" t="inlineStr">
        <is>
          <t>whitetail</t>
        </is>
      </c>
      <c r="C1165" s="4" t="inlineStr">
        <is>
          <t>Deer B License: 399-00</t>
        </is>
      </c>
      <c r="D1165" s="4" t="inlineStr">
        <is>
          <t>Over the counter</t>
        </is>
      </c>
      <c r="E1165" s="4" t="inlineStr">
        <is>
          <t>Antlerless White-tailed Deer</t>
        </is>
      </c>
      <c r="F1165" s="4" t="inlineStr">
        <is>
          <t>Sep 05-Oct 18</t>
        </is>
      </c>
      <c r="G1165" s="4" t="inlineStr">
        <is>
          <t>Oct 24-Nov 29</t>
        </is>
      </c>
      <c r="H1165" s="4" t="inlineStr">
        <is>
          <t>Dec 12-Dec 20</t>
        </is>
      </c>
      <c r="I1165" s="4" t="n"/>
      <c r="J1165" s="4" t="inlineStr">
        <is>
          <t>OTC: Jun 15</t>
        </is>
      </c>
      <c r="K1165" s="4" t="inlineStr">
        <is>
          <t>UNL</t>
        </is>
      </c>
      <c r="L1165" s="4" t="inlineStr">
        <is>
          <t>Per hunter license quota set annually. Valid in HDs 302, 303, 320, 322, 323, 324, 329, 331, 340, and 360.</t>
        </is>
      </c>
    </row>
    <row r="1166">
      <c r="A1166" s="4" t="inlineStr">
        <is>
          <t>331</t>
        </is>
      </c>
      <c r="B1166" s="4" t="inlineStr">
        <is>
          <t>whitetail</t>
        </is>
      </c>
      <c r="C1166" s="4" t="inlineStr">
        <is>
          <t>General Deer License</t>
        </is>
      </c>
      <c r="D1166" s="13" t="inlineStr">
        <is>
          <t>General license</t>
        </is>
      </c>
      <c r="E1166" s="4" t="inlineStr">
        <is>
          <t>Either-sex White-tailed Deer</t>
        </is>
      </c>
      <c r="F1166" s="4" t="inlineStr">
        <is>
          <t>Sep 05-Oct 18</t>
        </is>
      </c>
      <c r="G1166" s="4" t="inlineStr">
        <is>
          <t>Oct 24-Nov 29</t>
        </is>
      </c>
      <c r="H1166" s="4" t="inlineStr">
        <is>
          <t>Dec 12-Dec 20</t>
        </is>
      </c>
      <c r="I1166" s="4" t="n"/>
      <c r="J1166" s="4" t="n"/>
      <c r="K1166" s="4" t="n"/>
      <c r="L1166" s="4" t="n"/>
    </row>
    <row r="1167">
      <c r="A1167" s="4" t="inlineStr">
        <is>
          <t>331</t>
        </is>
      </c>
      <c r="B1167" s="4" t="inlineStr">
        <is>
          <t>whitetail</t>
        </is>
      </c>
      <c r="C1167" s="4" t="inlineStr">
        <is>
          <t>Deer B License: 003-00</t>
        </is>
      </c>
      <c r="D1167" s="4" t="inlineStr">
        <is>
          <t>Over the counter</t>
        </is>
      </c>
      <c r="E1167" s="4" t="inlineStr">
        <is>
          <t>Antlerless White-tailed Deer</t>
        </is>
      </c>
      <c r="F1167" s="4" t="inlineStr">
        <is>
          <t>Sep 05-Oct 18</t>
        </is>
      </c>
      <c r="G1167" s="4" t="inlineStr">
        <is>
          <t>Oct 24-Nov 29</t>
        </is>
      </c>
      <c r="H1167" s="4" t="inlineStr">
        <is>
          <t>Dec 12-Dec 20</t>
        </is>
      </c>
      <c r="I1167" s="4" t="n"/>
      <c r="J1167" s="4" t="inlineStr">
        <is>
          <t>OTC: Jun 15</t>
        </is>
      </c>
      <c r="K1167" s="4" t="inlineStr">
        <is>
          <t>UNL</t>
        </is>
      </c>
      <c r="L1167" s="4" t="inlineStr">
        <is>
          <t>One per hunter. Valid in all Region 3 HDs.</t>
        </is>
      </c>
    </row>
    <row r="1168">
      <c r="A1168" s="4" t="inlineStr">
        <is>
          <t>331</t>
        </is>
      </c>
      <c r="B1168" s="4" t="inlineStr">
        <is>
          <t>whitetail</t>
        </is>
      </c>
      <c r="C1168" s="4" t="inlineStr">
        <is>
          <t>Deer B License: 331-01</t>
        </is>
      </c>
      <c r="D1168" s="15" t="inlineStr">
        <is>
          <t>Drawing</t>
        </is>
      </c>
      <c r="E1168" s="4" t="inlineStr">
        <is>
          <t>Antlerless White-tailed Deer</t>
        </is>
      </c>
      <c r="F1168" s="4" t="inlineStr">
        <is>
          <t>Sep 05-Oct 18</t>
        </is>
      </c>
      <c r="G1168" s="4" t="inlineStr">
        <is>
          <t>Oct 24-Nov 29</t>
        </is>
      </c>
      <c r="H1168" s="4" t="inlineStr">
        <is>
          <t>Dec 12-Dec 20</t>
        </is>
      </c>
      <c r="I1168" s="4" t="n"/>
      <c r="J1168" s="4" t="inlineStr">
        <is>
          <t>Jun 1</t>
        </is>
      </c>
      <c r="K1168" s="4" t="inlineStr">
        <is>
          <t>25</t>
        </is>
      </c>
      <c r="L1168" s="4" t="n"/>
    </row>
    <row r="1169">
      <c r="A1169" s="4" t="inlineStr">
        <is>
          <t>331</t>
        </is>
      </c>
      <c r="B1169" s="4" t="inlineStr">
        <is>
          <t>whitetail</t>
        </is>
      </c>
      <c r="C1169" s="4" t="inlineStr">
        <is>
          <t>Deer B License: 399-00</t>
        </is>
      </c>
      <c r="D1169" s="4" t="inlineStr">
        <is>
          <t>Over the counter</t>
        </is>
      </c>
      <c r="E1169" s="4" t="inlineStr">
        <is>
          <t>Antlerless White-tailed Deer</t>
        </is>
      </c>
      <c r="F1169" s="4" t="inlineStr">
        <is>
          <t>Sep 05-Oct 18</t>
        </is>
      </c>
      <c r="G1169" s="4" t="inlineStr">
        <is>
          <t>Oct 24-Nov 29</t>
        </is>
      </c>
      <c r="H1169" s="4" t="inlineStr">
        <is>
          <t>Dec 12-Dec 20</t>
        </is>
      </c>
      <c r="I1169" s="4" t="n"/>
      <c r="J1169" s="4" t="inlineStr">
        <is>
          <t>OTC: Jun 15</t>
        </is>
      </c>
      <c r="K1169" s="4" t="inlineStr">
        <is>
          <t>UNL</t>
        </is>
      </c>
      <c r="L1169" s="4" t="inlineStr">
        <is>
          <t>Per hunter license quota set annually. Valid in HDs 302, 303, 320, 322, 323, 324, 329, 331, 340, and 360. LICENSE/PERMIT OPPORTUNITY APPL Y BY DATE QUOTA QUOTA RANGE EARL Y SEASON DATES ARCHERY ONL Y SEASON DATES GENERAL SEASON DATES HERITAGE MUZZLELOADER SEASON DATES LATE SEASON DATES OPPORTUNITY S</t>
        </is>
      </c>
    </row>
    <row r="1170">
      <c r="A1170" s="4" t="inlineStr">
        <is>
          <t>335</t>
        </is>
      </c>
      <c r="B1170" s="4" t="inlineStr">
        <is>
          <t>whitetail</t>
        </is>
      </c>
      <c r="C1170" s="4" t="inlineStr">
        <is>
          <t>General Deer License</t>
        </is>
      </c>
      <c r="D1170" s="13" t="inlineStr">
        <is>
          <t>General license</t>
        </is>
      </c>
      <c r="E1170" s="4" t="inlineStr">
        <is>
          <t>Either-sex White-tailed Deer</t>
        </is>
      </c>
      <c r="F1170" s="4" t="inlineStr">
        <is>
          <t>Sep 05-Oct 18</t>
        </is>
      </c>
      <c r="G1170" s="4" t="inlineStr">
        <is>
          <t>Oct 24-Nov 29</t>
        </is>
      </c>
      <c r="H1170" s="4" t="inlineStr">
        <is>
          <t>Dec 12-Dec 20</t>
        </is>
      </c>
      <c r="I1170" s="4" t="n"/>
      <c r="J1170" s="4" t="n"/>
      <c r="K1170" s="4" t="n"/>
      <c r="L1170" s="4" t="n"/>
    </row>
    <row r="1171">
      <c r="A1171" s="4" t="inlineStr">
        <is>
          <t>335</t>
        </is>
      </c>
      <c r="B1171" s="4" t="inlineStr">
        <is>
          <t>whitetail</t>
        </is>
      </c>
      <c r="C1171" s="4" t="inlineStr">
        <is>
          <t>Deer B License: 003-00</t>
        </is>
      </c>
      <c r="D1171" s="4" t="inlineStr">
        <is>
          <t>Over the counter</t>
        </is>
      </c>
      <c r="E1171" s="4" t="inlineStr">
        <is>
          <t>Antlerless White-tailed Deer</t>
        </is>
      </c>
      <c r="F1171" s="4" t="inlineStr">
        <is>
          <t>Sep 05-Oct 18</t>
        </is>
      </c>
      <c r="G1171" s="4" t="inlineStr">
        <is>
          <t>Oct 24-Nov 29</t>
        </is>
      </c>
      <c r="H1171" s="4" t="inlineStr">
        <is>
          <t>Dec 12-Dec 20</t>
        </is>
      </c>
      <c r="I1171" s="4" t="n"/>
      <c r="J1171" s="4" t="inlineStr">
        <is>
          <t>OTC: Jun 15</t>
        </is>
      </c>
      <c r="K1171" s="4" t="inlineStr">
        <is>
          <t>UNL</t>
        </is>
      </c>
      <c r="L1171" s="4" t="inlineStr">
        <is>
          <t>One per hunter. Valid in all Region 3 HDs.</t>
        </is>
      </c>
    </row>
    <row r="1172">
      <c r="A1172" s="4" t="inlineStr">
        <is>
          <t>339</t>
        </is>
      </c>
      <c r="B1172" s="4" t="inlineStr">
        <is>
          <t>whitetail</t>
        </is>
      </c>
      <c r="C1172" s="4" t="inlineStr">
        <is>
          <t>General Deer License</t>
        </is>
      </c>
      <c r="D1172" s="13" t="inlineStr">
        <is>
          <t>General license</t>
        </is>
      </c>
      <c r="E1172" s="4" t="inlineStr">
        <is>
          <t>Either-sex White-tailed Deer</t>
        </is>
      </c>
      <c r="F1172" s="4" t="n"/>
      <c r="G1172" s="4" t="inlineStr">
        <is>
          <t>Oct 24-Nov 29</t>
        </is>
      </c>
      <c r="H1172" s="4" t="inlineStr">
        <is>
          <t>Dec 12-Dec 20</t>
        </is>
      </c>
      <c r="I1172" s="4" t="n"/>
      <c r="J1172" s="4" t="n"/>
      <c r="K1172" s="4" t="n"/>
      <c r="L1172" s="4" t="n"/>
    </row>
    <row r="1173">
      <c r="A1173" s="4" t="inlineStr">
        <is>
          <t>339</t>
        </is>
      </c>
      <c r="B1173" s="4" t="inlineStr">
        <is>
          <t>whitetail</t>
        </is>
      </c>
      <c r="C1173" s="4" t="inlineStr">
        <is>
          <t>Deer B License: 003-00</t>
        </is>
      </c>
      <c r="D1173" s="4" t="inlineStr">
        <is>
          <t>Over the counter</t>
        </is>
      </c>
      <c r="E1173" s="4" t="inlineStr">
        <is>
          <t>Antlerless White-tailed Deer</t>
        </is>
      </c>
      <c r="F1173" s="4" t="inlineStr">
        <is>
          <t>Sep 05-Oct 18</t>
        </is>
      </c>
      <c r="G1173" s="4" t="inlineStr">
        <is>
          <t>Oct 24-Nov 29</t>
        </is>
      </c>
      <c r="H1173" s="4" t="inlineStr">
        <is>
          <t>Dec 12-Dec 20</t>
        </is>
      </c>
      <c r="I1173" s="4" t="n"/>
      <c r="J1173" s="4" t="inlineStr">
        <is>
          <t>OTC: Jun 15</t>
        </is>
      </c>
      <c r="K1173" s="4" t="inlineStr">
        <is>
          <t>UNL</t>
        </is>
      </c>
      <c r="L1173" s="4" t="inlineStr">
        <is>
          <t>One per hunter. Valid in all Region 3 HDs.</t>
        </is>
      </c>
    </row>
    <row r="1174">
      <c r="A1174" s="4" t="inlineStr">
        <is>
          <t>340</t>
        </is>
      </c>
      <c r="B1174" s="4" t="inlineStr">
        <is>
          <t>whitetail</t>
        </is>
      </c>
      <c r="C1174" s="4" t="inlineStr">
        <is>
          <t>General Deer License</t>
        </is>
      </c>
      <c r="D1174" s="13" t="inlineStr">
        <is>
          <t>General license</t>
        </is>
      </c>
      <c r="E1174" s="4" t="inlineStr">
        <is>
          <t>Either-sex White-tailed Deer</t>
        </is>
      </c>
      <c r="F1174" s="4" t="inlineStr">
        <is>
          <t>Sep 05-Oct 18</t>
        </is>
      </c>
      <c r="G1174" s="4" t="inlineStr">
        <is>
          <t>Oct 24-Nov 29</t>
        </is>
      </c>
      <c r="H1174" s="4" t="inlineStr">
        <is>
          <t>Dec 12-Dec 20</t>
        </is>
      </c>
      <c r="I1174" s="4" t="n"/>
      <c r="J1174" s="4" t="n"/>
      <c r="K1174" s="4" t="n"/>
      <c r="L1174" s="4" t="n"/>
    </row>
    <row r="1175">
      <c r="A1175" s="4" t="inlineStr">
        <is>
          <t>340</t>
        </is>
      </c>
      <c r="B1175" s="4" t="inlineStr">
        <is>
          <t>whitetail</t>
        </is>
      </c>
      <c r="C1175" s="4" t="inlineStr">
        <is>
          <t>Deer B License: 003-00</t>
        </is>
      </c>
      <c r="D1175" s="4" t="inlineStr">
        <is>
          <t>Over the counter</t>
        </is>
      </c>
      <c r="E1175" s="4" t="inlineStr">
        <is>
          <t>Antlerless White-tailed Deer</t>
        </is>
      </c>
      <c r="F1175" s="4" t="inlineStr">
        <is>
          <t>Sep 05-Oct 18</t>
        </is>
      </c>
      <c r="G1175" s="4" t="inlineStr">
        <is>
          <t>Oct 24-Nov 29</t>
        </is>
      </c>
      <c r="H1175" s="4" t="inlineStr">
        <is>
          <t>Dec 12-Dec 20</t>
        </is>
      </c>
      <c r="I1175" s="4" t="n"/>
      <c r="J1175" s="4" t="inlineStr">
        <is>
          <t>OTC: Jun 15</t>
        </is>
      </c>
      <c r="K1175" s="4" t="inlineStr">
        <is>
          <t>UNL</t>
        </is>
      </c>
      <c r="L1175" s="4" t="inlineStr">
        <is>
          <t>One per hunter. Valid in all Region 3 HDs.</t>
        </is>
      </c>
    </row>
    <row r="1176">
      <c r="A1176" s="4" t="inlineStr">
        <is>
          <t>340</t>
        </is>
      </c>
      <c r="B1176" s="4" t="inlineStr">
        <is>
          <t>whitetail</t>
        </is>
      </c>
      <c r="C1176" s="4" t="inlineStr">
        <is>
          <t>Deer B License: 399-00</t>
        </is>
      </c>
      <c r="D1176" s="4" t="inlineStr">
        <is>
          <t>Over the counter</t>
        </is>
      </c>
      <c r="E1176" s="4" t="inlineStr">
        <is>
          <t>Antlerless White-tailed Deer</t>
        </is>
      </c>
      <c r="F1176" s="4" t="inlineStr">
        <is>
          <t>Sep 05-Oct 18</t>
        </is>
      </c>
      <c r="G1176" s="4" t="inlineStr">
        <is>
          <t>Oct 24-Nov 29</t>
        </is>
      </c>
      <c r="H1176" s="4" t="inlineStr">
        <is>
          <t>Dec 12-Dec 20</t>
        </is>
      </c>
      <c r="I1176" s="4" t="n"/>
      <c r="J1176" s="4" t="inlineStr">
        <is>
          <t>OTC: Jun 15</t>
        </is>
      </c>
      <c r="K1176" s="4" t="inlineStr">
        <is>
          <t>UNL</t>
        </is>
      </c>
      <c r="L1176" s="4" t="inlineStr">
        <is>
          <t>Per hunter license quota set annually. Multi-district license.</t>
        </is>
      </c>
    </row>
    <row r="1177">
      <c r="A1177" s="4" t="inlineStr">
        <is>
          <t>343</t>
        </is>
      </c>
      <c r="B1177" s="4" t="inlineStr">
        <is>
          <t>whitetail</t>
        </is>
      </c>
      <c r="C1177" s="4" t="inlineStr">
        <is>
          <t>General Deer License</t>
        </is>
      </c>
      <c r="D1177" s="13" t="inlineStr">
        <is>
          <t>General license</t>
        </is>
      </c>
      <c r="E1177" s="4" t="inlineStr">
        <is>
          <t>Either-sex White-tailed Deer</t>
        </is>
      </c>
      <c r="F1177" s="4" t="inlineStr">
        <is>
          <t>Sep 05-Oct 18</t>
        </is>
      </c>
      <c r="G1177" s="4" t="inlineStr">
        <is>
          <t>Oct 24-Nov 29</t>
        </is>
      </c>
      <c r="H1177" s="4" t="inlineStr">
        <is>
          <t>Dec 12-Dec 20</t>
        </is>
      </c>
      <c r="I1177" s="4" t="n"/>
      <c r="J1177" s="4" t="n"/>
      <c r="K1177" s="4" t="n"/>
      <c r="L1177" s="4" t="n"/>
    </row>
    <row r="1178">
      <c r="A1178" s="4" t="inlineStr">
        <is>
          <t>343</t>
        </is>
      </c>
      <c r="B1178" s="4" t="inlineStr">
        <is>
          <t>whitetail</t>
        </is>
      </c>
      <c r="C1178" s="4" t="inlineStr">
        <is>
          <t>Deer B License: 003-00</t>
        </is>
      </c>
      <c r="D1178" s="4" t="inlineStr">
        <is>
          <t>Over the counter</t>
        </is>
      </c>
      <c r="E1178" s="4" t="inlineStr">
        <is>
          <t>Antlerless White-tailed Deer</t>
        </is>
      </c>
      <c r="F1178" s="4" t="inlineStr">
        <is>
          <t>Sep 05-Oct 18</t>
        </is>
      </c>
      <c r="G1178" s="4" t="inlineStr">
        <is>
          <t>Oct 24-Nov 29</t>
        </is>
      </c>
      <c r="H1178" s="4" t="inlineStr">
        <is>
          <t>Dec 12-Dec 20</t>
        </is>
      </c>
      <c r="I1178" s="4" t="n"/>
      <c r="J1178" s="4" t="inlineStr">
        <is>
          <t>OTC: Jun 15</t>
        </is>
      </c>
      <c r="K1178" s="4" t="inlineStr">
        <is>
          <t>UNL</t>
        </is>
      </c>
      <c r="L1178" s="4" t="inlineStr">
        <is>
          <t>One per hunter. Valid in all Region 3 HDs.</t>
        </is>
      </c>
    </row>
    <row r="1179">
      <c r="A1179" s="4" t="inlineStr">
        <is>
          <t>350</t>
        </is>
      </c>
      <c r="B1179" s="4" t="inlineStr">
        <is>
          <t>whitetail</t>
        </is>
      </c>
      <c r="C1179" s="4" t="inlineStr">
        <is>
          <t>General Deer License</t>
        </is>
      </c>
      <c r="D1179" s="13" t="inlineStr">
        <is>
          <t>General license</t>
        </is>
      </c>
      <c r="E1179" s="4" t="inlineStr">
        <is>
          <t>Either-sex White-tailed Deer</t>
        </is>
      </c>
      <c r="F1179" s="4" t="inlineStr">
        <is>
          <t>Sep 05-Oct 18</t>
        </is>
      </c>
      <c r="G1179" s="4" t="inlineStr">
        <is>
          <t>Oct 24-Nov 29</t>
        </is>
      </c>
      <c r="H1179" s="4" t="inlineStr">
        <is>
          <t>Dec 12-Dec 20</t>
        </is>
      </c>
      <c r="I1179" s="4" t="n"/>
      <c r="J1179" s="4" t="n"/>
      <c r="K1179" s="4" t="n"/>
      <c r="L1179" s="4" t="n"/>
    </row>
    <row r="1180">
      <c r="A1180" s="4" t="inlineStr">
        <is>
          <t>350</t>
        </is>
      </c>
      <c r="B1180" s="4" t="inlineStr">
        <is>
          <t>whitetail</t>
        </is>
      </c>
      <c r="C1180" s="4" t="inlineStr">
        <is>
          <t>Deer B License: 003-00</t>
        </is>
      </c>
      <c r="D1180" s="4" t="inlineStr">
        <is>
          <t>Over the counter</t>
        </is>
      </c>
      <c r="E1180" s="4" t="inlineStr">
        <is>
          <t>Antlerless White-tailed Deer</t>
        </is>
      </c>
      <c r="F1180" s="4" t="inlineStr">
        <is>
          <t>Sep 05-Oct 18</t>
        </is>
      </c>
      <c r="G1180" s="4" t="inlineStr">
        <is>
          <t>Oct 24-Nov 29</t>
        </is>
      </c>
      <c r="H1180" s="4" t="inlineStr">
        <is>
          <t>Dec 12-Dec 20</t>
        </is>
      </c>
      <c r="I1180" s="4" t="n"/>
      <c r="J1180" s="4" t="inlineStr">
        <is>
          <t>OTC: Jun 15</t>
        </is>
      </c>
      <c r="K1180" s="4" t="inlineStr">
        <is>
          <t>UNL</t>
        </is>
      </c>
      <c r="L1180" s="4" t="inlineStr">
        <is>
          <t>One per hunter. Valid in all Region 3 HDs.</t>
        </is>
      </c>
    </row>
    <row r="1181">
      <c r="A1181" s="4" t="inlineStr">
        <is>
          <t>360</t>
        </is>
      </c>
      <c r="B1181" s="4" t="inlineStr">
        <is>
          <t>whitetail</t>
        </is>
      </c>
      <c r="C1181" s="4" t="inlineStr">
        <is>
          <t>General Deer License</t>
        </is>
      </c>
      <c r="D1181" s="13" t="inlineStr">
        <is>
          <t>General license</t>
        </is>
      </c>
      <c r="E1181" s="4" t="inlineStr">
        <is>
          <t>Either-sex White-tailed Deer</t>
        </is>
      </c>
      <c r="F1181" s="4" t="inlineStr">
        <is>
          <t>Sep 05-Oct 18</t>
        </is>
      </c>
      <c r="G1181" s="4" t="inlineStr">
        <is>
          <t>Oct 24-Nov 29</t>
        </is>
      </c>
      <c r="H1181" s="4" t="inlineStr">
        <is>
          <t>Dec 12-Dec 20</t>
        </is>
      </c>
      <c r="I1181" s="4" t="n"/>
      <c r="J1181" s="4" t="n"/>
      <c r="K1181" s="4" t="n"/>
      <c r="L1181" s="4" t="n"/>
    </row>
    <row r="1182">
      <c r="A1182" s="4" t="inlineStr">
        <is>
          <t>360</t>
        </is>
      </c>
      <c r="B1182" s="4" t="inlineStr">
        <is>
          <t>whitetail</t>
        </is>
      </c>
      <c r="C1182" s="4" t="inlineStr">
        <is>
          <t>Deer B License: 003-00</t>
        </is>
      </c>
      <c r="D1182" s="4" t="inlineStr">
        <is>
          <t>Over the counter</t>
        </is>
      </c>
      <c r="E1182" s="4" t="inlineStr">
        <is>
          <t>Antlerless White-tailed Deer</t>
        </is>
      </c>
      <c r="F1182" s="4" t="inlineStr">
        <is>
          <t>Sep 05-Oct 18</t>
        </is>
      </c>
      <c r="G1182" s="4" t="inlineStr">
        <is>
          <t>Oct 24-Nov 29</t>
        </is>
      </c>
      <c r="H1182" s="4" t="inlineStr">
        <is>
          <t>Dec 12-Dec 20</t>
        </is>
      </c>
      <c r="I1182" s="4" t="n"/>
      <c r="J1182" s="4" t="inlineStr">
        <is>
          <t>OTC: Jun 15</t>
        </is>
      </c>
      <c r="K1182" s="4" t="inlineStr">
        <is>
          <t>UNL</t>
        </is>
      </c>
      <c r="L1182" s="4" t="inlineStr">
        <is>
          <t>One per hunter. Valid in all Region 3 HDs.</t>
        </is>
      </c>
    </row>
    <row r="1183">
      <c r="A1183" s="4" t="inlineStr">
        <is>
          <t>360</t>
        </is>
      </c>
      <c r="B1183" s="4" t="inlineStr">
        <is>
          <t>whitetail</t>
        </is>
      </c>
      <c r="C1183" s="4" t="inlineStr">
        <is>
          <t>Deer B License: 399-00</t>
        </is>
      </c>
      <c r="D1183" s="4" t="inlineStr">
        <is>
          <t>Over the counter</t>
        </is>
      </c>
      <c r="E1183" s="4" t="inlineStr">
        <is>
          <t>Antlerless White-tailed Deer</t>
        </is>
      </c>
      <c r="F1183" s="4" t="inlineStr">
        <is>
          <t>Sep 05-Oct 18</t>
        </is>
      </c>
      <c r="G1183" s="4" t="inlineStr">
        <is>
          <t>Oct 24-Nov 29</t>
        </is>
      </c>
      <c r="H1183" s="4" t="inlineStr">
        <is>
          <t>Dec 12-Dec 20</t>
        </is>
      </c>
      <c r="I1183" s="4" t="n"/>
      <c r="J1183" s="4" t="inlineStr">
        <is>
          <t>OTC: Jun 15</t>
        </is>
      </c>
      <c r="K1183" s="4" t="inlineStr">
        <is>
          <t>UNL</t>
        </is>
      </c>
      <c r="L1183" s="4" t="inlineStr">
        <is>
          <t>Per hunter license quota set annually. Multi-district license.</t>
        </is>
      </c>
    </row>
    <row r="1184">
      <c r="A1184" s="4" t="inlineStr">
        <is>
          <t>361</t>
        </is>
      </c>
      <c r="B1184" s="4" t="inlineStr">
        <is>
          <t>whitetail</t>
        </is>
      </c>
      <c r="C1184" s="4" t="inlineStr">
        <is>
          <t>General Deer License</t>
        </is>
      </c>
      <c r="D1184" s="13" t="inlineStr">
        <is>
          <t>General license</t>
        </is>
      </c>
      <c r="E1184" s="4" t="inlineStr">
        <is>
          <t>Either-sex White-tailed Deer</t>
        </is>
      </c>
      <c r="F1184" s="4" t="inlineStr">
        <is>
          <t>Sep 05-Oct 18</t>
        </is>
      </c>
      <c r="G1184" s="4" t="inlineStr">
        <is>
          <t>Oct 24-Nov 29</t>
        </is>
      </c>
      <c r="H1184" s="4" t="inlineStr">
        <is>
          <t>Dec 12-Dec 20</t>
        </is>
      </c>
      <c r="I1184" s="4" t="n"/>
      <c r="J1184" s="4" t="n"/>
      <c r="K1184" s="4" t="n"/>
      <c r="L1184" s="4" t="n"/>
    </row>
    <row r="1185">
      <c r="A1185" s="4" t="inlineStr">
        <is>
          <t>361</t>
        </is>
      </c>
      <c r="B1185" s="4" t="inlineStr">
        <is>
          <t>whitetail</t>
        </is>
      </c>
      <c r="C1185" s="4" t="inlineStr">
        <is>
          <t>Deer B License: 003-00</t>
        </is>
      </c>
      <c r="D1185" s="4" t="inlineStr">
        <is>
          <t>Over the counter</t>
        </is>
      </c>
      <c r="E1185" s="4" t="inlineStr">
        <is>
          <t>Antlerless White-tailed Deer</t>
        </is>
      </c>
      <c r="F1185" s="4" t="inlineStr">
        <is>
          <t>Sep 05-Oct 18</t>
        </is>
      </c>
      <c r="G1185" s="4" t="inlineStr">
        <is>
          <t>Oct 24-Nov 29</t>
        </is>
      </c>
      <c r="H1185" s="4" t="inlineStr">
        <is>
          <t>Dec 12-Dec 20</t>
        </is>
      </c>
      <c r="I1185" s="4" t="n"/>
      <c r="J1185" s="4" t="inlineStr">
        <is>
          <t>OTC: Jun 15</t>
        </is>
      </c>
      <c r="K1185" s="4" t="inlineStr">
        <is>
          <t>UNL</t>
        </is>
      </c>
      <c r="L1185" s="4" t="inlineStr">
        <is>
          <t>One per hunter. Valid in all Region 3 HDs.</t>
        </is>
      </c>
    </row>
    <row r="1186">
      <c r="A1186" s="4" t="inlineStr">
        <is>
          <t>370</t>
        </is>
      </c>
      <c r="B1186" s="4" t="inlineStr">
        <is>
          <t>whitetail</t>
        </is>
      </c>
      <c r="C1186" s="4" t="inlineStr">
        <is>
          <t>General Deer License</t>
        </is>
      </c>
      <c r="D1186" s="13" t="inlineStr">
        <is>
          <t>General license</t>
        </is>
      </c>
      <c r="E1186" s="4" t="inlineStr">
        <is>
          <t>Either-sex White-tailed Deer</t>
        </is>
      </c>
      <c r="F1186" s="4" t="inlineStr">
        <is>
          <t>Sep 05-Oct 18</t>
        </is>
      </c>
      <c r="G1186" s="4" t="inlineStr">
        <is>
          <t>Oct 24-Nov 29</t>
        </is>
      </c>
      <c r="H1186" s="4" t="inlineStr">
        <is>
          <t>Dec 12-Dec 20</t>
        </is>
      </c>
      <c r="I1186" s="4" t="n"/>
      <c r="J1186" s="4" t="n"/>
      <c r="K1186" s="4" t="n"/>
      <c r="L1186" s="4" t="n"/>
    </row>
    <row r="1187">
      <c r="A1187" s="4" t="inlineStr">
        <is>
          <t>370</t>
        </is>
      </c>
      <c r="B1187" s="4" t="inlineStr">
        <is>
          <t>whitetail</t>
        </is>
      </c>
      <c r="C1187" s="4" t="inlineStr">
        <is>
          <t>Deer B License: 003-00</t>
        </is>
      </c>
      <c r="D1187" s="4" t="inlineStr">
        <is>
          <t>Over the counter</t>
        </is>
      </c>
      <c r="E1187" s="4" t="inlineStr">
        <is>
          <t>Antlerless White-tailed Deer</t>
        </is>
      </c>
      <c r="F1187" s="4" t="inlineStr">
        <is>
          <t>Sep 05-Oct 18</t>
        </is>
      </c>
      <c r="G1187" s="4" t="inlineStr">
        <is>
          <t>Oct 24-Nov 29</t>
        </is>
      </c>
      <c r="H1187" s="4" t="inlineStr">
        <is>
          <t>Dec 12-Dec 20</t>
        </is>
      </c>
      <c r="I1187" s="4" t="n"/>
      <c r="J1187" s="4" t="inlineStr">
        <is>
          <t>OTC: Jun 15</t>
        </is>
      </c>
      <c r="K1187" s="4" t="inlineStr">
        <is>
          <t>UNL</t>
        </is>
      </c>
      <c r="L1187" s="4" t="inlineStr">
        <is>
          <t>One per hunter. Valid in all Region 3 HDs.</t>
        </is>
      </c>
    </row>
    <row r="1188">
      <c r="A1188" s="4" t="inlineStr">
        <is>
          <t>380</t>
        </is>
      </c>
      <c r="B1188" s="4" t="inlineStr">
        <is>
          <t>whitetail</t>
        </is>
      </c>
      <c r="C1188" s="4" t="inlineStr">
        <is>
          <t>General Deer License</t>
        </is>
      </c>
      <c r="D1188" s="13" t="inlineStr">
        <is>
          <t>General license</t>
        </is>
      </c>
      <c r="E1188" s="4" t="inlineStr">
        <is>
          <t>Either-sex White-tailed Deer</t>
        </is>
      </c>
      <c r="F1188" s="4" t="inlineStr">
        <is>
          <t>Sep 05-Oct 18</t>
        </is>
      </c>
      <c r="G1188" s="4" t="n"/>
      <c r="H1188" s="4" t="n"/>
      <c r="I1188" s="4" t="n"/>
      <c r="J1188" s="4" t="n"/>
      <c r="K1188" s="4" t="n"/>
      <c r="L1188" s="4" t="n"/>
    </row>
    <row r="1189">
      <c r="A1189" s="4" t="inlineStr">
        <is>
          <t>380</t>
        </is>
      </c>
      <c r="B1189" s="4" t="inlineStr">
        <is>
          <t>whitetail</t>
        </is>
      </c>
      <c r="C1189" s="4" t="inlineStr">
        <is>
          <t>General Deer License</t>
        </is>
      </c>
      <c r="D1189" s="13" t="inlineStr">
        <is>
          <t>General license</t>
        </is>
      </c>
      <c r="E1189" s="4" t="inlineStr">
        <is>
          <t>Antlered Buck White-tailed Deer</t>
        </is>
      </c>
      <c r="F1189" s="4" t="n"/>
      <c r="G1189" s="4" t="inlineStr">
        <is>
          <t>Oct 24-Nov 29</t>
        </is>
      </c>
      <c r="H1189" s="4" t="inlineStr">
        <is>
          <t>Dec 12-Dec 20</t>
        </is>
      </c>
      <c r="I1189" s="4" t="n"/>
      <c r="J1189" s="4" t="n"/>
      <c r="K1189" s="4" t="n"/>
      <c r="L1189" s="4" t="inlineStr">
        <is>
          <t>Only valid on Canyon Ferry WMA.</t>
        </is>
      </c>
    </row>
    <row r="1190">
      <c r="A1190" s="4" t="inlineStr">
        <is>
          <t>380</t>
        </is>
      </c>
      <c r="B1190" s="4" t="inlineStr">
        <is>
          <t>whitetail</t>
        </is>
      </c>
      <c r="C1190" s="4" t="inlineStr">
        <is>
          <t>General Deer License</t>
        </is>
      </c>
      <c r="D1190" s="13" t="inlineStr">
        <is>
          <t>General license</t>
        </is>
      </c>
      <c r="E1190" s="4" t="inlineStr">
        <is>
          <t>Either-sex White-tailed Deer</t>
        </is>
      </c>
      <c r="F1190" s="4" t="n"/>
      <c r="G1190" s="4" t="inlineStr">
        <is>
          <t>Oct 24-Nov 29</t>
        </is>
      </c>
      <c r="H1190" s="4" t="inlineStr">
        <is>
          <t>Dec 12-Dec 20</t>
        </is>
      </c>
      <c r="I1190" s="4" t="n"/>
      <c r="J1190" s="4" t="n"/>
      <c r="K1190" s="4" t="n"/>
      <c r="L1190" s="4" t="inlineStr">
        <is>
          <t>Not valid on Canyon Ferry WMA.</t>
        </is>
      </c>
    </row>
    <row r="1191">
      <c r="A1191" s="4" t="inlineStr">
        <is>
          <t>380</t>
        </is>
      </c>
      <c r="B1191" s="4" t="inlineStr">
        <is>
          <t>whitetail</t>
        </is>
      </c>
      <c r="C1191" s="4" t="inlineStr">
        <is>
          <t>Deer B License: 003-00</t>
        </is>
      </c>
      <c r="D1191" s="4" t="inlineStr">
        <is>
          <t>Over the counter</t>
        </is>
      </c>
      <c r="E1191" s="4" t="inlineStr">
        <is>
          <t>Antlerless White-tailed Deer</t>
        </is>
      </c>
      <c r="F1191" s="4" t="inlineStr">
        <is>
          <t>Sep 05-Oct 18</t>
        </is>
      </c>
      <c r="G1191" s="4" t="inlineStr">
        <is>
          <t>Oct 24-Nov 29</t>
        </is>
      </c>
      <c r="H1191" s="4" t="inlineStr">
        <is>
          <t>Dec 12-Dec 20</t>
        </is>
      </c>
      <c r="I1191" s="4" t="n"/>
      <c r="J1191" s="4" t="inlineStr">
        <is>
          <t>OTC: Jun 15</t>
        </is>
      </c>
      <c r="K1191" s="4" t="inlineStr">
        <is>
          <t>UNL</t>
        </is>
      </c>
      <c r="L1191" s="4" t="inlineStr">
        <is>
          <t>One per hunter. Valid in all Region 3 HDs, not valid on Canyon Ferry WMA.</t>
        </is>
      </c>
    </row>
    <row r="1192">
      <c r="A1192" s="4" t="inlineStr">
        <is>
          <t>380</t>
        </is>
      </c>
      <c r="B1192" s="4" t="inlineStr">
        <is>
          <t>whitetail</t>
        </is>
      </c>
      <c r="C1192" s="4" t="inlineStr">
        <is>
          <t>Deer B License: 395-01</t>
        </is>
      </c>
      <c r="D1192" s="15" t="inlineStr">
        <is>
          <t>Drawing</t>
        </is>
      </c>
      <c r="E1192" s="4" t="inlineStr">
        <is>
          <t>Antlerless White-tailed Deer</t>
        </is>
      </c>
      <c r="F1192" s="4" t="inlineStr">
        <is>
          <t>Sep 05-Oct 18</t>
        </is>
      </c>
      <c r="G1192" s="4" t="inlineStr">
        <is>
          <t>Oct 24-Nov 29</t>
        </is>
      </c>
      <c r="H1192" s="4" t="inlineStr">
        <is>
          <t>Dec 12-Dec 20</t>
        </is>
      </c>
      <c r="I1192" s="4" t="n"/>
      <c r="J1192" s="4" t="inlineStr">
        <is>
          <t>Jun 1</t>
        </is>
      </c>
      <c r="K1192" s="4" t="inlineStr">
        <is>
          <t>50</t>
        </is>
      </c>
      <c r="L1192" s="4" t="inlineStr">
        <is>
          <t>Only valid on Canyon Ferry WMA-including Canyon Ferry WMA in HDs 380 and 391.</t>
        </is>
      </c>
    </row>
    <row r="1193">
      <c r="A1193" s="4" t="inlineStr">
        <is>
          <t>388</t>
        </is>
      </c>
      <c r="B1193" s="4" t="inlineStr">
        <is>
          <t>whitetail</t>
        </is>
      </c>
      <c r="C1193" s="4" t="inlineStr">
        <is>
          <t>General Deer License</t>
        </is>
      </c>
      <c r="D1193" s="13" t="inlineStr">
        <is>
          <t>General license</t>
        </is>
      </c>
      <c r="E1193" s="4" t="inlineStr">
        <is>
          <t>Either-sex White-tailed Deer</t>
        </is>
      </c>
      <c r="F1193" s="4" t="inlineStr">
        <is>
          <t>Sep 05-Oct 18</t>
        </is>
      </c>
      <c r="G1193" s="4" t="inlineStr">
        <is>
          <t>Oct 24-Nov 29</t>
        </is>
      </c>
      <c r="H1193" s="4" t="inlineStr">
        <is>
          <t>Dec 12-Dec 20</t>
        </is>
      </c>
      <c r="I1193" s="4" t="n"/>
      <c r="J1193" s="4" t="n"/>
      <c r="K1193" s="4" t="n"/>
      <c r="L1193" s="4" t="inlineStr">
        <is>
          <t>Outside Weapons Restriction Area.</t>
        </is>
      </c>
    </row>
    <row r="1194">
      <c r="A1194" s="4" t="inlineStr">
        <is>
          <t>388</t>
        </is>
      </c>
      <c r="B1194" s="4" t="inlineStr">
        <is>
          <t>whitetail</t>
        </is>
      </c>
      <c r="C1194" s="4" t="inlineStr">
        <is>
          <t>Deer B License: 003-00</t>
        </is>
      </c>
      <c r="D1194" s="4" t="inlineStr">
        <is>
          <t>Over the counter</t>
        </is>
      </c>
      <c r="E1194" s="4" t="inlineStr">
        <is>
          <t>Antlerless White-tailed Deer</t>
        </is>
      </c>
      <c r="F1194" s="4" t="inlineStr">
        <is>
          <t>Sep 05-Oct 18</t>
        </is>
      </c>
      <c r="G1194" s="4" t="inlineStr">
        <is>
          <t>Oct 24-Nov 29</t>
        </is>
      </c>
      <c r="H1194" s="4" t="inlineStr">
        <is>
          <t>Dec 12-Dec 20</t>
        </is>
      </c>
      <c r="I1194" s="4" t="n"/>
      <c r="J1194" s="4" t="inlineStr">
        <is>
          <t>OTC: Jun 15</t>
        </is>
      </c>
      <c r="K1194" s="4" t="inlineStr">
        <is>
          <t>UNL</t>
        </is>
      </c>
      <c r="L1194" s="4" t="inlineStr">
        <is>
          <t>One per hunter. Valid in all Region 3 HDs. Outside Weapons Restriction Area.</t>
        </is>
      </c>
    </row>
    <row r="1195">
      <c r="A1195" s="4" t="inlineStr">
        <is>
          <t>388</t>
        </is>
      </c>
      <c r="B1195" s="4" t="inlineStr">
        <is>
          <t>whitetail</t>
        </is>
      </c>
      <c r="C1195" s="4" t="inlineStr">
        <is>
          <t>Deer B License: 388-00</t>
        </is>
      </c>
      <c r="D1195" s="15" t="inlineStr">
        <is>
          <t>Drawing</t>
        </is>
      </c>
      <c r="E1195" s="4" t="inlineStr">
        <is>
          <t>Either-sex White-tailed Deer</t>
        </is>
      </c>
      <c r="F1195" s="4" t="n"/>
      <c r="G1195" s="4" t="inlineStr">
        <is>
          <t>Sep 05-Nov 29</t>
        </is>
      </c>
      <c r="H1195" s="4" t="inlineStr">
        <is>
          <t>Dec 12-Dec 20</t>
        </is>
      </c>
      <c r="I1195" s="4" t="n"/>
      <c r="J1195" s="4" t="n"/>
      <c r="K1195" s="4" t="n"/>
      <c r="L1195" s="4" t="inlineStr">
        <is>
          <t>Weapons Restriction Area.</t>
        </is>
      </c>
    </row>
    <row r="1196">
      <c r="A1196" s="4" t="inlineStr">
        <is>
          <t>388</t>
        </is>
      </c>
      <c r="B1196" s="4" t="inlineStr">
        <is>
          <t>whitetail</t>
        </is>
      </c>
      <c r="C1196" s="4" t="inlineStr">
        <is>
          <t>Deer B License: 388-00</t>
        </is>
      </c>
      <c r="D1196" s="15" t="inlineStr">
        <is>
          <t>Drawing</t>
        </is>
      </c>
      <c r="E1196" s="4" t="inlineStr">
        <is>
          <t>Antlerless White-tailed Deer</t>
        </is>
      </c>
      <c r="F1196" s="4" t="n"/>
      <c r="G1196" s="4" t="n"/>
      <c r="H1196" s="4" t="n"/>
      <c r="I1196" s="4" t="inlineStr">
        <is>
          <t>Nov 30-Jan 31</t>
        </is>
      </c>
      <c r="J1196" s="4" t="n"/>
      <c r="K1196" s="4" t="n"/>
      <c r="L1196" s="4" t="inlineStr">
        <is>
          <t>Weapons Restriction Area.</t>
        </is>
      </c>
    </row>
    <row r="1197">
      <c r="A1197" s="4" t="inlineStr">
        <is>
          <t>388</t>
        </is>
      </c>
      <c r="B1197" s="4" t="inlineStr">
        <is>
          <t>whitetail</t>
        </is>
      </c>
      <c r="C1197" s="4" t="inlineStr">
        <is>
          <t>Deer B License: 003-00</t>
        </is>
      </c>
      <c r="D1197" s="4" t="inlineStr">
        <is>
          <t>Over the counter</t>
        </is>
      </c>
      <c r="E1197" s="4" t="inlineStr">
        <is>
          <t>Antlerless White-tailed Deer</t>
        </is>
      </c>
      <c r="F1197" s="4" t="n"/>
      <c r="G1197" s="4" t="inlineStr">
        <is>
          <t>Sep 05-Jan 31</t>
        </is>
      </c>
      <c r="H1197" s="4" t="inlineStr">
        <is>
          <t>Dec 12-Dec 20</t>
        </is>
      </c>
      <c r="I1197" s="4" t="n"/>
      <c r="J1197" s="4" t="inlineStr">
        <is>
          <t>OTC: Jun 15</t>
        </is>
      </c>
      <c r="K1197" s="4" t="inlineStr">
        <is>
          <t>UNL</t>
        </is>
      </c>
      <c r="L1197" s="4" t="inlineStr">
        <is>
          <t>One per hunter. Valid in all Region 3 HDs. Weapons Restriction Area ELK Outside the Weapons Restriction Area</t>
        </is>
      </c>
    </row>
    <row r="1198">
      <c r="A1198" s="4" t="inlineStr">
        <is>
          <t>390</t>
        </is>
      </c>
      <c r="B1198" s="4" t="inlineStr">
        <is>
          <t>whitetail</t>
        </is>
      </c>
      <c r="C1198" s="4" t="inlineStr">
        <is>
          <t>General Deer License</t>
        </is>
      </c>
      <c r="D1198" s="13" t="inlineStr">
        <is>
          <t>General license</t>
        </is>
      </c>
      <c r="E1198" s="4" t="inlineStr">
        <is>
          <t>Either-sex White-tailed Deer</t>
        </is>
      </c>
      <c r="F1198" s="4" t="inlineStr">
        <is>
          <t>Sep 05-Oct 18</t>
        </is>
      </c>
      <c r="G1198" s="4" t="inlineStr">
        <is>
          <t>Oct 24-Nov 29</t>
        </is>
      </c>
      <c r="H1198" s="4" t="inlineStr">
        <is>
          <t>Dec 12-Dec 20</t>
        </is>
      </c>
      <c r="I1198" s="4" t="n"/>
      <c r="J1198" s="4" t="n"/>
      <c r="K1198" s="4" t="n"/>
      <c r="L1198" s="4" t="n"/>
    </row>
    <row r="1199">
      <c r="A1199" s="4" t="inlineStr">
        <is>
          <t>390</t>
        </is>
      </c>
      <c r="B1199" s="4" t="inlineStr">
        <is>
          <t>whitetail</t>
        </is>
      </c>
      <c r="C1199" s="4" t="inlineStr">
        <is>
          <t>Deer B License: 003-00</t>
        </is>
      </c>
      <c r="D1199" s="4" t="inlineStr">
        <is>
          <t>Over the counter</t>
        </is>
      </c>
      <c r="E1199" s="4" t="inlineStr">
        <is>
          <t>Antlerless White-tailed Deer</t>
        </is>
      </c>
      <c r="F1199" s="4" t="inlineStr">
        <is>
          <t>Sep 05-Oct 18</t>
        </is>
      </c>
      <c r="G1199" s="4" t="inlineStr">
        <is>
          <t>Oct 24-Nov 29</t>
        </is>
      </c>
      <c r="H1199" s="4" t="inlineStr">
        <is>
          <t>Dec 12-Dec 20</t>
        </is>
      </c>
      <c r="I1199" s="4" t="n"/>
      <c r="J1199" s="4" t="inlineStr">
        <is>
          <t>OTC: Jun 15</t>
        </is>
      </c>
      <c r="K1199" s="4" t="inlineStr">
        <is>
          <t>UNL</t>
        </is>
      </c>
      <c r="L1199" s="4" t="inlineStr">
        <is>
          <t>One per hunter. Valid in all Region 3 HDs.</t>
        </is>
      </c>
    </row>
    <row r="1200">
      <c r="A1200" s="4" t="inlineStr">
        <is>
          <t>391</t>
        </is>
      </c>
      <c r="B1200" s="4" t="inlineStr">
        <is>
          <t>whitetail</t>
        </is>
      </c>
      <c r="C1200" s="4" t="inlineStr">
        <is>
          <t>General Deer License</t>
        </is>
      </c>
      <c r="D1200" s="13" t="inlineStr">
        <is>
          <t>General license</t>
        </is>
      </c>
      <c r="E1200" s="4" t="inlineStr">
        <is>
          <t>Either-sex White-tailed Deer</t>
        </is>
      </c>
      <c r="F1200" s="4" t="inlineStr">
        <is>
          <t>Sep 05-Oct 18</t>
        </is>
      </c>
      <c r="G1200" s="4" t="n"/>
      <c r="H1200" s="4" t="n"/>
      <c r="I1200" s="4" t="n"/>
      <c r="J1200" s="4" t="n"/>
      <c r="K1200" s="4" t="n"/>
      <c r="L1200" s="4" t="n"/>
    </row>
    <row r="1201">
      <c r="A1201" s="4" t="inlineStr">
        <is>
          <t>391</t>
        </is>
      </c>
      <c r="B1201" s="4" t="inlineStr">
        <is>
          <t>whitetail</t>
        </is>
      </c>
      <c r="C1201" s="4" t="inlineStr">
        <is>
          <t>General Deer License</t>
        </is>
      </c>
      <c r="D1201" s="13" t="inlineStr">
        <is>
          <t>General license</t>
        </is>
      </c>
      <c r="E1201" s="4" t="inlineStr">
        <is>
          <t>Antlered Buck White-tailed Deer</t>
        </is>
      </c>
      <c r="F1201" s="4" t="n"/>
      <c r="G1201" s="4" t="inlineStr">
        <is>
          <t>Oct 24-Nov 29</t>
        </is>
      </c>
      <c r="H1201" s="4" t="inlineStr">
        <is>
          <t>Dec 12-Dec 20</t>
        </is>
      </c>
      <c r="I1201" s="4" t="n"/>
      <c r="J1201" s="4" t="n"/>
      <c r="K1201" s="4" t="n"/>
      <c r="L1201" s="4" t="inlineStr">
        <is>
          <t>Only valid on Canyon Ferry WMA.</t>
        </is>
      </c>
    </row>
    <row r="1202">
      <c r="A1202" s="4" t="inlineStr">
        <is>
          <t>391</t>
        </is>
      </c>
      <c r="B1202" s="4" t="inlineStr">
        <is>
          <t>whitetail</t>
        </is>
      </c>
      <c r="C1202" s="4" t="inlineStr">
        <is>
          <t>General Deer License</t>
        </is>
      </c>
      <c r="D1202" s="13" t="inlineStr">
        <is>
          <t>General license</t>
        </is>
      </c>
      <c r="E1202" s="4" t="inlineStr">
        <is>
          <t>Either-sex White-tailed Deer</t>
        </is>
      </c>
      <c r="F1202" s="4" t="n"/>
      <c r="G1202" s="4" t="inlineStr">
        <is>
          <t>Oct 24-Nov 29</t>
        </is>
      </c>
      <c r="H1202" s="4" t="inlineStr">
        <is>
          <t>Dec 12-Dec 20</t>
        </is>
      </c>
      <c r="I1202" s="4" t="n"/>
      <c r="J1202" s="4" t="n"/>
      <c r="K1202" s="4" t="n"/>
      <c r="L1202" s="4" t="inlineStr">
        <is>
          <t>Not valid on Canyon Ferry WMA.</t>
        </is>
      </c>
    </row>
    <row r="1203">
      <c r="A1203" s="4" t="inlineStr">
        <is>
          <t>391</t>
        </is>
      </c>
      <c r="B1203" s="4" t="inlineStr">
        <is>
          <t>whitetail</t>
        </is>
      </c>
      <c r="C1203" s="4" t="inlineStr">
        <is>
          <t>Deer B License: 003-00</t>
        </is>
      </c>
      <c r="D1203" s="4" t="inlineStr">
        <is>
          <t>Over the counter</t>
        </is>
      </c>
      <c r="E1203" s="4" t="inlineStr">
        <is>
          <t>Antlerless White-tailed Deer</t>
        </is>
      </c>
      <c r="F1203" s="4" t="inlineStr">
        <is>
          <t>Sep 05-Oct 18</t>
        </is>
      </c>
      <c r="G1203" s="4" t="inlineStr">
        <is>
          <t>Oct 24-Nov 29</t>
        </is>
      </c>
      <c r="H1203" s="4" t="inlineStr">
        <is>
          <t>Dec 12-Dec 20</t>
        </is>
      </c>
      <c r="I1203" s="4" t="n"/>
      <c r="J1203" s="4" t="inlineStr">
        <is>
          <t>OTC: Jun 15</t>
        </is>
      </c>
      <c r="K1203" s="4" t="inlineStr">
        <is>
          <t>UNL</t>
        </is>
      </c>
      <c r="L1203" s="4" t="inlineStr">
        <is>
          <t>One per hunter. Valid in all Region 3 HDs, not valid on Canyon Ferry WMA.</t>
        </is>
      </c>
    </row>
    <row r="1204">
      <c r="A1204" s="4" t="inlineStr">
        <is>
          <t>391</t>
        </is>
      </c>
      <c r="B1204" s="4" t="inlineStr">
        <is>
          <t>whitetail</t>
        </is>
      </c>
      <c r="C1204" s="4" t="inlineStr">
        <is>
          <t>Deer B License: 395-01</t>
        </is>
      </c>
      <c r="D1204" s="4" t="inlineStr">
        <is>
          <t>Over the counter</t>
        </is>
      </c>
      <c r="E1204" s="4" t="inlineStr">
        <is>
          <t>Antlerless White-tailed Deer</t>
        </is>
      </c>
      <c r="F1204" s="4" t="inlineStr">
        <is>
          <t>Sep 05-Oct 18</t>
        </is>
      </c>
      <c r="G1204" s="4" t="inlineStr">
        <is>
          <t>Oct 24-Nov 29</t>
        </is>
      </c>
      <c r="H1204" s="4" t="inlineStr">
        <is>
          <t>Dec 12-Dec 20</t>
        </is>
      </c>
      <c r="I1204" s="4" t="n"/>
      <c r="J1204" s="4" t="inlineStr">
        <is>
          <t>OTC: Jun 15</t>
        </is>
      </c>
      <c r="K1204" s="4" t="inlineStr">
        <is>
          <t>50</t>
        </is>
      </c>
      <c r="L1204" s="4" t="inlineStr">
        <is>
          <t>Only valid on Canyon Ferry WMA-including Canyon Ferry WMA in HDs 380 and 391.</t>
        </is>
      </c>
    </row>
    <row r="1205">
      <c r="A1205" s="4" t="inlineStr">
        <is>
          <t>392</t>
        </is>
      </c>
      <c r="B1205" s="4" t="inlineStr">
        <is>
          <t>whitetail</t>
        </is>
      </c>
      <c r="C1205" s="4" t="inlineStr">
        <is>
          <t>General Deer License</t>
        </is>
      </c>
      <c r="D1205" s="13" t="inlineStr">
        <is>
          <t>General license</t>
        </is>
      </c>
      <c r="E1205" s="4" t="inlineStr">
        <is>
          <t>Either-sex White-tailed Deer</t>
        </is>
      </c>
      <c r="F1205" s="4" t="inlineStr">
        <is>
          <t>Sep 05-Oct 18</t>
        </is>
      </c>
      <c r="G1205" s="4" t="inlineStr">
        <is>
          <t>Oct 24-Nov 29</t>
        </is>
      </c>
      <c r="H1205" s="4" t="inlineStr">
        <is>
          <t>Dec 12-Dec 20</t>
        </is>
      </c>
      <c r="I1205" s="4" t="n"/>
      <c r="J1205" s="4" t="n"/>
      <c r="K1205" s="4" t="n"/>
      <c r="L1205" s="4" t="n"/>
    </row>
    <row r="1206">
      <c r="A1206" s="4" t="inlineStr">
        <is>
          <t>392</t>
        </is>
      </c>
      <c r="B1206" s="4" t="inlineStr">
        <is>
          <t>whitetail</t>
        </is>
      </c>
      <c r="C1206" s="4" t="inlineStr">
        <is>
          <t>Deer B License: 003-00</t>
        </is>
      </c>
      <c r="D1206" s="4" t="inlineStr">
        <is>
          <t>Over the counter</t>
        </is>
      </c>
      <c r="E1206" s="4" t="inlineStr">
        <is>
          <t>Antlerless White-tailed Deer</t>
        </is>
      </c>
      <c r="F1206" s="4" t="inlineStr">
        <is>
          <t>Sep 05-Oct 18</t>
        </is>
      </c>
      <c r="G1206" s="4" t="inlineStr">
        <is>
          <t>Oct 24-Nov 29</t>
        </is>
      </c>
      <c r="H1206" s="4" t="inlineStr">
        <is>
          <t>Dec 12-Dec 20</t>
        </is>
      </c>
      <c r="I1206" s="4" t="n"/>
      <c r="J1206" s="4" t="inlineStr">
        <is>
          <t>OTC: Jun 15</t>
        </is>
      </c>
      <c r="K1206" s="4" t="inlineStr">
        <is>
          <t>UNL</t>
        </is>
      </c>
      <c r="L1206" s="4" t="inlineStr">
        <is>
          <t>One per hunter. Valid in all Region 3 HDs.</t>
        </is>
      </c>
    </row>
    <row r="1207">
      <c r="A1207" s="4" t="inlineStr">
        <is>
          <t>393</t>
        </is>
      </c>
      <c r="B1207" s="4" t="inlineStr">
        <is>
          <t>whitetail</t>
        </is>
      </c>
      <c r="C1207" s="4" t="inlineStr">
        <is>
          <t>General Deer License</t>
        </is>
      </c>
      <c r="D1207" s="13" t="inlineStr">
        <is>
          <t>General license</t>
        </is>
      </c>
      <c r="E1207" s="4" t="inlineStr">
        <is>
          <t>Either-sex White-tailed Deer</t>
        </is>
      </c>
      <c r="F1207" s="4" t="inlineStr">
        <is>
          <t>Sep 05-Oct 18</t>
        </is>
      </c>
      <c r="G1207" s="4" t="inlineStr">
        <is>
          <t>Oct 24-Nov 29</t>
        </is>
      </c>
      <c r="H1207" s="4" t="inlineStr">
        <is>
          <t>Dec 12-Dec 20</t>
        </is>
      </c>
      <c r="I1207" s="4" t="n"/>
      <c r="J1207" s="4" t="n"/>
      <c r="K1207" s="4" t="n"/>
      <c r="L1207" s="4" t="n"/>
    </row>
    <row r="1208">
      <c r="A1208" s="4" t="inlineStr">
        <is>
          <t>393</t>
        </is>
      </c>
      <c r="B1208" s="4" t="inlineStr">
        <is>
          <t>whitetail</t>
        </is>
      </c>
      <c r="C1208" s="4" t="inlineStr">
        <is>
          <t>Deer B License: 003-00</t>
        </is>
      </c>
      <c r="D1208" s="4" t="inlineStr">
        <is>
          <t>Over the counter</t>
        </is>
      </c>
      <c r="E1208" s="4" t="inlineStr">
        <is>
          <t>Antlerless White-tailed Deer</t>
        </is>
      </c>
      <c r="F1208" s="4" t="inlineStr">
        <is>
          <t>Sep 05-Oct 18</t>
        </is>
      </c>
      <c r="G1208" s="4" t="inlineStr">
        <is>
          <t>Oct 24-Nov 29</t>
        </is>
      </c>
      <c r="H1208" s="4" t="inlineStr">
        <is>
          <t>Dec 12-Dec 20</t>
        </is>
      </c>
      <c r="I1208" s="4" t="n"/>
      <c r="J1208" s="4" t="inlineStr">
        <is>
          <t>OTC: Jun 15</t>
        </is>
      </c>
      <c r="K1208" s="4" t="inlineStr">
        <is>
          <t>UNL</t>
        </is>
      </c>
      <c r="L1208" s="4" t="inlineStr">
        <is>
          <t>One per hunter. Valid in all Region 3 HDs.</t>
        </is>
      </c>
    </row>
    <row r="1209">
      <c r="A1209" s="4" t="inlineStr">
        <is>
          <t>400</t>
        </is>
      </c>
      <c r="B1209" s="4" t="inlineStr">
        <is>
          <t>whitetail</t>
        </is>
      </c>
      <c r="C1209" s="4" t="inlineStr">
        <is>
          <t>General Deer License</t>
        </is>
      </c>
      <c r="D1209" s="13" t="inlineStr">
        <is>
          <t>General license</t>
        </is>
      </c>
      <c r="E1209" s="4" t="inlineStr">
        <is>
          <t>Either-sex White-tailed Deer</t>
        </is>
      </c>
      <c r="F1209" s="4" t="inlineStr">
        <is>
          <t>Sep 05-Oct 18</t>
        </is>
      </c>
      <c r="G1209" s="4" t="n"/>
      <c r="H1209" s="4" t="n"/>
      <c r="I1209" s="4" t="n"/>
      <c r="J1209" s="4" t="n"/>
      <c r="K1209" s="4" t="n"/>
      <c r="L1209" s="4" t="n"/>
    </row>
    <row r="1210">
      <c r="A1210" s="4" t="inlineStr">
        <is>
          <t>400</t>
        </is>
      </c>
      <c r="B1210" s="4" t="inlineStr">
        <is>
          <t>whitetail</t>
        </is>
      </c>
      <c r="C1210" s="4" t="inlineStr">
        <is>
          <t>General Deer License</t>
        </is>
      </c>
      <c r="D1210" s="13" t="inlineStr">
        <is>
          <t>General license</t>
        </is>
      </c>
      <c r="E1210" s="4" t="inlineStr">
        <is>
          <t>Either-sex White-tailed Deer</t>
        </is>
      </c>
      <c r="F1210" s="4" t="n"/>
      <c r="G1210" s="4" t="inlineStr">
        <is>
          <t>Oct 24-Nov 15</t>
        </is>
      </c>
      <c r="H1210" s="4" t="n"/>
      <c r="I1210" s="4" t="n"/>
      <c r="J1210" s="4" t="n"/>
      <c r="K1210" s="4" t="n"/>
      <c r="L1210" s="4" t="inlineStr">
        <is>
          <t>3-week general season.</t>
        </is>
      </c>
    </row>
    <row r="1211">
      <c r="A1211" s="4" t="inlineStr">
        <is>
          <t>400</t>
        </is>
      </c>
      <c r="B1211" s="4" t="inlineStr">
        <is>
          <t>whitetail</t>
        </is>
      </c>
      <c r="C1211" s="4" t="inlineStr">
        <is>
          <t>Deer B License: 004-00</t>
        </is>
      </c>
      <c r="D1211" s="4" t="inlineStr">
        <is>
          <t>Over the counter</t>
        </is>
      </c>
      <c r="E1211" s="4" t="inlineStr">
        <is>
          <t>Antlerless White-tailed Deer</t>
        </is>
      </c>
      <c r="F1211" s="4" t="inlineStr">
        <is>
          <t>Sep 05-Oct 18</t>
        </is>
      </c>
      <c r="G1211" s="4" t="inlineStr">
        <is>
          <t>Oct 24-Nov 15</t>
        </is>
      </c>
      <c r="H1211" s="4" t="n"/>
      <c r="I1211" s="4" t="n"/>
      <c r="J1211" s="4" t="inlineStr">
        <is>
          <t>OTC: Jun 15</t>
        </is>
      </c>
      <c r="K1211" s="4" t="inlineStr">
        <is>
          <t>UNL</t>
        </is>
      </c>
      <c r="L1211" s="4" t="inlineStr">
        <is>
          <t>One per hunter. Valid in all Region 4 HDs except HD 455.</t>
        </is>
      </c>
    </row>
    <row r="1212">
      <c r="A1212" s="4" t="inlineStr">
        <is>
          <t>400</t>
        </is>
      </c>
      <c r="B1212" s="4" t="inlineStr">
        <is>
          <t>whitetail</t>
        </is>
      </c>
      <c r="C1212" s="4" t="inlineStr">
        <is>
          <t>Deer B License: 004-01</t>
        </is>
      </c>
      <c r="D1212" s="15" t="inlineStr">
        <is>
          <t>Drawing</t>
        </is>
      </c>
      <c r="E1212" s="4" t="inlineStr">
        <is>
          <t>Antlerless White-tailed Deer</t>
        </is>
      </c>
      <c r="F1212" s="4" t="inlineStr">
        <is>
          <t>Sep 05-Oct 18</t>
        </is>
      </c>
      <c r="G1212" s="4" t="inlineStr">
        <is>
          <t>Oct 24-Nov 15</t>
        </is>
      </c>
      <c r="H1212" s="4" t="n"/>
      <c r="I1212" s="4" t="n"/>
      <c r="J1212" s="4" t="inlineStr">
        <is>
          <t>Jun 1</t>
        </is>
      </c>
      <c r="K1212" s="4" t="inlineStr">
        <is>
          <t>2,000</t>
        </is>
      </c>
      <c r="L1212" s="4" t="inlineStr">
        <is>
          <t>Valid in all Region 4 HDs except HD 455.</t>
        </is>
      </c>
    </row>
    <row r="1213">
      <c r="A1213" s="4" t="inlineStr">
        <is>
          <t>400</t>
        </is>
      </c>
      <c r="B1213" s="4" t="inlineStr">
        <is>
          <t>whitetail</t>
        </is>
      </c>
      <c r="C1213" s="4" t="inlineStr">
        <is>
          <t>Deer Permit: 400-51</t>
        </is>
      </c>
      <c r="D1213" s="15" t="inlineStr">
        <is>
          <t>Drawing</t>
        </is>
      </c>
      <c r="E1213" s="4" t="inlineStr">
        <is>
          <t>Antlered Buck White-tailed Deer</t>
        </is>
      </c>
      <c r="F1213" s="4" t="n"/>
      <c r="G1213" s="4" t="inlineStr">
        <is>
          <t>Nov 16-Nov 29</t>
        </is>
      </c>
      <c r="H1213" s="4" t="inlineStr">
        <is>
          <t>Dec 12-Dec 20</t>
        </is>
      </c>
      <c r="I1213" s="4" t="n"/>
      <c r="J1213" s="4" t="inlineStr">
        <is>
          <t>April 1</t>
        </is>
      </c>
      <c r="K1213" s="4" t="inlineStr">
        <is>
          <t>35</t>
        </is>
      </c>
      <c r="L1213" s="4" t="inlineStr">
        <is>
          <t>Permit must be used with a valid General Deer License.</t>
        </is>
      </c>
    </row>
    <row r="1214">
      <c r="A1214" s="4" t="inlineStr">
        <is>
          <t>401</t>
        </is>
      </c>
      <c r="B1214" s="4" t="inlineStr">
        <is>
          <t>whitetail</t>
        </is>
      </c>
      <c r="C1214" s="4" t="inlineStr">
        <is>
          <t>General Deer License</t>
        </is>
      </c>
      <c r="D1214" s="13" t="inlineStr">
        <is>
          <t>General license</t>
        </is>
      </c>
      <c r="E1214" s="4" t="inlineStr">
        <is>
          <t>Either-sex White-tailed Deer</t>
        </is>
      </c>
      <c r="F1214" s="4" t="inlineStr">
        <is>
          <t>Sep 05-Oct 18</t>
        </is>
      </c>
      <c r="G1214" s="4" t="inlineStr">
        <is>
          <t>Oct 24-Nov 15</t>
        </is>
      </c>
      <c r="H1214" s="4" t="n"/>
      <c r="I1214" s="4" t="n"/>
      <c r="J1214" s="4" t="n"/>
      <c r="K1214" s="4" t="n"/>
      <c r="L1214" s="4" t="inlineStr">
        <is>
          <t>3 week general season.</t>
        </is>
      </c>
    </row>
    <row r="1215">
      <c r="A1215" s="4" t="inlineStr">
        <is>
          <t>401</t>
        </is>
      </c>
      <c r="B1215" s="4" t="inlineStr">
        <is>
          <t>whitetail</t>
        </is>
      </c>
      <c r="C1215" s="4" t="inlineStr">
        <is>
          <t>Deer B License: 004-00</t>
        </is>
      </c>
      <c r="D1215" s="4" t="inlineStr">
        <is>
          <t>Over the counter</t>
        </is>
      </c>
      <c r="E1215" s="4" t="inlineStr">
        <is>
          <t>Antlerless White-tailed Deer</t>
        </is>
      </c>
      <c r="F1215" s="4" t="inlineStr">
        <is>
          <t>Sep 05-Oct 18</t>
        </is>
      </c>
      <c r="G1215" s="4" t="inlineStr">
        <is>
          <t>Oct 24-Nov 29</t>
        </is>
      </c>
      <c r="H1215" s="4" t="n"/>
      <c r="I1215" s="4" t="n"/>
      <c r="J1215" s="4" t="inlineStr">
        <is>
          <t>OTC: Jun 15</t>
        </is>
      </c>
      <c r="K1215" s="4" t="inlineStr">
        <is>
          <t>UNL</t>
        </is>
      </c>
      <c r="L1215" s="4" t="inlineStr">
        <is>
          <t>One per hunter. Valid in all Region 4 HDs except HD 455.</t>
        </is>
      </c>
    </row>
    <row r="1216">
      <c r="A1216" s="4" t="inlineStr">
        <is>
          <t>401</t>
        </is>
      </c>
      <c r="B1216" s="4" t="inlineStr">
        <is>
          <t>whitetail</t>
        </is>
      </c>
      <c r="C1216" s="4" t="inlineStr">
        <is>
          <t>Deer B License: 004-01</t>
        </is>
      </c>
      <c r="D1216" s="15" t="inlineStr">
        <is>
          <t>Drawing</t>
        </is>
      </c>
      <c r="E1216" s="4" t="inlineStr">
        <is>
          <t>Antlerless White-tailed Deer</t>
        </is>
      </c>
      <c r="F1216" s="4" t="inlineStr">
        <is>
          <t>Sep 05-Oct 18</t>
        </is>
      </c>
      <c r="G1216" s="4" t="inlineStr">
        <is>
          <t>Oct 24-Nov 15</t>
        </is>
      </c>
      <c r="H1216" s="4" t="n"/>
      <c r="I1216" s="4" t="n"/>
      <c r="J1216" s="4" t="inlineStr">
        <is>
          <t>Jun 1</t>
        </is>
      </c>
      <c r="K1216" s="4" t="inlineStr">
        <is>
          <t>2,000</t>
        </is>
      </c>
      <c r="L1216" s="4" t="inlineStr">
        <is>
          <t>Valid in all Region 4 HDs except HD 455.</t>
        </is>
      </c>
    </row>
    <row r="1217">
      <c r="A1217" s="4" t="inlineStr">
        <is>
          <t>401</t>
        </is>
      </c>
      <c r="B1217" s="4" t="inlineStr">
        <is>
          <t>whitetail</t>
        </is>
      </c>
      <c r="C1217" s="4" t="inlineStr">
        <is>
          <t>Deer Permit: 401-51</t>
        </is>
      </c>
      <c r="D1217" s="15" t="inlineStr">
        <is>
          <t>Drawing</t>
        </is>
      </c>
      <c r="E1217" s="4" t="inlineStr">
        <is>
          <t>Antlered Buck White-tailed Deer</t>
        </is>
      </c>
      <c r="F1217" s="4" t="n"/>
      <c r="G1217" s="4" t="inlineStr">
        <is>
          <t>Nov 16-Nov 29</t>
        </is>
      </c>
      <c r="H1217" s="4" t="inlineStr">
        <is>
          <t>Dec 12-Dec 20</t>
        </is>
      </c>
      <c r="I1217" s="4" t="n"/>
      <c r="J1217" s="4" t="inlineStr">
        <is>
          <t>April 1</t>
        </is>
      </c>
      <c r="K1217" s="4" t="inlineStr">
        <is>
          <t>45</t>
        </is>
      </c>
      <c r="L1217" s="4" t="inlineStr">
        <is>
          <t>Permit must be used with a valid General Deer License.</t>
        </is>
      </c>
    </row>
    <row r="1218">
      <c r="A1218" s="4" t="inlineStr">
        <is>
          <t>403</t>
        </is>
      </c>
      <c r="B1218" s="4" t="inlineStr">
        <is>
          <t>whitetail</t>
        </is>
      </c>
      <c r="C1218" s="4" t="inlineStr">
        <is>
          <t>General Deer License</t>
        </is>
      </c>
      <c r="D1218" s="13" t="inlineStr">
        <is>
          <t>General license</t>
        </is>
      </c>
      <c r="E1218" s="4" t="inlineStr">
        <is>
          <t>Either-sex White-tailed Deer</t>
        </is>
      </c>
      <c r="F1218" s="4" t="inlineStr">
        <is>
          <t>Sep 05-Oct 18</t>
        </is>
      </c>
      <c r="G1218" s="4" t="inlineStr">
        <is>
          <t>Oct 24-Nov 15</t>
        </is>
      </c>
      <c r="H1218" s="4" t="n"/>
      <c r="I1218" s="4" t="n"/>
      <c r="J1218" s="4" t="n"/>
      <c r="K1218" s="4" t="n"/>
      <c r="L1218" s="4" t="inlineStr">
        <is>
          <t>3 week general season.</t>
        </is>
      </c>
    </row>
    <row r="1219">
      <c r="A1219" s="4" t="inlineStr">
        <is>
          <t>403</t>
        </is>
      </c>
      <c r="B1219" s="4" t="inlineStr">
        <is>
          <t>whitetail</t>
        </is>
      </c>
      <c r="C1219" s="4" t="inlineStr">
        <is>
          <t>Deer B License: 004-00</t>
        </is>
      </c>
      <c r="D1219" s="4" t="inlineStr">
        <is>
          <t>Over the counter</t>
        </is>
      </c>
      <c r="E1219" s="4" t="inlineStr">
        <is>
          <t>Antlerless White-tailed Deer</t>
        </is>
      </c>
      <c r="F1219" s="4" t="inlineStr">
        <is>
          <t>Sep 05-Oct 18</t>
        </is>
      </c>
      <c r="G1219" s="4" t="inlineStr">
        <is>
          <t>Oct 24-Nov 15</t>
        </is>
      </c>
      <c r="H1219" s="4" t="n"/>
      <c r="I1219" s="4" t="n"/>
      <c r="J1219" s="4" t="inlineStr">
        <is>
          <t>OTC: Jun 15</t>
        </is>
      </c>
      <c r="K1219" s="4" t="inlineStr">
        <is>
          <t>UNL</t>
        </is>
      </c>
      <c r="L1219" s="4" t="inlineStr">
        <is>
          <t>One per hunter. Valid in all Region 4 HDs except HD 455.</t>
        </is>
      </c>
    </row>
    <row r="1220">
      <c r="A1220" s="4" t="inlineStr">
        <is>
          <t>403</t>
        </is>
      </c>
      <c r="B1220" s="4" t="inlineStr">
        <is>
          <t>whitetail</t>
        </is>
      </c>
      <c r="C1220" s="4" t="inlineStr">
        <is>
          <t>Deer B License: 004-01</t>
        </is>
      </c>
      <c r="D1220" s="15" t="inlineStr">
        <is>
          <t>Drawing</t>
        </is>
      </c>
      <c r="E1220" s="4" t="inlineStr">
        <is>
          <t>Antlerless White-tailed Deer</t>
        </is>
      </c>
      <c r="F1220" s="4" t="inlineStr">
        <is>
          <t>Sep 05-Oct 18</t>
        </is>
      </c>
      <c r="G1220" s="4" t="inlineStr">
        <is>
          <t>Oct 24-Nov 15</t>
        </is>
      </c>
      <c r="H1220" s="4" t="n"/>
      <c r="I1220" s="4" t="n"/>
      <c r="J1220" s="4" t="inlineStr">
        <is>
          <t>Jun 1</t>
        </is>
      </c>
      <c r="K1220" s="4" t="inlineStr">
        <is>
          <t>2,000</t>
        </is>
      </c>
      <c r="L1220" s="4" t="inlineStr">
        <is>
          <t>Valid in all Region 4 HDs except HD 455.</t>
        </is>
      </c>
    </row>
    <row r="1221">
      <c r="A1221" s="4" t="inlineStr">
        <is>
          <t>403</t>
        </is>
      </c>
      <c r="B1221" s="4" t="inlineStr">
        <is>
          <t>whitetail</t>
        </is>
      </c>
      <c r="C1221" s="4" t="inlineStr">
        <is>
          <t>Deer Permit: 403-51</t>
        </is>
      </c>
      <c r="D1221" s="15" t="inlineStr">
        <is>
          <t>Drawing</t>
        </is>
      </c>
      <c r="E1221" s="4" t="inlineStr">
        <is>
          <t>Antlered Buck White-tailed Deer</t>
        </is>
      </c>
      <c r="F1221" s="4" t="n"/>
      <c r="G1221" s="4" t="inlineStr">
        <is>
          <t>Nov 16-Nov 29</t>
        </is>
      </c>
      <c r="H1221" s="4" t="inlineStr">
        <is>
          <t>Dec 12-Dec 20</t>
        </is>
      </c>
      <c r="I1221" s="4" t="n"/>
      <c r="J1221" s="4" t="inlineStr">
        <is>
          <t>April 1</t>
        </is>
      </c>
      <c r="K1221" s="4" t="inlineStr">
        <is>
          <t>10</t>
        </is>
      </c>
      <c r="L1221" s="4" t="inlineStr">
        <is>
          <t>Permit must be used with a valid General Deer License.</t>
        </is>
      </c>
    </row>
    <row r="1222">
      <c r="A1222" s="4" t="inlineStr">
        <is>
          <t>404</t>
        </is>
      </c>
      <c r="B1222" s="4" t="inlineStr">
        <is>
          <t>whitetail</t>
        </is>
      </c>
      <c r="C1222" s="4" t="inlineStr">
        <is>
          <t>General Deer License</t>
        </is>
      </c>
      <c r="D1222" s="13" t="inlineStr">
        <is>
          <t>General license</t>
        </is>
      </c>
      <c r="E1222" s="4" t="inlineStr">
        <is>
          <t>Either-sex White-tailed Deer</t>
        </is>
      </c>
      <c r="F1222" s="4" t="inlineStr">
        <is>
          <t>Sep 05-Oct 18</t>
        </is>
      </c>
      <c r="G1222" s="4" t="inlineStr">
        <is>
          <t>Oct 24-Nov 29</t>
        </is>
      </c>
      <c r="H1222" s="4" t="inlineStr">
        <is>
          <t>Dec 12-Dec 20</t>
        </is>
      </c>
      <c r="I1222" s="4" t="n"/>
      <c r="J1222" s="4" t="n"/>
      <c r="K1222" s="4" t="n"/>
      <c r="L1222" s="4" t="n"/>
    </row>
    <row r="1223">
      <c r="A1223" s="4" t="inlineStr">
        <is>
          <t>404</t>
        </is>
      </c>
      <c r="B1223" s="4" t="inlineStr">
        <is>
          <t>whitetail</t>
        </is>
      </c>
      <c r="C1223" s="4" t="inlineStr">
        <is>
          <t>Deer B License: 004-00</t>
        </is>
      </c>
      <c r="D1223" s="4" t="inlineStr">
        <is>
          <t>Over the counter</t>
        </is>
      </c>
      <c r="E1223" s="4" t="inlineStr">
        <is>
          <t>Antlerless White-tailed Deer</t>
        </is>
      </c>
      <c r="F1223" s="4" t="inlineStr">
        <is>
          <t>Sep 05-Oct 18</t>
        </is>
      </c>
      <c r="G1223" s="4" t="inlineStr">
        <is>
          <t>Oct 24-Nov 29</t>
        </is>
      </c>
      <c r="H1223" s="4" t="inlineStr">
        <is>
          <t>Dec 12-Dec 20</t>
        </is>
      </c>
      <c r="I1223" s="4" t="n"/>
      <c r="J1223" s="4" t="inlineStr">
        <is>
          <t>OTC: Jun 15</t>
        </is>
      </c>
      <c r="K1223" s="4" t="inlineStr">
        <is>
          <t>UNL</t>
        </is>
      </c>
      <c r="L1223" s="4" t="inlineStr">
        <is>
          <t>One per hunter. Valid in all Region 4 HDs except HD 455.</t>
        </is>
      </c>
    </row>
    <row r="1224">
      <c r="A1224" s="4" t="inlineStr">
        <is>
          <t>404</t>
        </is>
      </c>
      <c r="B1224" s="4" t="inlineStr">
        <is>
          <t>whitetail</t>
        </is>
      </c>
      <c r="C1224" s="4" t="inlineStr">
        <is>
          <t>Deer B License: 004-01</t>
        </is>
      </c>
      <c r="D1224" s="15" t="inlineStr">
        <is>
          <t>Drawing</t>
        </is>
      </c>
      <c r="E1224" s="4" t="inlineStr">
        <is>
          <t>Antlerless White-tailed Deer</t>
        </is>
      </c>
      <c r="F1224" s="4" t="inlineStr">
        <is>
          <t>Sep 05-Oct 18</t>
        </is>
      </c>
      <c r="G1224" s="4" t="inlineStr">
        <is>
          <t>Oct 24-Nov 29</t>
        </is>
      </c>
      <c r="H1224" s="4" t="inlineStr">
        <is>
          <t>Dec 12-Dec 20</t>
        </is>
      </c>
      <c r="I1224" s="4" t="n"/>
      <c r="J1224" s="4" t="inlineStr">
        <is>
          <t>Jun 1</t>
        </is>
      </c>
      <c r="K1224" s="4" t="inlineStr">
        <is>
          <t>2,000</t>
        </is>
      </c>
      <c r="L1224" s="4" t="inlineStr">
        <is>
          <t>Valid in all Region 4 HDs except HD 455.</t>
        </is>
      </c>
    </row>
    <row r="1225">
      <c r="A1225" s="4" t="inlineStr">
        <is>
          <t>405</t>
        </is>
      </c>
      <c r="B1225" s="4" t="inlineStr">
        <is>
          <t>whitetail</t>
        </is>
      </c>
      <c r="C1225" s="4" t="inlineStr">
        <is>
          <t>General Deer License</t>
        </is>
      </c>
      <c r="D1225" s="13" t="inlineStr">
        <is>
          <t>General license</t>
        </is>
      </c>
      <c r="E1225" s="4" t="inlineStr">
        <is>
          <t>Either-sex White-tailed Deer</t>
        </is>
      </c>
      <c r="F1225" s="4" t="inlineStr">
        <is>
          <t>Sep 05-Oct 18</t>
        </is>
      </c>
      <c r="G1225" s="4" t="inlineStr">
        <is>
          <t>Oct 24-Nov 29</t>
        </is>
      </c>
      <c r="H1225" s="4" t="inlineStr">
        <is>
          <t>Dec 12-Dec 20</t>
        </is>
      </c>
      <c r="I1225" s="4" t="n"/>
      <c r="J1225" s="4" t="n"/>
      <c r="K1225" s="4" t="n"/>
      <c r="L1225" s="4" t="n"/>
    </row>
    <row r="1226">
      <c r="A1226" s="4" t="inlineStr">
        <is>
          <t>405</t>
        </is>
      </c>
      <c r="B1226" s="4" t="inlineStr">
        <is>
          <t>whitetail</t>
        </is>
      </c>
      <c r="C1226" s="4" t="inlineStr">
        <is>
          <t>Deer B License: 004-00</t>
        </is>
      </c>
      <c r="D1226" s="4" t="inlineStr">
        <is>
          <t>Over the counter</t>
        </is>
      </c>
      <c r="E1226" s="4" t="inlineStr">
        <is>
          <t>Antlerless White-tailed Deer</t>
        </is>
      </c>
      <c r="F1226" s="4" t="inlineStr">
        <is>
          <t>Sep 05-Oct 18</t>
        </is>
      </c>
      <c r="G1226" s="4" t="inlineStr">
        <is>
          <t>Oct 24-Nov 29</t>
        </is>
      </c>
      <c r="H1226" s="4" t="inlineStr">
        <is>
          <t>Dec 12-Dec 20</t>
        </is>
      </c>
      <c r="I1226" s="4" t="n"/>
      <c r="J1226" s="4" t="inlineStr">
        <is>
          <t>OTC: Jun 15</t>
        </is>
      </c>
      <c r="K1226" s="4" t="inlineStr">
        <is>
          <t>UNL</t>
        </is>
      </c>
      <c r="L1226" s="4" t="inlineStr">
        <is>
          <t>One per hunter. Valid in all Region 4 HDs except HD 455.</t>
        </is>
      </c>
    </row>
    <row r="1227">
      <c r="A1227" s="4" t="inlineStr">
        <is>
          <t>405</t>
        </is>
      </c>
      <c r="B1227" s="4" t="inlineStr">
        <is>
          <t>whitetail</t>
        </is>
      </c>
      <c r="C1227" s="4" t="inlineStr">
        <is>
          <t>Deer B License: 004-01</t>
        </is>
      </c>
      <c r="D1227" s="15" t="inlineStr">
        <is>
          <t>Drawing</t>
        </is>
      </c>
      <c r="E1227" s="4" t="inlineStr">
        <is>
          <t>Antlerless White-tailed Deer</t>
        </is>
      </c>
      <c r="F1227" s="4" t="inlineStr">
        <is>
          <t>Sep 05-Oct 18</t>
        </is>
      </c>
      <c r="G1227" s="4" t="inlineStr">
        <is>
          <t>Oct 24-Nov 29</t>
        </is>
      </c>
      <c r="H1227" s="4" t="inlineStr">
        <is>
          <t>Dec 12-Dec 20</t>
        </is>
      </c>
      <c r="I1227" s="4" t="n"/>
      <c r="J1227" s="4" t="inlineStr">
        <is>
          <t>Jun 1</t>
        </is>
      </c>
      <c r="K1227" s="4" t="inlineStr">
        <is>
          <t>2,000</t>
        </is>
      </c>
      <c r="L1227" s="4" t="inlineStr">
        <is>
          <t>Valid in all Region 4 HDs except HD 455.</t>
        </is>
      </c>
    </row>
    <row r="1228">
      <c r="A1228" s="4" t="inlineStr">
        <is>
          <t>406</t>
        </is>
      </c>
      <c r="B1228" s="4" t="inlineStr">
        <is>
          <t>whitetail</t>
        </is>
      </c>
      <c r="C1228" s="4" t="inlineStr">
        <is>
          <t>General Deer License</t>
        </is>
      </c>
      <c r="D1228" s="13" t="inlineStr">
        <is>
          <t>General license</t>
        </is>
      </c>
      <c r="E1228" s="4" t="inlineStr">
        <is>
          <t>Either-sex White-tailed Deer</t>
        </is>
      </c>
      <c r="F1228" s="4" t="inlineStr">
        <is>
          <t>Sep 05-Oct 18</t>
        </is>
      </c>
      <c r="G1228" s="4" t="inlineStr">
        <is>
          <t>Oct 24-Nov 15</t>
        </is>
      </c>
      <c r="H1228" s="4" t="n"/>
      <c r="I1228" s="4" t="n"/>
      <c r="J1228" s="4" t="n"/>
      <c r="K1228" s="4" t="n"/>
      <c r="L1228" s="4" t="inlineStr">
        <is>
          <t>3 week general season.</t>
        </is>
      </c>
    </row>
    <row r="1229">
      <c r="A1229" s="4" t="inlineStr">
        <is>
          <t>406</t>
        </is>
      </c>
      <c r="B1229" s="4" t="inlineStr">
        <is>
          <t>whitetail</t>
        </is>
      </c>
      <c r="C1229" s="4" t="inlineStr">
        <is>
          <t>Deer B License: 004-00</t>
        </is>
      </c>
      <c r="D1229" s="4" t="inlineStr">
        <is>
          <t>Over the counter</t>
        </is>
      </c>
      <c r="E1229" s="4" t="inlineStr">
        <is>
          <t>Antlerless White-tailed Deer</t>
        </is>
      </c>
      <c r="F1229" s="4" t="inlineStr">
        <is>
          <t>Sep 05-Oct 18</t>
        </is>
      </c>
      <c r="G1229" s="4" t="inlineStr">
        <is>
          <t>Oct 24-Nov 15</t>
        </is>
      </c>
      <c r="H1229" s="4" t="n"/>
      <c r="I1229" s="4" t="n"/>
      <c r="J1229" s="4" t="inlineStr">
        <is>
          <t>OTC: Jun 15</t>
        </is>
      </c>
      <c r="K1229" s="4" t="inlineStr">
        <is>
          <t>UNL</t>
        </is>
      </c>
      <c r="L1229" s="4" t="inlineStr">
        <is>
          <t>One per hunter. Valid in all Region 4 HDs except HD 455.</t>
        </is>
      </c>
    </row>
    <row r="1230">
      <c r="A1230" s="4" t="inlineStr">
        <is>
          <t>406</t>
        </is>
      </c>
      <c r="B1230" s="4" t="inlineStr">
        <is>
          <t>whitetail</t>
        </is>
      </c>
      <c r="C1230" s="4" t="inlineStr">
        <is>
          <t>Deer B License: 004-01</t>
        </is>
      </c>
      <c r="D1230" s="15" t="inlineStr">
        <is>
          <t>Drawing</t>
        </is>
      </c>
      <c r="E1230" s="4" t="inlineStr">
        <is>
          <t>Antlerless White-tailed Deer</t>
        </is>
      </c>
      <c r="F1230" s="4" t="inlineStr">
        <is>
          <t>Sep 05-Oct 18</t>
        </is>
      </c>
      <c r="G1230" s="4" t="inlineStr">
        <is>
          <t>Oct 24-Nov 15</t>
        </is>
      </c>
      <c r="H1230" s="4" t="n"/>
      <c r="I1230" s="4" t="n"/>
      <c r="J1230" s="4" t="inlineStr">
        <is>
          <t>Jun 1</t>
        </is>
      </c>
      <c r="K1230" s="4" t="inlineStr">
        <is>
          <t>2,000</t>
        </is>
      </c>
      <c r="L1230" s="4" t="inlineStr">
        <is>
          <t>Valid in all Region 4 HDs except HD 455.</t>
        </is>
      </c>
    </row>
    <row r="1231">
      <c r="A1231" s="4" t="inlineStr">
        <is>
          <t>406</t>
        </is>
      </c>
      <c r="B1231" s="4" t="inlineStr">
        <is>
          <t>whitetail</t>
        </is>
      </c>
      <c r="C1231" s="4" t="inlineStr">
        <is>
          <t>Deer Permit: 406-51</t>
        </is>
      </c>
      <c r="D1231" s="15" t="inlineStr">
        <is>
          <t>Drawing</t>
        </is>
      </c>
      <c r="E1231" s="4" t="inlineStr">
        <is>
          <t>Antlered Buck White-tailed Deer</t>
        </is>
      </c>
      <c r="F1231" s="4" t="n"/>
      <c r="G1231" s="4" t="inlineStr">
        <is>
          <t>Nov 16-Nov 29</t>
        </is>
      </c>
      <c r="H1231" s="4" t="inlineStr">
        <is>
          <t>Dec 12-Dec 20</t>
        </is>
      </c>
      <c r="I1231" s="4" t="n"/>
      <c r="J1231" s="4" t="inlineStr">
        <is>
          <t>April 1</t>
        </is>
      </c>
      <c r="K1231" s="4" t="inlineStr">
        <is>
          <t>25</t>
        </is>
      </c>
      <c r="L1231" s="4" t="inlineStr">
        <is>
          <t>Permit must be used with a valid General Deer License. LICENSE/PERMIT OPPORTUNITY APPL Y BY DATE QUOTA QUOTA RANGE EARL Y SEASON DATES ARCHERY ONL Y SEASON DATES GENERAL SEASON DATES HERITAGE MUZZLELOADER SEASON DATES LATE SEASON DATES OPPORTUNITY SPECIFIC DETAILS AND/ORRESTRICTIONS NOTE: Marias Riv</t>
        </is>
      </c>
    </row>
    <row r="1232">
      <c r="A1232" s="4" t="inlineStr">
        <is>
          <t>410</t>
        </is>
      </c>
      <c r="B1232" s="4" t="inlineStr">
        <is>
          <t>whitetail</t>
        </is>
      </c>
      <c r="C1232" s="4" t="inlineStr">
        <is>
          <t>General Deer License</t>
        </is>
      </c>
      <c r="D1232" s="13" t="inlineStr">
        <is>
          <t>General license</t>
        </is>
      </c>
      <c r="E1232" s="4" t="inlineStr">
        <is>
          <t>Either-sex White-tailed Deer</t>
        </is>
      </c>
      <c r="F1232" s="4" t="inlineStr">
        <is>
          <t>Sep 05-Oct 18</t>
        </is>
      </c>
      <c r="G1232" s="4" t="inlineStr">
        <is>
          <t>Oct 24-Nov 29</t>
        </is>
      </c>
      <c r="H1232" s="4" t="inlineStr">
        <is>
          <t>Dec 12-Dec 20</t>
        </is>
      </c>
      <c r="I1232" s="4" t="n"/>
      <c r="J1232" s="4" t="n"/>
      <c r="K1232" s="4" t="n"/>
      <c r="L1232" s="4" t="n"/>
    </row>
    <row r="1233">
      <c r="A1233" s="4" t="inlineStr">
        <is>
          <t>410</t>
        </is>
      </c>
      <c r="B1233" s="4" t="inlineStr">
        <is>
          <t>whitetail</t>
        </is>
      </c>
      <c r="C1233" s="4" t="inlineStr">
        <is>
          <t>Deer B License: 004-00</t>
        </is>
      </c>
      <c r="D1233" s="4" t="inlineStr">
        <is>
          <t>Over the counter</t>
        </is>
      </c>
      <c r="E1233" s="4" t="inlineStr">
        <is>
          <t>Antlerless White-tailed Deer</t>
        </is>
      </c>
      <c r="F1233" s="4" t="inlineStr">
        <is>
          <t>Sep 05-Oct 18</t>
        </is>
      </c>
      <c r="G1233" s="4" t="inlineStr">
        <is>
          <t>Oct 24-Nov 29</t>
        </is>
      </c>
      <c r="H1233" s="4" t="inlineStr">
        <is>
          <t>Dec 12-Dec 20</t>
        </is>
      </c>
      <c r="I1233" s="4" t="n"/>
      <c r="J1233" s="4" t="inlineStr">
        <is>
          <t>OTC: Jun 15</t>
        </is>
      </c>
      <c r="K1233" s="4" t="inlineStr">
        <is>
          <t>UNL</t>
        </is>
      </c>
      <c r="L1233" s="4" t="inlineStr">
        <is>
          <t>One per hunter. Valid in all Region 4 HDs except HD 455.</t>
        </is>
      </c>
    </row>
    <row r="1234">
      <c r="A1234" s="4" t="inlineStr">
        <is>
          <t>410</t>
        </is>
      </c>
      <c r="B1234" s="4" t="inlineStr">
        <is>
          <t>whitetail</t>
        </is>
      </c>
      <c r="C1234" s="4" t="inlineStr">
        <is>
          <t>Deer B License: 004-01</t>
        </is>
      </c>
      <c r="D1234" s="15" t="inlineStr">
        <is>
          <t>Drawing</t>
        </is>
      </c>
      <c r="E1234" s="4" t="inlineStr">
        <is>
          <t>Antlerless White-tailed Deer</t>
        </is>
      </c>
      <c r="F1234" s="4" t="inlineStr">
        <is>
          <t>Sep 05-Oct 18</t>
        </is>
      </c>
      <c r="G1234" s="4" t="inlineStr">
        <is>
          <t>Oct 24-Nov 29</t>
        </is>
      </c>
      <c r="H1234" s="4" t="inlineStr">
        <is>
          <t>Dec 12-Dec 20</t>
        </is>
      </c>
      <c r="I1234" s="4" t="n"/>
      <c r="J1234" s="4" t="inlineStr">
        <is>
          <t>Jun 1</t>
        </is>
      </c>
      <c r="K1234" s="4" t="inlineStr">
        <is>
          <t>2,000</t>
        </is>
      </c>
      <c r="L1234" s="4" t="inlineStr">
        <is>
          <t>Valid in all Region 4 HDs except HD 455.</t>
        </is>
      </c>
    </row>
    <row r="1235">
      <c r="A1235" s="4" t="inlineStr">
        <is>
          <t>411</t>
        </is>
      </c>
      <c r="B1235" s="4" t="inlineStr">
        <is>
          <t>whitetail</t>
        </is>
      </c>
      <c r="C1235" s="4" t="inlineStr">
        <is>
          <t>General Deer License</t>
        </is>
      </c>
      <c r="D1235" s="13" t="inlineStr">
        <is>
          <t>General license</t>
        </is>
      </c>
      <c r="E1235" s="4" t="inlineStr">
        <is>
          <t>Either-sex White-tailed Deer</t>
        </is>
      </c>
      <c r="F1235" s="4" t="inlineStr">
        <is>
          <t>Sep 05-Oct 18</t>
        </is>
      </c>
      <c r="G1235" s="4" t="inlineStr">
        <is>
          <t>Oct 24-Nov 29</t>
        </is>
      </c>
      <c r="H1235" s="4" t="inlineStr">
        <is>
          <t>Dec 12-Dec 20</t>
        </is>
      </c>
      <c r="I1235" s="4" t="n"/>
      <c r="J1235" s="4" t="n"/>
      <c r="K1235" s="4" t="n"/>
      <c r="L1235" s="4" t="n"/>
    </row>
    <row r="1236">
      <c r="A1236" s="4" t="inlineStr">
        <is>
          <t>411</t>
        </is>
      </c>
      <c r="B1236" s="4" t="inlineStr">
        <is>
          <t>whitetail</t>
        </is>
      </c>
      <c r="C1236" s="4" t="inlineStr">
        <is>
          <t>Deer B License: 004-00</t>
        </is>
      </c>
      <c r="D1236" s="4" t="inlineStr">
        <is>
          <t>Over the counter</t>
        </is>
      </c>
      <c r="E1236" s="4" t="inlineStr">
        <is>
          <t>Antlerless White-tailed Deer</t>
        </is>
      </c>
      <c r="F1236" s="4" t="inlineStr">
        <is>
          <t>Sep 05-Oct 18</t>
        </is>
      </c>
      <c r="G1236" s="4" t="inlineStr">
        <is>
          <t>Oct 24-Nov 29</t>
        </is>
      </c>
      <c r="H1236" s="4" t="inlineStr">
        <is>
          <t>Dec 12-Dec 20</t>
        </is>
      </c>
      <c r="I1236" s="4" t="n"/>
      <c r="J1236" s="4" t="inlineStr">
        <is>
          <t>OTC: Jun 15</t>
        </is>
      </c>
      <c r="K1236" s="4" t="inlineStr">
        <is>
          <t>UNL</t>
        </is>
      </c>
      <c r="L1236" s="4" t="inlineStr">
        <is>
          <t>One per hunter. Valid in all Region 4 HDs except HD 455.</t>
        </is>
      </c>
    </row>
    <row r="1237">
      <c r="A1237" s="4" t="inlineStr">
        <is>
          <t>411</t>
        </is>
      </c>
      <c r="B1237" s="4" t="inlineStr">
        <is>
          <t>whitetail</t>
        </is>
      </c>
      <c r="C1237" s="4" t="inlineStr">
        <is>
          <t>Deer B License: 004-01</t>
        </is>
      </c>
      <c r="D1237" s="15" t="inlineStr">
        <is>
          <t>Drawing</t>
        </is>
      </c>
      <c r="E1237" s="4" t="inlineStr">
        <is>
          <t>Antlerless White-tailed Deer</t>
        </is>
      </c>
      <c r="F1237" s="4" t="inlineStr">
        <is>
          <t>Sep 05-Oct 18</t>
        </is>
      </c>
      <c r="G1237" s="4" t="inlineStr">
        <is>
          <t>Oct 24-Nov 29</t>
        </is>
      </c>
      <c r="H1237" s="4" t="inlineStr">
        <is>
          <t>Dec 12-Dec 20</t>
        </is>
      </c>
      <c r="I1237" s="4" t="n"/>
      <c r="J1237" s="4" t="inlineStr">
        <is>
          <t>Jun 1</t>
        </is>
      </c>
      <c r="K1237" s="4" t="inlineStr">
        <is>
          <t>2,000</t>
        </is>
      </c>
      <c r="L1237" s="4" t="inlineStr">
        <is>
          <t>Valid in all Region 4 HDs except HD 455.</t>
        </is>
      </c>
    </row>
    <row r="1238">
      <c r="A1238" s="4" t="inlineStr">
        <is>
          <t>412</t>
        </is>
      </c>
      <c r="B1238" s="4" t="inlineStr">
        <is>
          <t>whitetail</t>
        </is>
      </c>
      <c r="C1238" s="4" t="inlineStr">
        <is>
          <t>General Deer License</t>
        </is>
      </c>
      <c r="D1238" s="13" t="inlineStr">
        <is>
          <t>General license</t>
        </is>
      </c>
      <c r="E1238" s="4" t="inlineStr">
        <is>
          <t>Either-sex White-tailed Deer</t>
        </is>
      </c>
      <c r="F1238" s="4" t="inlineStr">
        <is>
          <t>Sep 05-Oct 18</t>
        </is>
      </c>
      <c r="G1238" s="4" t="inlineStr">
        <is>
          <t>Oct 24-Nov 29</t>
        </is>
      </c>
      <c r="H1238" s="4" t="inlineStr">
        <is>
          <t>Dec 12-Dec 20</t>
        </is>
      </c>
      <c r="I1238" s="4" t="n"/>
      <c r="J1238" s="4" t="n"/>
      <c r="K1238" s="4" t="n"/>
      <c r="L1238" s="4" t="n"/>
    </row>
    <row r="1239">
      <c r="A1239" s="4" t="inlineStr">
        <is>
          <t>412</t>
        </is>
      </c>
      <c r="B1239" s="4" t="inlineStr">
        <is>
          <t>whitetail</t>
        </is>
      </c>
      <c r="C1239" s="4" t="inlineStr">
        <is>
          <t>Deer B License: 004-00</t>
        </is>
      </c>
      <c r="D1239" s="4" t="inlineStr">
        <is>
          <t>Over the counter</t>
        </is>
      </c>
      <c r="E1239" s="4" t="inlineStr">
        <is>
          <t>Antlerless White-tailed Deer</t>
        </is>
      </c>
      <c r="F1239" s="4" t="inlineStr">
        <is>
          <t>Sep 05-Oct 18</t>
        </is>
      </c>
      <c r="G1239" s="4" t="inlineStr">
        <is>
          <t>Oct 24-Nov 29</t>
        </is>
      </c>
      <c r="H1239" s="4" t="inlineStr">
        <is>
          <t>Dec 12-Dec 20</t>
        </is>
      </c>
      <c r="I1239" s="4" t="n"/>
      <c r="J1239" s="4" t="inlineStr">
        <is>
          <t>OTC: Jun 15</t>
        </is>
      </c>
      <c r="K1239" s="4" t="inlineStr">
        <is>
          <t>UNL</t>
        </is>
      </c>
      <c r="L1239" s="4" t="inlineStr">
        <is>
          <t>One per hunter. Valid in all Region 4 HDs except HD 455.</t>
        </is>
      </c>
    </row>
    <row r="1240">
      <c r="A1240" s="4" t="inlineStr">
        <is>
          <t>412</t>
        </is>
      </c>
      <c r="B1240" s="4" t="inlineStr">
        <is>
          <t>whitetail</t>
        </is>
      </c>
      <c r="C1240" s="4" t="inlineStr">
        <is>
          <t>Deer B License: 004-01</t>
        </is>
      </c>
      <c r="D1240" s="15" t="inlineStr">
        <is>
          <t>Drawing</t>
        </is>
      </c>
      <c r="E1240" s="4" t="inlineStr">
        <is>
          <t>Antlerless White-tailed Deer</t>
        </is>
      </c>
      <c r="F1240" s="4" t="inlineStr">
        <is>
          <t>Sep 05-Oct 18</t>
        </is>
      </c>
      <c r="G1240" s="4" t="inlineStr">
        <is>
          <t>Oct 24-Nov 29</t>
        </is>
      </c>
      <c r="H1240" s="4" t="inlineStr">
        <is>
          <t>Dec 12-Dec 20</t>
        </is>
      </c>
      <c r="I1240" s="4" t="n"/>
      <c r="J1240" s="4" t="inlineStr">
        <is>
          <t>Jun 1</t>
        </is>
      </c>
      <c r="K1240" s="4" t="inlineStr">
        <is>
          <t>2,000</t>
        </is>
      </c>
      <c r="L1240" s="4" t="inlineStr">
        <is>
          <t>Valid in all Region 4 HDs except HD 455.</t>
        </is>
      </c>
    </row>
    <row r="1241">
      <c r="A1241" s="4" t="inlineStr">
        <is>
          <t>413</t>
        </is>
      </c>
      <c r="B1241" s="4" t="inlineStr">
        <is>
          <t>whitetail</t>
        </is>
      </c>
      <c r="C1241" s="4" t="inlineStr">
        <is>
          <t>General Deer License</t>
        </is>
      </c>
      <c r="D1241" s="13" t="inlineStr">
        <is>
          <t>General license</t>
        </is>
      </c>
      <c r="E1241" s="4" t="inlineStr">
        <is>
          <t>Antlerless White-tailed Deer</t>
        </is>
      </c>
      <c r="F1241" s="4" t="n"/>
      <c r="G1241" s="4" t="n"/>
      <c r="H1241" s="4" t="n"/>
      <c r="I1241" s="4" t="inlineStr">
        <is>
          <t>Nov 30-Jan 15</t>
        </is>
      </c>
      <c r="J1241" s="4" t="n"/>
      <c r="K1241" s="4" t="n"/>
      <c r="L1241" s="4" t="inlineStr">
        <is>
          <t>Only valid in Great Falls portion of HD 413. See Legal Description.</t>
        </is>
      </c>
    </row>
    <row r="1242">
      <c r="A1242" s="4" t="inlineStr">
        <is>
          <t>413</t>
        </is>
      </c>
      <c r="B1242" s="4" t="inlineStr">
        <is>
          <t>whitetail</t>
        </is>
      </c>
      <c r="C1242" s="4" t="inlineStr">
        <is>
          <t>General Deer License</t>
        </is>
      </c>
      <c r="D1242" s="13" t="inlineStr">
        <is>
          <t>General license</t>
        </is>
      </c>
      <c r="E1242" s="4" t="inlineStr">
        <is>
          <t>Either-sex White-tailed Deer</t>
        </is>
      </c>
      <c r="F1242" s="4" t="inlineStr">
        <is>
          <t>Sep 05-Oct 18</t>
        </is>
      </c>
      <c r="G1242" s="4" t="inlineStr">
        <is>
          <t>Oct 24-Nov 29</t>
        </is>
      </c>
      <c r="H1242" s="4" t="inlineStr">
        <is>
          <t>Dec 12-Dec 20</t>
        </is>
      </c>
      <c r="I1242" s="4" t="n"/>
      <c r="J1242" s="4" t="n"/>
      <c r="K1242" s="4" t="n"/>
      <c r="L1242" s="4" t="n"/>
    </row>
    <row r="1243">
      <c r="A1243" s="4" t="inlineStr">
        <is>
          <t>413</t>
        </is>
      </c>
      <c r="B1243" s="4" t="inlineStr">
        <is>
          <t>whitetail</t>
        </is>
      </c>
      <c r="C1243" s="4" t="inlineStr">
        <is>
          <t>Deer B License: 004-00</t>
        </is>
      </c>
      <c r="D1243" s="4" t="inlineStr">
        <is>
          <t>Over the counter</t>
        </is>
      </c>
      <c r="E1243" s="4" t="inlineStr">
        <is>
          <t>Antlerless White-tailed Deer</t>
        </is>
      </c>
      <c r="F1243" s="4" t="inlineStr">
        <is>
          <t>Sep 05-Oct 18</t>
        </is>
      </c>
      <c r="G1243" s="4" t="inlineStr">
        <is>
          <t>Oct 24-Nov 29</t>
        </is>
      </c>
      <c r="H1243" s="4" t="inlineStr">
        <is>
          <t>Dec 12-Dec 20</t>
        </is>
      </c>
      <c r="I1243" s="4" t="n"/>
      <c r="J1243" s="4" t="inlineStr">
        <is>
          <t>OTC: Jun 15</t>
        </is>
      </c>
      <c r="K1243" s="4" t="inlineStr">
        <is>
          <t>UNL</t>
        </is>
      </c>
      <c r="L1243" s="4" t="inlineStr">
        <is>
          <t>One per hunter. Valid in all Region 4 HDs except HD 455. Only valid in Great Falls portion of HD 413. See Legal Description.</t>
        </is>
      </c>
    </row>
    <row r="1244">
      <c r="A1244" s="4" t="inlineStr">
        <is>
          <t>413</t>
        </is>
      </c>
      <c r="B1244" s="4" t="inlineStr">
        <is>
          <t>whitetail</t>
        </is>
      </c>
      <c r="C1244" s="4" t="inlineStr">
        <is>
          <t>Deer B License: 004-01</t>
        </is>
      </c>
      <c r="D1244" s="15" t="inlineStr">
        <is>
          <t>Drawing</t>
        </is>
      </c>
      <c r="E1244" s="4" t="inlineStr">
        <is>
          <t>Antlerless White-tailed Deer</t>
        </is>
      </c>
      <c r="F1244" s="4" t="inlineStr">
        <is>
          <t>Sep 05-Oct 18</t>
        </is>
      </c>
      <c r="G1244" s="4" t="inlineStr">
        <is>
          <t>Oct 24-Nov 29</t>
        </is>
      </c>
      <c r="H1244" s="4" t="inlineStr">
        <is>
          <t>Dec 12-Dec 20</t>
        </is>
      </c>
      <c r="I1244" s="4" t="n"/>
      <c r="J1244" s="4" t="inlineStr">
        <is>
          <t>Jun 1</t>
        </is>
      </c>
      <c r="K1244" s="4" t="inlineStr">
        <is>
          <t>2,000</t>
        </is>
      </c>
      <c r="L1244" s="4" t="inlineStr">
        <is>
          <t>Valid in all Region 4 HDs except HD 455. Only valid in Great Falls portion of HD 413. See Legal Description.</t>
        </is>
      </c>
    </row>
    <row r="1245">
      <c r="A1245" s="4" t="inlineStr">
        <is>
          <t>415</t>
        </is>
      </c>
      <c r="B1245" s="4" t="inlineStr">
        <is>
          <t>whitetail</t>
        </is>
      </c>
      <c r="C1245" s="4" t="inlineStr">
        <is>
          <t>General Deer License</t>
        </is>
      </c>
      <c r="D1245" s="13" t="inlineStr">
        <is>
          <t>General license</t>
        </is>
      </c>
      <c r="E1245" s="4" t="inlineStr">
        <is>
          <t>Either-sex White-tailed Deer</t>
        </is>
      </c>
      <c r="F1245" s="4" t="inlineStr">
        <is>
          <t>Sep 05-Oct 18</t>
        </is>
      </c>
      <c r="G1245" s="4" t="inlineStr">
        <is>
          <t>Oct 24-Nov 29</t>
        </is>
      </c>
      <c r="H1245" s="4" t="inlineStr">
        <is>
          <t>Dec 12-Dec 20</t>
        </is>
      </c>
      <c r="I1245" s="4" t="n"/>
      <c r="J1245" s="4" t="n"/>
      <c r="K1245" s="4" t="n"/>
      <c r="L1245" s="4" t="n"/>
    </row>
    <row r="1246">
      <c r="A1246" s="4" t="inlineStr">
        <is>
          <t>415</t>
        </is>
      </c>
      <c r="B1246" s="4" t="inlineStr">
        <is>
          <t>whitetail</t>
        </is>
      </c>
      <c r="C1246" s="4" t="inlineStr">
        <is>
          <t>Deer B License: 004-00</t>
        </is>
      </c>
      <c r="D1246" s="4" t="inlineStr">
        <is>
          <t>Over the counter</t>
        </is>
      </c>
      <c r="E1246" s="4" t="inlineStr">
        <is>
          <t>Antlerless White-tailed Deer</t>
        </is>
      </c>
      <c r="F1246" s="4" t="inlineStr">
        <is>
          <t>Sep 05-Oct 18</t>
        </is>
      </c>
      <c r="G1246" s="4" t="inlineStr">
        <is>
          <t>Oct 24-Nov 29</t>
        </is>
      </c>
      <c r="H1246" s="4" t="inlineStr">
        <is>
          <t>Dec 12-Dec 20</t>
        </is>
      </c>
      <c r="I1246" s="4" t="n"/>
      <c r="J1246" s="4" t="inlineStr">
        <is>
          <t>OTC: Jun 15</t>
        </is>
      </c>
      <c r="K1246" s="4" t="inlineStr">
        <is>
          <t>UNL</t>
        </is>
      </c>
      <c r="L1246" s="4" t="inlineStr">
        <is>
          <t>One per hunter. Valid in all Region 4 HDs except HD 455.</t>
        </is>
      </c>
    </row>
    <row r="1247">
      <c r="A1247" s="4" t="inlineStr">
        <is>
          <t>415</t>
        </is>
      </c>
      <c r="B1247" s="4" t="inlineStr">
        <is>
          <t>whitetail</t>
        </is>
      </c>
      <c r="C1247" s="4" t="inlineStr">
        <is>
          <t>Deer B License: 004-01</t>
        </is>
      </c>
      <c r="D1247" s="15" t="inlineStr">
        <is>
          <t>Drawing</t>
        </is>
      </c>
      <c r="E1247" s="4" t="inlineStr">
        <is>
          <t>Antlerless White-tailed Deer</t>
        </is>
      </c>
      <c r="F1247" s="4" t="inlineStr">
        <is>
          <t>Sep 05-Oct 18</t>
        </is>
      </c>
      <c r="G1247" s="4" t="inlineStr">
        <is>
          <t>Oct 24-Nov 29</t>
        </is>
      </c>
      <c r="H1247" s="4" t="inlineStr">
        <is>
          <t>Dec 12-Dec 20</t>
        </is>
      </c>
      <c r="I1247" s="4" t="n"/>
      <c r="J1247" s="4" t="inlineStr">
        <is>
          <t>Jun 1</t>
        </is>
      </c>
      <c r="K1247" s="4" t="inlineStr">
        <is>
          <t>2,000</t>
        </is>
      </c>
      <c r="L1247" s="4" t="inlineStr">
        <is>
          <t>Valid in all Region 4 HDs except HD 455.</t>
        </is>
      </c>
    </row>
    <row r="1248">
      <c r="A1248" s="4" t="inlineStr">
        <is>
          <t>416</t>
        </is>
      </c>
      <c r="B1248" s="4" t="inlineStr">
        <is>
          <t>whitetail</t>
        </is>
      </c>
      <c r="C1248" s="4" t="inlineStr">
        <is>
          <t>General Deer License</t>
        </is>
      </c>
      <c r="D1248" s="13" t="inlineStr">
        <is>
          <t>General license</t>
        </is>
      </c>
      <c r="E1248" s="4" t="inlineStr">
        <is>
          <t>Either-sex White-tailed Deer</t>
        </is>
      </c>
      <c r="F1248" s="4" t="inlineStr">
        <is>
          <t>Sep 05-Oct 18</t>
        </is>
      </c>
      <c r="G1248" s="4" t="inlineStr">
        <is>
          <t>Oct 24-Nov 29</t>
        </is>
      </c>
      <c r="H1248" s="4" t="inlineStr">
        <is>
          <t>Dec 12-Dec 20</t>
        </is>
      </c>
      <c r="I1248" s="4" t="n"/>
      <c r="J1248" s="4" t="n"/>
      <c r="K1248" s="4" t="n"/>
      <c r="L1248" s="4" t="n"/>
    </row>
    <row r="1249">
      <c r="A1249" s="4" t="inlineStr">
        <is>
          <t>416</t>
        </is>
      </c>
      <c r="B1249" s="4" t="inlineStr">
        <is>
          <t>whitetail</t>
        </is>
      </c>
      <c r="C1249" s="4" t="inlineStr">
        <is>
          <t>Deer B License: 004-00</t>
        </is>
      </c>
      <c r="D1249" s="4" t="inlineStr">
        <is>
          <t>Over the counter</t>
        </is>
      </c>
      <c r="E1249" s="4" t="inlineStr">
        <is>
          <t>Antlerless White-tailed Deer</t>
        </is>
      </c>
      <c r="F1249" s="4" t="inlineStr">
        <is>
          <t>Sep 05-Oct 18</t>
        </is>
      </c>
      <c r="G1249" s="4" t="inlineStr">
        <is>
          <t>Oct 24-Nov 29</t>
        </is>
      </c>
      <c r="H1249" s="4" t="inlineStr">
        <is>
          <t>Dec 12-Dec 20</t>
        </is>
      </c>
      <c r="I1249" s="4" t="n"/>
      <c r="J1249" s="4" t="inlineStr">
        <is>
          <t>OTC: Jun 15</t>
        </is>
      </c>
      <c r="K1249" s="4" t="inlineStr">
        <is>
          <t>UNL</t>
        </is>
      </c>
      <c r="L1249" s="4" t="inlineStr">
        <is>
          <t>One per hunter. Valid in all Region 4 HDs except HD 455.</t>
        </is>
      </c>
    </row>
    <row r="1250">
      <c r="A1250" s="4" t="inlineStr">
        <is>
          <t>416</t>
        </is>
      </c>
      <c r="B1250" s="4" t="inlineStr">
        <is>
          <t>whitetail</t>
        </is>
      </c>
      <c r="C1250" s="4" t="inlineStr">
        <is>
          <t>Deer B License: 004-01</t>
        </is>
      </c>
      <c r="D1250" s="15" t="inlineStr">
        <is>
          <t>Drawing</t>
        </is>
      </c>
      <c r="E1250" s="4" t="inlineStr">
        <is>
          <t>Antlerless White-tailed Deer</t>
        </is>
      </c>
      <c r="F1250" s="4" t="inlineStr">
        <is>
          <t>Sep 05-Oct 18</t>
        </is>
      </c>
      <c r="G1250" s="4" t="inlineStr">
        <is>
          <t>Oct 24-Nov 29</t>
        </is>
      </c>
      <c r="H1250" s="4" t="inlineStr">
        <is>
          <t>Dec 12-Dec 20</t>
        </is>
      </c>
      <c r="I1250" s="4" t="n"/>
      <c r="J1250" s="4" t="inlineStr">
        <is>
          <t>Jun 1</t>
        </is>
      </c>
      <c r="K1250" s="4" t="inlineStr">
        <is>
          <t>2,000</t>
        </is>
      </c>
      <c r="L1250" s="4" t="inlineStr">
        <is>
          <t>Valid in all Region 4 HDs except HD 455.</t>
        </is>
      </c>
    </row>
    <row r="1251">
      <c r="A1251" s="4" t="inlineStr">
        <is>
          <t>417</t>
        </is>
      </c>
      <c r="B1251" s="4" t="inlineStr">
        <is>
          <t>whitetail</t>
        </is>
      </c>
      <c r="C1251" s="4" t="inlineStr">
        <is>
          <t>General Deer License</t>
        </is>
      </c>
      <c r="D1251" s="13" t="inlineStr">
        <is>
          <t>General license</t>
        </is>
      </c>
      <c r="E1251" s="4" t="inlineStr">
        <is>
          <t>Either-sex White-tailed Deer</t>
        </is>
      </c>
      <c r="F1251" s="4" t="inlineStr">
        <is>
          <t>Sep 05-Oct 18</t>
        </is>
      </c>
      <c r="G1251" s="4" t="inlineStr">
        <is>
          <t>Oct 24-Nov 29</t>
        </is>
      </c>
      <c r="H1251" s="4" t="inlineStr">
        <is>
          <t>Dec 12-Dec 20</t>
        </is>
      </c>
      <c r="I1251" s="4" t="n"/>
      <c r="J1251" s="4" t="n"/>
      <c r="K1251" s="4" t="n"/>
      <c r="L1251" s="4" t="n"/>
    </row>
    <row r="1252">
      <c r="A1252" s="4" t="inlineStr">
        <is>
          <t>417</t>
        </is>
      </c>
      <c r="B1252" s="4" t="inlineStr">
        <is>
          <t>whitetail</t>
        </is>
      </c>
      <c r="C1252" s="4" t="inlineStr">
        <is>
          <t>Deer B License: 004-00</t>
        </is>
      </c>
      <c r="D1252" s="4" t="inlineStr">
        <is>
          <t>Over the counter</t>
        </is>
      </c>
      <c r="E1252" s="4" t="inlineStr">
        <is>
          <t>Antlerless White-tailed Deer</t>
        </is>
      </c>
      <c r="F1252" s="4" t="inlineStr">
        <is>
          <t>Sep 05-Oct 18</t>
        </is>
      </c>
      <c r="G1252" s="4" t="inlineStr">
        <is>
          <t>Oct 24-Nov 29</t>
        </is>
      </c>
      <c r="H1252" s="4" t="inlineStr">
        <is>
          <t>Dec 12-Dec 20</t>
        </is>
      </c>
      <c r="I1252" s="4" t="n"/>
      <c r="J1252" s="4" t="inlineStr">
        <is>
          <t>OTC: Jun 15</t>
        </is>
      </c>
      <c r="K1252" s="4" t="inlineStr">
        <is>
          <t>UNL</t>
        </is>
      </c>
      <c r="L1252" s="4" t="inlineStr">
        <is>
          <t>One per hunter. Valid in all Region 4 HDs except HD 455.</t>
        </is>
      </c>
    </row>
    <row r="1253">
      <c r="A1253" s="4" t="inlineStr">
        <is>
          <t>417</t>
        </is>
      </c>
      <c r="B1253" s="4" t="inlineStr">
        <is>
          <t>whitetail</t>
        </is>
      </c>
      <c r="C1253" s="4" t="inlineStr">
        <is>
          <t>Deer B License: 004-01</t>
        </is>
      </c>
      <c r="D1253" s="15" t="inlineStr">
        <is>
          <t>Drawing</t>
        </is>
      </c>
      <c r="E1253" s="4" t="inlineStr">
        <is>
          <t>Antlerless White-tailed Deer</t>
        </is>
      </c>
      <c r="F1253" s="4" t="inlineStr">
        <is>
          <t>Sep 05-Oct 18</t>
        </is>
      </c>
      <c r="G1253" s="4" t="inlineStr">
        <is>
          <t>Oct 24-Nov 29</t>
        </is>
      </c>
      <c r="H1253" s="4" t="inlineStr">
        <is>
          <t>Dec 12-Dec 20</t>
        </is>
      </c>
      <c r="I1253" s="4" t="n"/>
      <c r="J1253" s="4" t="inlineStr">
        <is>
          <t>Jun 1</t>
        </is>
      </c>
      <c r="K1253" s="4" t="inlineStr">
        <is>
          <t>2,000</t>
        </is>
      </c>
      <c r="L1253" s="4" t="inlineStr">
        <is>
          <t>Valid in all Region 4 HDs except HD 455.</t>
        </is>
      </c>
    </row>
    <row r="1254">
      <c r="A1254" s="4" t="inlineStr">
        <is>
          <t>418</t>
        </is>
      </c>
      <c r="B1254" s="4" t="inlineStr">
        <is>
          <t>whitetail</t>
        </is>
      </c>
      <c r="C1254" s="4" t="inlineStr">
        <is>
          <t>General Deer License</t>
        </is>
      </c>
      <c r="D1254" s="13" t="inlineStr">
        <is>
          <t>General license</t>
        </is>
      </c>
      <c r="E1254" s="4" t="inlineStr">
        <is>
          <t>Either-sex White-tailed Deer</t>
        </is>
      </c>
      <c r="F1254" s="4" t="inlineStr">
        <is>
          <t>Sep 05-Oct 18</t>
        </is>
      </c>
      <c r="G1254" s="4" t="inlineStr">
        <is>
          <t>Oct 24-Nov 29</t>
        </is>
      </c>
      <c r="H1254" s="4" t="inlineStr">
        <is>
          <t>Dec 12-Dec 20</t>
        </is>
      </c>
      <c r="I1254" s="4" t="n"/>
      <c r="J1254" s="4" t="n"/>
      <c r="K1254" s="4" t="n"/>
      <c r="L1254" s="4" t="n"/>
    </row>
    <row r="1255">
      <c r="A1255" s="4" t="inlineStr">
        <is>
          <t>418</t>
        </is>
      </c>
      <c r="B1255" s="4" t="inlineStr">
        <is>
          <t>whitetail</t>
        </is>
      </c>
      <c r="C1255" s="4" t="inlineStr">
        <is>
          <t>Deer B License: 004-00</t>
        </is>
      </c>
      <c r="D1255" s="4" t="inlineStr">
        <is>
          <t>Over the counter</t>
        </is>
      </c>
      <c r="E1255" s="4" t="inlineStr">
        <is>
          <t>Antlerless White-tailed Deer</t>
        </is>
      </c>
      <c r="F1255" s="4" t="inlineStr">
        <is>
          <t>Sep 05-Oct 18</t>
        </is>
      </c>
      <c r="G1255" s="4" t="inlineStr">
        <is>
          <t>Oct 24-Nov 29</t>
        </is>
      </c>
      <c r="H1255" s="4" t="inlineStr">
        <is>
          <t>Dec 12-Dec 20</t>
        </is>
      </c>
      <c r="I1255" s="4" t="n"/>
      <c r="J1255" s="4" t="inlineStr">
        <is>
          <t>OTC: Jun 15</t>
        </is>
      </c>
      <c r="K1255" s="4" t="inlineStr">
        <is>
          <t>UNL</t>
        </is>
      </c>
      <c r="L1255" s="4" t="inlineStr">
        <is>
          <t>One per hunter. Valid in all Region 4 HDs except HD 455.</t>
        </is>
      </c>
    </row>
    <row r="1256">
      <c r="A1256" s="4" t="inlineStr">
        <is>
          <t>418</t>
        </is>
      </c>
      <c r="B1256" s="4" t="inlineStr">
        <is>
          <t>whitetail</t>
        </is>
      </c>
      <c r="C1256" s="4" t="inlineStr">
        <is>
          <t>Deer B License: 004-01</t>
        </is>
      </c>
      <c r="D1256" s="15" t="inlineStr">
        <is>
          <t>Drawing</t>
        </is>
      </c>
      <c r="E1256" s="4" t="inlineStr">
        <is>
          <t>Antlerless White-tailed Deer</t>
        </is>
      </c>
      <c r="F1256" s="4" t="inlineStr">
        <is>
          <t>Sep 05-Oct 18</t>
        </is>
      </c>
      <c r="G1256" s="4" t="inlineStr">
        <is>
          <t>Oct 24-Nov 29</t>
        </is>
      </c>
      <c r="H1256" s="4" t="inlineStr">
        <is>
          <t>Dec 12-Dec 20</t>
        </is>
      </c>
      <c r="I1256" s="4" t="n"/>
      <c r="J1256" s="4" t="inlineStr">
        <is>
          <t>Jun 1</t>
        </is>
      </c>
      <c r="K1256" s="4" t="inlineStr">
        <is>
          <t>2,000</t>
        </is>
      </c>
      <c r="L1256" s="4" t="inlineStr">
        <is>
          <t>Valid in all Region 4 HDs except HD 455.</t>
        </is>
      </c>
    </row>
    <row r="1257">
      <c r="A1257" s="4" t="inlineStr">
        <is>
          <t>419</t>
        </is>
      </c>
      <c r="B1257" s="4" t="inlineStr">
        <is>
          <t>whitetail</t>
        </is>
      </c>
      <c r="C1257" s="4" t="inlineStr">
        <is>
          <t>General Deer License</t>
        </is>
      </c>
      <c r="D1257" s="13" t="inlineStr">
        <is>
          <t>General license</t>
        </is>
      </c>
      <c r="E1257" s="4" t="inlineStr">
        <is>
          <t>Either-sex White-tailed Deer</t>
        </is>
      </c>
      <c r="F1257" s="4" t="inlineStr">
        <is>
          <t>Sep 05-Oct 18</t>
        </is>
      </c>
      <c r="G1257" s="4" t="inlineStr">
        <is>
          <t>Oct 24-Nov 29</t>
        </is>
      </c>
      <c r="H1257" s="4" t="inlineStr">
        <is>
          <t>Dec 12-Dec 20</t>
        </is>
      </c>
      <c r="I1257" s="4" t="n"/>
      <c r="J1257" s="4" t="n"/>
      <c r="K1257" s="4" t="n"/>
      <c r="L1257" s="4" t="n"/>
    </row>
    <row r="1258">
      <c r="A1258" s="4" t="inlineStr">
        <is>
          <t>419</t>
        </is>
      </c>
      <c r="B1258" s="4" t="inlineStr">
        <is>
          <t>whitetail</t>
        </is>
      </c>
      <c r="C1258" s="4" t="inlineStr">
        <is>
          <t>Deer B License: 004-00</t>
        </is>
      </c>
      <c r="D1258" s="4" t="inlineStr">
        <is>
          <t>Over the counter</t>
        </is>
      </c>
      <c r="E1258" s="4" t="inlineStr">
        <is>
          <t>Antlerless White-tailed Deer</t>
        </is>
      </c>
      <c r="F1258" s="4" t="inlineStr">
        <is>
          <t>Sep 05-Oct 18</t>
        </is>
      </c>
      <c r="G1258" s="4" t="inlineStr">
        <is>
          <t>Oct 24-Nov 29</t>
        </is>
      </c>
      <c r="H1258" s="4" t="inlineStr">
        <is>
          <t>Dec 12-Dec 20</t>
        </is>
      </c>
      <c r="I1258" s="4" t="n"/>
      <c r="J1258" s="4" t="inlineStr">
        <is>
          <t>OTC: Jun 15</t>
        </is>
      </c>
      <c r="K1258" s="4" t="inlineStr">
        <is>
          <t>UNL</t>
        </is>
      </c>
      <c r="L1258" s="4" t="inlineStr">
        <is>
          <t>One per hunter. Valid in all Region 4 HDs except HD 455.</t>
        </is>
      </c>
    </row>
    <row r="1259">
      <c r="A1259" s="4" t="inlineStr">
        <is>
          <t>419</t>
        </is>
      </c>
      <c r="B1259" s="4" t="inlineStr">
        <is>
          <t>whitetail</t>
        </is>
      </c>
      <c r="C1259" s="4" t="inlineStr">
        <is>
          <t>Deer B License: 004-01</t>
        </is>
      </c>
      <c r="D1259" s="15" t="inlineStr">
        <is>
          <t>Drawing</t>
        </is>
      </c>
      <c r="E1259" s="4" t="inlineStr">
        <is>
          <t>Antlerless White-tailed Deer</t>
        </is>
      </c>
      <c r="F1259" s="4" t="inlineStr">
        <is>
          <t>Sep 05-Oct 18</t>
        </is>
      </c>
      <c r="G1259" s="4" t="inlineStr">
        <is>
          <t>Oct 24-Nov 29</t>
        </is>
      </c>
      <c r="H1259" s="4" t="inlineStr">
        <is>
          <t>Dec 12-Dec 20</t>
        </is>
      </c>
      <c r="I1259" s="4" t="n"/>
      <c r="J1259" s="4" t="inlineStr">
        <is>
          <t>Jun 1</t>
        </is>
      </c>
      <c r="K1259" s="4" t="inlineStr">
        <is>
          <t>2,000</t>
        </is>
      </c>
      <c r="L1259" s="4" t="inlineStr">
        <is>
          <t>Valid in all Region 4 HDs except HD 455.</t>
        </is>
      </c>
    </row>
    <row r="1260">
      <c r="A1260" s="4" t="inlineStr">
        <is>
          <t>420</t>
        </is>
      </c>
      <c r="B1260" s="4" t="inlineStr">
        <is>
          <t>whitetail</t>
        </is>
      </c>
      <c r="C1260" s="4" t="inlineStr">
        <is>
          <t>General Deer License</t>
        </is>
      </c>
      <c r="D1260" s="13" t="inlineStr">
        <is>
          <t>General license</t>
        </is>
      </c>
      <c r="E1260" s="4" t="inlineStr">
        <is>
          <t>Either-sex White-tailed Deer</t>
        </is>
      </c>
      <c r="F1260" s="4" t="inlineStr">
        <is>
          <t>Sep 05-Oct 18</t>
        </is>
      </c>
      <c r="G1260" s="4" t="inlineStr">
        <is>
          <t>Oct 24-Nov 29</t>
        </is>
      </c>
      <c r="H1260" s="4" t="inlineStr">
        <is>
          <t>Dec 12-Dec 20</t>
        </is>
      </c>
      <c r="I1260" s="4" t="n"/>
      <c r="J1260" s="4" t="n"/>
      <c r="K1260" s="4" t="n"/>
      <c r="L1260" s="4" t="n"/>
    </row>
    <row r="1261">
      <c r="A1261" s="4" t="inlineStr">
        <is>
          <t>420</t>
        </is>
      </c>
      <c r="B1261" s="4" t="inlineStr">
        <is>
          <t>whitetail</t>
        </is>
      </c>
      <c r="C1261" s="4" t="inlineStr">
        <is>
          <t>Deer B License: 004-00</t>
        </is>
      </c>
      <c r="D1261" s="4" t="inlineStr">
        <is>
          <t>Over the counter</t>
        </is>
      </c>
      <c r="E1261" s="4" t="inlineStr">
        <is>
          <t>Antlerless White-tailed Deer</t>
        </is>
      </c>
      <c r="F1261" s="4" t="inlineStr">
        <is>
          <t>Sep 05-Oct 18</t>
        </is>
      </c>
      <c r="G1261" s="4" t="inlineStr">
        <is>
          <t>Oct 24-Nov 29</t>
        </is>
      </c>
      <c r="H1261" s="4" t="inlineStr">
        <is>
          <t>Dec 12-Dec 20</t>
        </is>
      </c>
      <c r="I1261" s="4" t="n"/>
      <c r="J1261" s="4" t="inlineStr">
        <is>
          <t>OTC: Jun 15</t>
        </is>
      </c>
      <c r="K1261" s="4" t="inlineStr">
        <is>
          <t>UNL</t>
        </is>
      </c>
      <c r="L1261" s="4" t="inlineStr">
        <is>
          <t>One per hunter. Valid in all Region 4 HDs except HD 455.</t>
        </is>
      </c>
    </row>
    <row r="1262">
      <c r="A1262" s="4" t="inlineStr">
        <is>
          <t>420</t>
        </is>
      </c>
      <c r="B1262" s="4" t="inlineStr">
        <is>
          <t>whitetail</t>
        </is>
      </c>
      <c r="C1262" s="4" t="inlineStr">
        <is>
          <t>Deer B License: 004-01</t>
        </is>
      </c>
      <c r="D1262" s="15" t="inlineStr">
        <is>
          <t>Drawing</t>
        </is>
      </c>
      <c r="E1262" s="4" t="inlineStr">
        <is>
          <t>Antlerless White-tailed Deer</t>
        </is>
      </c>
      <c r="F1262" s="4" t="inlineStr">
        <is>
          <t>Sep 05-Oct 18</t>
        </is>
      </c>
      <c r="G1262" s="4" t="inlineStr">
        <is>
          <t>Oct 24-Nov 29</t>
        </is>
      </c>
      <c r="H1262" s="4" t="inlineStr">
        <is>
          <t>Dec 12-Dec 20</t>
        </is>
      </c>
      <c r="I1262" s="4" t="n"/>
      <c r="J1262" s="4" t="inlineStr">
        <is>
          <t>Jun 1</t>
        </is>
      </c>
      <c r="K1262" s="4" t="inlineStr">
        <is>
          <t>2,000</t>
        </is>
      </c>
      <c r="L1262" s="4" t="inlineStr">
        <is>
          <t>Valid in all Region 4 HDs except HD 455.</t>
        </is>
      </c>
    </row>
    <row r="1263">
      <c r="A1263" s="4" t="inlineStr">
        <is>
          <t>421</t>
        </is>
      </c>
      <c r="B1263" s="4" t="inlineStr">
        <is>
          <t>whitetail</t>
        </is>
      </c>
      <c r="C1263" s="4" t="inlineStr">
        <is>
          <t>General Deer License</t>
        </is>
      </c>
      <c r="D1263" s="13" t="inlineStr">
        <is>
          <t>General license</t>
        </is>
      </c>
      <c r="E1263" s="4" t="inlineStr">
        <is>
          <t>Either-sex White-tailed Deer</t>
        </is>
      </c>
      <c r="F1263" s="4" t="inlineStr">
        <is>
          <t>Sep 05-Oct 18</t>
        </is>
      </c>
      <c r="G1263" s="4" t="inlineStr">
        <is>
          <t>Oct 24-Nov 29</t>
        </is>
      </c>
      <c r="H1263" s="4" t="inlineStr">
        <is>
          <t>Dec 12-Dec 20</t>
        </is>
      </c>
      <c r="I1263" s="4" t="n"/>
      <c r="J1263" s="4" t="n"/>
      <c r="K1263" s="4" t="n"/>
      <c r="L1263" s="4" t="n"/>
    </row>
    <row r="1264">
      <c r="A1264" s="4" t="inlineStr">
        <is>
          <t>421</t>
        </is>
      </c>
      <c r="B1264" s="4" t="inlineStr">
        <is>
          <t>whitetail</t>
        </is>
      </c>
      <c r="C1264" s="4" t="inlineStr">
        <is>
          <t>Deer B License: 004-00</t>
        </is>
      </c>
      <c r="D1264" s="4" t="inlineStr">
        <is>
          <t>Over the counter</t>
        </is>
      </c>
      <c r="E1264" s="4" t="inlineStr">
        <is>
          <t>Antlerless White-tailed Deer</t>
        </is>
      </c>
      <c r="F1264" s="4" t="inlineStr">
        <is>
          <t>Sep 05-Oct 18</t>
        </is>
      </c>
      <c r="G1264" s="4" t="inlineStr">
        <is>
          <t>Oct 24-Nov 29</t>
        </is>
      </c>
      <c r="H1264" s="4" t="inlineStr">
        <is>
          <t>Dec 12-Dec 20</t>
        </is>
      </c>
      <c r="I1264" s="4" t="n"/>
      <c r="J1264" s="4" t="inlineStr">
        <is>
          <t>OTC: Jun 15</t>
        </is>
      </c>
      <c r="K1264" s="4" t="inlineStr">
        <is>
          <t>UNL</t>
        </is>
      </c>
      <c r="L1264" s="4" t="inlineStr">
        <is>
          <t>One per hunter. Valid in all Region 4 HDs except HD 455.</t>
        </is>
      </c>
    </row>
    <row r="1265">
      <c r="A1265" s="4" t="inlineStr">
        <is>
          <t>421</t>
        </is>
      </c>
      <c r="B1265" s="4" t="inlineStr">
        <is>
          <t>whitetail</t>
        </is>
      </c>
      <c r="C1265" s="4" t="inlineStr">
        <is>
          <t>Deer B License: 004-01</t>
        </is>
      </c>
      <c r="D1265" s="15" t="inlineStr">
        <is>
          <t>Drawing</t>
        </is>
      </c>
      <c r="E1265" s="4" t="inlineStr">
        <is>
          <t>Antlerless White-tailed Deer</t>
        </is>
      </c>
      <c r="F1265" s="4" t="inlineStr">
        <is>
          <t>Sep 05-Oct 18</t>
        </is>
      </c>
      <c r="G1265" s="4" t="inlineStr">
        <is>
          <t>Oct 24-Nov 29</t>
        </is>
      </c>
      <c r="H1265" s="4" t="inlineStr">
        <is>
          <t>Dec 12-Dec 20</t>
        </is>
      </c>
      <c r="I1265" s="4" t="n"/>
      <c r="J1265" s="4" t="inlineStr">
        <is>
          <t>Jun 1</t>
        </is>
      </c>
      <c r="K1265" s="4" t="inlineStr">
        <is>
          <t>2,000</t>
        </is>
      </c>
      <c r="L1265" s="4" t="inlineStr">
        <is>
          <t>Valid in all Region 4 HDs except HD 455.</t>
        </is>
      </c>
    </row>
    <row r="1266">
      <c r="A1266" s="4" t="inlineStr">
        <is>
          <t>422</t>
        </is>
      </c>
      <c r="B1266" s="4" t="inlineStr">
        <is>
          <t>whitetail</t>
        </is>
      </c>
      <c r="C1266" s="4" t="inlineStr">
        <is>
          <t>General Deer License</t>
        </is>
      </c>
      <c r="D1266" s="13" t="inlineStr">
        <is>
          <t>General license</t>
        </is>
      </c>
      <c r="E1266" s="4" t="inlineStr">
        <is>
          <t>Either-sex White-tailed Deer</t>
        </is>
      </c>
      <c r="F1266" s="4" t="inlineStr">
        <is>
          <t>Sep 05-Oct 18</t>
        </is>
      </c>
      <c r="G1266" s="4" t="inlineStr">
        <is>
          <t>Oct 24-Nov 29</t>
        </is>
      </c>
      <c r="H1266" s="4" t="inlineStr">
        <is>
          <t>Dec 12-Dec 20</t>
        </is>
      </c>
      <c r="I1266" s="4" t="n"/>
      <c r="J1266" s="4" t="n"/>
      <c r="K1266" s="4" t="n"/>
      <c r="L1266" s="4" t="n"/>
    </row>
    <row r="1267">
      <c r="A1267" s="4" t="inlineStr">
        <is>
          <t>422</t>
        </is>
      </c>
      <c r="B1267" s="4" t="inlineStr">
        <is>
          <t>whitetail</t>
        </is>
      </c>
      <c r="C1267" s="4" t="inlineStr">
        <is>
          <t>Deer B License: 004-00</t>
        </is>
      </c>
      <c r="D1267" s="4" t="inlineStr">
        <is>
          <t>Over the counter</t>
        </is>
      </c>
      <c r="E1267" s="4" t="inlineStr">
        <is>
          <t>Antlerless White-tailed Deer</t>
        </is>
      </c>
      <c r="F1267" s="4" t="inlineStr">
        <is>
          <t>Sep 05-Oct 18</t>
        </is>
      </c>
      <c r="G1267" s="4" t="inlineStr">
        <is>
          <t>Oct 24-Nov 29</t>
        </is>
      </c>
      <c r="H1267" s="4" t="inlineStr">
        <is>
          <t>Dec 12-Dec 20</t>
        </is>
      </c>
      <c r="I1267" s="4" t="n"/>
      <c r="J1267" s="4" t="inlineStr">
        <is>
          <t>OTC: Jun 15</t>
        </is>
      </c>
      <c r="K1267" s="4" t="inlineStr">
        <is>
          <t>UNL</t>
        </is>
      </c>
      <c r="L1267" s="4" t="inlineStr">
        <is>
          <t>One per hunter. Valid in all Region 4 HDs except HD 455.</t>
        </is>
      </c>
    </row>
    <row r="1268">
      <c r="A1268" s="4" t="inlineStr">
        <is>
          <t>422</t>
        </is>
      </c>
      <c r="B1268" s="4" t="inlineStr">
        <is>
          <t>whitetail</t>
        </is>
      </c>
      <c r="C1268" s="4" t="inlineStr">
        <is>
          <t>Deer B License: 004-01</t>
        </is>
      </c>
      <c r="D1268" s="15" t="inlineStr">
        <is>
          <t>Drawing</t>
        </is>
      </c>
      <c r="E1268" s="4" t="inlineStr">
        <is>
          <t>Antlerless White-tailed Deer</t>
        </is>
      </c>
      <c r="F1268" s="4" t="inlineStr">
        <is>
          <t>Sep 05-Oct 18</t>
        </is>
      </c>
      <c r="G1268" s="4" t="inlineStr">
        <is>
          <t>Oct 24-Nov 29</t>
        </is>
      </c>
      <c r="H1268" s="4" t="inlineStr">
        <is>
          <t>Dec 12-Dec 20</t>
        </is>
      </c>
      <c r="I1268" s="4" t="n"/>
      <c r="J1268" s="4" t="inlineStr">
        <is>
          <t>Jun 1</t>
        </is>
      </c>
      <c r="K1268" s="4" t="inlineStr">
        <is>
          <t>2,000</t>
        </is>
      </c>
      <c r="L1268" s="4" t="inlineStr">
        <is>
          <t>Valid in all Region 4 HDs except HD 455.</t>
        </is>
      </c>
    </row>
    <row r="1269">
      <c r="A1269" s="4" t="inlineStr">
        <is>
          <t>424</t>
        </is>
      </c>
      <c r="B1269" s="4" t="inlineStr">
        <is>
          <t>whitetail</t>
        </is>
      </c>
      <c r="C1269" s="4" t="inlineStr">
        <is>
          <t>General Deer License</t>
        </is>
      </c>
      <c r="D1269" s="13" t="inlineStr">
        <is>
          <t>General license</t>
        </is>
      </c>
      <c r="E1269" s="4" t="inlineStr">
        <is>
          <t>Either-sex White-tailed Deer</t>
        </is>
      </c>
      <c r="F1269" s="4" t="inlineStr">
        <is>
          <t>Sep 05-Oct 18</t>
        </is>
      </c>
      <c r="G1269" s="4" t="inlineStr">
        <is>
          <t>Oct 24-Nov 29</t>
        </is>
      </c>
      <c r="H1269" s="4" t="inlineStr">
        <is>
          <t>Dec 12-Dec 20</t>
        </is>
      </c>
      <c r="I1269" s="4" t="n"/>
      <c r="J1269" s="4" t="n"/>
      <c r="K1269" s="4" t="n"/>
      <c r="L1269" s="4" t="n"/>
    </row>
    <row r="1270">
      <c r="A1270" s="4" t="inlineStr">
        <is>
          <t>424</t>
        </is>
      </c>
      <c r="B1270" s="4" t="inlineStr">
        <is>
          <t>whitetail</t>
        </is>
      </c>
      <c r="C1270" s="4" t="inlineStr">
        <is>
          <t>Deer B License: 004-00</t>
        </is>
      </c>
      <c r="D1270" s="4" t="inlineStr">
        <is>
          <t>Over the counter</t>
        </is>
      </c>
      <c r="E1270" s="4" t="inlineStr">
        <is>
          <t>Antlerless White-tailed Deer</t>
        </is>
      </c>
      <c r="F1270" s="4" t="inlineStr">
        <is>
          <t>Sep 05-Oct 18</t>
        </is>
      </c>
      <c r="G1270" s="4" t="inlineStr">
        <is>
          <t>Oct 24-Nov 29</t>
        </is>
      </c>
      <c r="H1270" s="4" t="inlineStr">
        <is>
          <t>Dec 12-Dec 20</t>
        </is>
      </c>
      <c r="I1270" s="4" t="n"/>
      <c r="J1270" s="4" t="inlineStr">
        <is>
          <t>OTC: Jun 15</t>
        </is>
      </c>
      <c r="K1270" s="4" t="inlineStr">
        <is>
          <t>UNL</t>
        </is>
      </c>
      <c r="L1270" s="4" t="inlineStr">
        <is>
          <t>One per hunter. Valid in all Region 4 HDs except HD 455.</t>
        </is>
      </c>
    </row>
    <row r="1271">
      <c r="A1271" s="4" t="inlineStr">
        <is>
          <t>424</t>
        </is>
      </c>
      <c r="B1271" s="4" t="inlineStr">
        <is>
          <t>whitetail</t>
        </is>
      </c>
      <c r="C1271" s="4" t="inlineStr">
        <is>
          <t>Deer B License: 004-01</t>
        </is>
      </c>
      <c r="D1271" s="15" t="inlineStr">
        <is>
          <t>Drawing</t>
        </is>
      </c>
      <c r="E1271" s="4" t="inlineStr">
        <is>
          <t>Antlerless White-tailed Deer</t>
        </is>
      </c>
      <c r="F1271" s="4" t="inlineStr">
        <is>
          <t>Sep 05-Oct 18</t>
        </is>
      </c>
      <c r="G1271" s="4" t="inlineStr">
        <is>
          <t>Oct 24-Nov 29</t>
        </is>
      </c>
      <c r="H1271" s="4" t="inlineStr">
        <is>
          <t>Dec 12-Dec 20</t>
        </is>
      </c>
      <c r="I1271" s="4" t="n"/>
      <c r="J1271" s="4" t="inlineStr">
        <is>
          <t>Jun 1</t>
        </is>
      </c>
      <c r="K1271" s="4" t="inlineStr">
        <is>
          <t>2,000</t>
        </is>
      </c>
      <c r="L1271" s="4" t="inlineStr">
        <is>
          <t>Valid in all Region 4 HDs except HD 455.</t>
        </is>
      </c>
    </row>
    <row r="1272">
      <c r="A1272" s="4" t="inlineStr">
        <is>
          <t>425</t>
        </is>
      </c>
      <c r="B1272" s="4" t="inlineStr">
        <is>
          <t>whitetail</t>
        </is>
      </c>
      <c r="C1272" s="4" t="inlineStr">
        <is>
          <t>General Deer License</t>
        </is>
      </c>
      <c r="D1272" s="13" t="inlineStr">
        <is>
          <t>General license</t>
        </is>
      </c>
      <c r="E1272" s="4" t="inlineStr">
        <is>
          <t>Either-sex White-tailed Deer</t>
        </is>
      </c>
      <c r="F1272" s="4" t="inlineStr">
        <is>
          <t>Sep 05-Oct 18</t>
        </is>
      </c>
      <c r="G1272" s="4" t="inlineStr">
        <is>
          <t>Oct 24-Nov 29</t>
        </is>
      </c>
      <c r="H1272" s="4" t="inlineStr">
        <is>
          <t>Dec 12-Dec 20</t>
        </is>
      </c>
      <c r="I1272" s="4" t="n"/>
      <c r="J1272" s="4" t="n"/>
      <c r="K1272" s="4" t="n"/>
      <c r="L1272" s="4" t="n"/>
    </row>
    <row r="1273">
      <c r="A1273" s="4" t="inlineStr">
        <is>
          <t>425</t>
        </is>
      </c>
      <c r="B1273" s="4" t="inlineStr">
        <is>
          <t>whitetail</t>
        </is>
      </c>
      <c r="C1273" s="4" t="inlineStr">
        <is>
          <t>Deer B License: 004-00</t>
        </is>
      </c>
      <c r="D1273" s="4" t="inlineStr">
        <is>
          <t>Over the counter</t>
        </is>
      </c>
      <c r="E1273" s="4" t="inlineStr">
        <is>
          <t>Antlerless White-tailed Deer</t>
        </is>
      </c>
      <c r="F1273" s="4" t="inlineStr">
        <is>
          <t>Sep 05-Oct 18</t>
        </is>
      </c>
      <c r="G1273" s="4" t="inlineStr">
        <is>
          <t>Oct 24-Nov 29</t>
        </is>
      </c>
      <c r="H1273" s="4" t="inlineStr">
        <is>
          <t>Dec 12-Dec 20</t>
        </is>
      </c>
      <c r="I1273" s="4" t="n"/>
      <c r="J1273" s="4" t="inlineStr">
        <is>
          <t>OTC: Jun 15</t>
        </is>
      </c>
      <c r="K1273" s="4" t="inlineStr">
        <is>
          <t>UNL</t>
        </is>
      </c>
      <c r="L1273" s="4" t="inlineStr">
        <is>
          <t>One per hunter. Valid in all Region 4 HDs except HD 455.</t>
        </is>
      </c>
    </row>
    <row r="1274">
      <c r="A1274" s="4" t="inlineStr">
        <is>
          <t>425</t>
        </is>
      </c>
      <c r="B1274" s="4" t="inlineStr">
        <is>
          <t>whitetail</t>
        </is>
      </c>
      <c r="C1274" s="4" t="inlineStr">
        <is>
          <t>Deer B License: 004-01</t>
        </is>
      </c>
      <c r="D1274" s="15" t="inlineStr">
        <is>
          <t>Drawing</t>
        </is>
      </c>
      <c r="E1274" s="4" t="inlineStr">
        <is>
          <t>Antlerless White-tailed Deer</t>
        </is>
      </c>
      <c r="F1274" s="4" t="inlineStr">
        <is>
          <t>Sep 05-Oct 18</t>
        </is>
      </c>
      <c r="G1274" s="4" t="inlineStr">
        <is>
          <t>Oct 24-Nov 29</t>
        </is>
      </c>
      <c r="H1274" s="4" t="inlineStr">
        <is>
          <t>Dec 12-Dec 20</t>
        </is>
      </c>
      <c r="I1274" s="4" t="n"/>
      <c r="J1274" s="4" t="inlineStr">
        <is>
          <t>Jun 1</t>
        </is>
      </c>
      <c r="K1274" s="4" t="inlineStr">
        <is>
          <t>2,000</t>
        </is>
      </c>
      <c r="L1274" s="4" t="inlineStr">
        <is>
          <t>Valid in all Region 4 HDs except HD 455.</t>
        </is>
      </c>
    </row>
    <row r="1275">
      <c r="A1275" s="4" t="inlineStr">
        <is>
          <t>426</t>
        </is>
      </c>
      <c r="B1275" s="4" t="inlineStr">
        <is>
          <t>whitetail</t>
        </is>
      </c>
      <c r="C1275" s="4" t="inlineStr">
        <is>
          <t>General Deer License</t>
        </is>
      </c>
      <c r="D1275" s="13" t="inlineStr">
        <is>
          <t>General license</t>
        </is>
      </c>
      <c r="E1275" s="4" t="inlineStr">
        <is>
          <t>Either-sex White-tailed Deer</t>
        </is>
      </c>
      <c r="F1275" s="4" t="inlineStr">
        <is>
          <t>Sep 05-Oct 18</t>
        </is>
      </c>
      <c r="G1275" s="4" t="inlineStr">
        <is>
          <t>Oct 24-Nov 29</t>
        </is>
      </c>
      <c r="H1275" s="4" t="inlineStr">
        <is>
          <t>Dec 12-Dec 20</t>
        </is>
      </c>
      <c r="I1275" s="4" t="n"/>
      <c r="J1275" s="4" t="n"/>
      <c r="K1275" s="4" t="n"/>
      <c r="L1275" s="4" t="n"/>
    </row>
    <row r="1276">
      <c r="A1276" s="4" t="inlineStr">
        <is>
          <t>426</t>
        </is>
      </c>
      <c r="B1276" s="4" t="inlineStr">
        <is>
          <t>whitetail</t>
        </is>
      </c>
      <c r="C1276" s="4" t="inlineStr">
        <is>
          <t>Deer B License: 004-00</t>
        </is>
      </c>
      <c r="D1276" s="4" t="inlineStr">
        <is>
          <t>Over the counter</t>
        </is>
      </c>
      <c r="E1276" s="4" t="inlineStr">
        <is>
          <t>Antlerless White-tailed Deer</t>
        </is>
      </c>
      <c r="F1276" s="4" t="inlineStr">
        <is>
          <t>Sep 05-Oct 18</t>
        </is>
      </c>
      <c r="G1276" s="4" t="inlineStr">
        <is>
          <t>Oct 24-Nov 29</t>
        </is>
      </c>
      <c r="H1276" s="4" t="inlineStr">
        <is>
          <t>Dec 12-Dec 20</t>
        </is>
      </c>
      <c r="I1276" s="4" t="n"/>
      <c r="J1276" s="4" t="inlineStr">
        <is>
          <t>OTC: Jun 15</t>
        </is>
      </c>
      <c r="K1276" s="4" t="inlineStr">
        <is>
          <t>UNL</t>
        </is>
      </c>
      <c r="L1276" s="4" t="inlineStr">
        <is>
          <t>One per hunter. Valid in all Region 4 HDs except HD 455.</t>
        </is>
      </c>
    </row>
    <row r="1277">
      <c r="A1277" s="4" t="inlineStr">
        <is>
          <t>426</t>
        </is>
      </c>
      <c r="B1277" s="4" t="inlineStr">
        <is>
          <t>whitetail</t>
        </is>
      </c>
      <c r="C1277" s="4" t="inlineStr">
        <is>
          <t>Deer B License: 004-01</t>
        </is>
      </c>
      <c r="D1277" s="15" t="inlineStr">
        <is>
          <t>Drawing</t>
        </is>
      </c>
      <c r="E1277" s="4" t="inlineStr">
        <is>
          <t>Antlerless White-tailed Deer</t>
        </is>
      </c>
      <c r="F1277" s="4" t="inlineStr">
        <is>
          <t>Sep 05-Oct 18</t>
        </is>
      </c>
      <c r="G1277" s="4" t="inlineStr">
        <is>
          <t>Oct 24-Nov 29</t>
        </is>
      </c>
      <c r="H1277" s="4" t="inlineStr">
        <is>
          <t>Dec 12-Dec 20</t>
        </is>
      </c>
      <c r="I1277" s="4" t="n"/>
      <c r="J1277" s="4" t="inlineStr">
        <is>
          <t>Jun 1</t>
        </is>
      </c>
      <c r="K1277" s="4" t="inlineStr">
        <is>
          <t>2,000</t>
        </is>
      </c>
      <c r="L1277" s="4" t="inlineStr">
        <is>
          <t>Valid in all Region 4 HDs except HD 455.</t>
        </is>
      </c>
    </row>
    <row r="1278">
      <c r="A1278" s="4" t="inlineStr">
        <is>
          <t>432</t>
        </is>
      </c>
      <c r="B1278" s="4" t="inlineStr">
        <is>
          <t>whitetail</t>
        </is>
      </c>
      <c r="C1278" s="4" t="inlineStr">
        <is>
          <t>General Deer License</t>
        </is>
      </c>
      <c r="D1278" s="13" t="inlineStr">
        <is>
          <t>General license</t>
        </is>
      </c>
      <c r="E1278" s="4" t="inlineStr">
        <is>
          <t>Either-sex White-tailed Deer</t>
        </is>
      </c>
      <c r="F1278" s="4" t="inlineStr">
        <is>
          <t>Sep 05-Oct 18</t>
        </is>
      </c>
      <c r="G1278" s="4" t="inlineStr">
        <is>
          <t>Oct 24-Nov 29</t>
        </is>
      </c>
      <c r="H1278" s="4" t="inlineStr">
        <is>
          <t>Dec 12-Dec 20</t>
        </is>
      </c>
      <c r="I1278" s="4" t="n"/>
      <c r="J1278" s="4" t="n"/>
      <c r="K1278" s="4" t="n"/>
      <c r="L1278" s="4" t="n"/>
    </row>
    <row r="1279">
      <c r="A1279" s="4" t="inlineStr">
        <is>
          <t>432</t>
        </is>
      </c>
      <c r="B1279" s="4" t="inlineStr">
        <is>
          <t>whitetail</t>
        </is>
      </c>
      <c r="C1279" s="4" t="inlineStr">
        <is>
          <t>Deer B License: 004-00</t>
        </is>
      </c>
      <c r="D1279" s="4" t="inlineStr">
        <is>
          <t>Over the counter</t>
        </is>
      </c>
      <c r="E1279" s="4" t="inlineStr">
        <is>
          <t>Antlerless White-tailed Deer</t>
        </is>
      </c>
      <c r="F1279" s="4" t="inlineStr">
        <is>
          <t>Sep 05-Oct 18</t>
        </is>
      </c>
      <c r="G1279" s="4" t="inlineStr">
        <is>
          <t>Oct 24-Nov 29</t>
        </is>
      </c>
      <c r="H1279" s="4" t="inlineStr">
        <is>
          <t>Dec 12-Dec 20</t>
        </is>
      </c>
      <c r="I1279" s="4" t="n"/>
      <c r="J1279" s="4" t="inlineStr">
        <is>
          <t>OTC: Jun 15</t>
        </is>
      </c>
      <c r="K1279" s="4" t="inlineStr">
        <is>
          <t>UNL</t>
        </is>
      </c>
      <c r="L1279" s="4" t="inlineStr">
        <is>
          <t>One per hunter. Valid in all Region 4 HDs except HD 455.</t>
        </is>
      </c>
    </row>
    <row r="1280">
      <c r="A1280" s="4" t="inlineStr">
        <is>
          <t>432</t>
        </is>
      </c>
      <c r="B1280" s="4" t="inlineStr">
        <is>
          <t>whitetail</t>
        </is>
      </c>
      <c r="C1280" s="4" t="inlineStr">
        <is>
          <t>Deer B License: 004-01</t>
        </is>
      </c>
      <c r="D1280" s="15" t="inlineStr">
        <is>
          <t>Drawing</t>
        </is>
      </c>
      <c r="E1280" s="4" t="inlineStr">
        <is>
          <t>Antlerless White-tailed Deer</t>
        </is>
      </c>
      <c r="F1280" s="4" t="inlineStr">
        <is>
          <t>Sep 05-Oct 18</t>
        </is>
      </c>
      <c r="G1280" s="4" t="inlineStr">
        <is>
          <t>Oct 24-Nov 29</t>
        </is>
      </c>
      <c r="H1280" s="4" t="inlineStr">
        <is>
          <t>Dec 12-Dec 20</t>
        </is>
      </c>
      <c r="I1280" s="4" t="n"/>
      <c r="J1280" s="4" t="inlineStr">
        <is>
          <t>Jun 1</t>
        </is>
      </c>
      <c r="K1280" s="4" t="inlineStr">
        <is>
          <t>2,000</t>
        </is>
      </c>
      <c r="L1280" s="4" t="inlineStr">
        <is>
          <t>Valid in all Region 4 HDs except HD 455.</t>
        </is>
      </c>
    </row>
    <row r="1281">
      <c r="A1281" s="4" t="inlineStr">
        <is>
          <t>441</t>
        </is>
      </c>
      <c r="B1281" s="4" t="inlineStr">
        <is>
          <t>whitetail</t>
        </is>
      </c>
      <c r="C1281" s="4" t="inlineStr">
        <is>
          <t>General Deer License</t>
        </is>
      </c>
      <c r="D1281" s="13" t="inlineStr">
        <is>
          <t>General license</t>
        </is>
      </c>
      <c r="E1281" s="4" t="inlineStr">
        <is>
          <t>Either-sex White-tailed Deer</t>
        </is>
      </c>
      <c r="F1281" s="4" t="inlineStr">
        <is>
          <t>Sep 05-Oct 18</t>
        </is>
      </c>
      <c r="G1281" s="4" t="inlineStr">
        <is>
          <t>Oct 24-Nov 29</t>
        </is>
      </c>
      <c r="H1281" s="4" t="inlineStr">
        <is>
          <t>Dec 12-Dec 20</t>
        </is>
      </c>
      <c r="I1281" s="4" t="n"/>
      <c r="J1281" s="4" t="n"/>
      <c r="K1281" s="4" t="n"/>
      <c r="L1281" s="4" t="inlineStr">
        <is>
          <t>5 week general season.</t>
        </is>
      </c>
    </row>
    <row r="1282">
      <c r="A1282" s="4" t="inlineStr">
        <is>
          <t>441</t>
        </is>
      </c>
      <c r="B1282" s="4" t="inlineStr">
        <is>
          <t>whitetail</t>
        </is>
      </c>
      <c r="C1282" s="4" t="inlineStr">
        <is>
          <t>Deer B License: 004-00</t>
        </is>
      </c>
      <c r="D1282" s="4" t="inlineStr">
        <is>
          <t>Over the counter</t>
        </is>
      </c>
      <c r="E1282" s="4" t="inlineStr">
        <is>
          <t>Antlerless White-tailed Deer</t>
        </is>
      </c>
      <c r="F1282" s="4" t="inlineStr">
        <is>
          <t>Sep 05-Oct 18</t>
        </is>
      </c>
      <c r="G1282" s="4" t="inlineStr">
        <is>
          <t>Oct 24-Nov 29</t>
        </is>
      </c>
      <c r="H1282" s="4" t="inlineStr">
        <is>
          <t>Dec 12-Dec 20</t>
        </is>
      </c>
      <c r="I1282" s="4" t="n"/>
      <c r="J1282" s="4" t="inlineStr">
        <is>
          <t>OTC: Jun 15</t>
        </is>
      </c>
      <c r="K1282" s="4" t="inlineStr">
        <is>
          <t>UNL</t>
        </is>
      </c>
      <c r="L1282" s="4" t="inlineStr">
        <is>
          <t>One per hunter. Valid in all Region 4 HDs except HD 455.</t>
        </is>
      </c>
    </row>
    <row r="1283">
      <c r="A1283" s="4" t="inlineStr">
        <is>
          <t>441</t>
        </is>
      </c>
      <c r="B1283" s="4" t="inlineStr">
        <is>
          <t>whitetail</t>
        </is>
      </c>
      <c r="C1283" s="4" t="inlineStr">
        <is>
          <t>Deer B License: 004-01</t>
        </is>
      </c>
      <c r="D1283" s="15" t="inlineStr">
        <is>
          <t>Drawing</t>
        </is>
      </c>
      <c r="E1283" s="4" t="inlineStr">
        <is>
          <t>Antlerless White-tailed Deer</t>
        </is>
      </c>
      <c r="F1283" s="4" t="inlineStr">
        <is>
          <t>Sep 05-Oct 18</t>
        </is>
      </c>
      <c r="G1283" s="4" t="inlineStr">
        <is>
          <t>Oct 24-Nov 29</t>
        </is>
      </c>
      <c r="H1283" s="4" t="inlineStr">
        <is>
          <t>Dec 12-Dec 20</t>
        </is>
      </c>
      <c r="I1283" s="4" t="n"/>
      <c r="J1283" s="4" t="inlineStr">
        <is>
          <t>Jun 1</t>
        </is>
      </c>
      <c r="K1283" s="4" t="inlineStr">
        <is>
          <t>2,000</t>
        </is>
      </c>
      <c r="L1283" s="4" t="inlineStr">
        <is>
          <t>Valid in all Region 4 HDs except HD 455.</t>
        </is>
      </c>
    </row>
    <row r="1284">
      <c r="A1284" s="4" t="inlineStr">
        <is>
          <t>442</t>
        </is>
      </c>
      <c r="B1284" s="4" t="inlineStr">
        <is>
          <t>whitetail</t>
        </is>
      </c>
      <c r="C1284" s="4" t="inlineStr">
        <is>
          <t>General Deer License</t>
        </is>
      </c>
      <c r="D1284" s="13" t="inlineStr">
        <is>
          <t>General license</t>
        </is>
      </c>
      <c r="E1284" s="4" t="inlineStr">
        <is>
          <t>Either-sex White-tailed Deer</t>
        </is>
      </c>
      <c r="F1284" s="4" t="inlineStr">
        <is>
          <t>Sep 05-Oct 18</t>
        </is>
      </c>
      <c r="G1284" s="4" t="inlineStr">
        <is>
          <t>Oct 24-Nov 29</t>
        </is>
      </c>
      <c r="H1284" s="4" t="inlineStr">
        <is>
          <t>Dec 12-Dec 20</t>
        </is>
      </c>
      <c r="I1284" s="4" t="n"/>
      <c r="J1284" s="4" t="n"/>
      <c r="K1284" s="4" t="n"/>
      <c r="L1284" s="4" t="n"/>
    </row>
    <row r="1285">
      <c r="A1285" s="4" t="inlineStr">
        <is>
          <t>442</t>
        </is>
      </c>
      <c r="B1285" s="4" t="inlineStr">
        <is>
          <t>whitetail</t>
        </is>
      </c>
      <c r="C1285" s="4" t="inlineStr">
        <is>
          <t>Deer B License: 004-00</t>
        </is>
      </c>
      <c r="D1285" s="4" t="inlineStr">
        <is>
          <t>Over the counter</t>
        </is>
      </c>
      <c r="E1285" s="4" t="inlineStr">
        <is>
          <t>Antlerless White-tailed Deer</t>
        </is>
      </c>
      <c r="F1285" s="4" t="inlineStr">
        <is>
          <t>Sep 05-Oct 18</t>
        </is>
      </c>
      <c r="G1285" s="4" t="inlineStr">
        <is>
          <t>Oct 24-Nov 29</t>
        </is>
      </c>
      <c r="H1285" s="4" t="inlineStr">
        <is>
          <t>Dec 12-Dec 20</t>
        </is>
      </c>
      <c r="I1285" s="4" t="n"/>
      <c r="J1285" s="4" t="inlineStr">
        <is>
          <t>OTC: Jun 15</t>
        </is>
      </c>
      <c r="K1285" s="4" t="inlineStr">
        <is>
          <t>UNL</t>
        </is>
      </c>
      <c r="L1285" s="4" t="inlineStr">
        <is>
          <t>One per hunter. Valid in all Region 4 HDs except HD 455.</t>
        </is>
      </c>
    </row>
    <row r="1286">
      <c r="A1286" s="4" t="inlineStr">
        <is>
          <t>442</t>
        </is>
      </c>
      <c r="B1286" s="4" t="inlineStr">
        <is>
          <t>whitetail</t>
        </is>
      </c>
      <c r="C1286" s="4" t="inlineStr">
        <is>
          <t>Deer B License: 004-01</t>
        </is>
      </c>
      <c r="D1286" s="15" t="inlineStr">
        <is>
          <t>Drawing</t>
        </is>
      </c>
      <c r="E1286" s="4" t="inlineStr">
        <is>
          <t>Antlerless White-tailed Deer</t>
        </is>
      </c>
      <c r="F1286" s="4" t="inlineStr">
        <is>
          <t>Sep 05-Oct 18</t>
        </is>
      </c>
      <c r="G1286" s="4" t="inlineStr">
        <is>
          <t>Oct 24-Nov 29</t>
        </is>
      </c>
      <c r="H1286" s="4" t="inlineStr">
        <is>
          <t>Dec 12-Dec 20</t>
        </is>
      </c>
      <c r="I1286" s="4" t="n"/>
      <c r="J1286" s="4" t="inlineStr">
        <is>
          <t>Jun 1</t>
        </is>
      </c>
      <c r="K1286" s="4" t="inlineStr">
        <is>
          <t>2,000</t>
        </is>
      </c>
      <c r="L1286" s="4" t="inlineStr">
        <is>
          <t>Valid in all Region 4 HDs except HD 455.</t>
        </is>
      </c>
    </row>
    <row r="1287">
      <c r="A1287" s="4" t="inlineStr">
        <is>
          <t>444</t>
        </is>
      </c>
      <c r="B1287" s="4" t="inlineStr">
        <is>
          <t>whitetail</t>
        </is>
      </c>
      <c r="C1287" s="4" t="inlineStr">
        <is>
          <t>General Deer License</t>
        </is>
      </c>
      <c r="D1287" s="13" t="inlineStr">
        <is>
          <t>General license</t>
        </is>
      </c>
      <c r="E1287" s="4" t="inlineStr">
        <is>
          <t>Either-sex White-tailed Deer</t>
        </is>
      </c>
      <c r="F1287" s="4" t="inlineStr">
        <is>
          <t>Sep 05-Oct 18</t>
        </is>
      </c>
      <c r="G1287" s="4" t="inlineStr">
        <is>
          <t>Oct 24-Nov 29</t>
        </is>
      </c>
      <c r="H1287" s="4" t="inlineStr">
        <is>
          <t>Dec 12-Dec 20</t>
        </is>
      </c>
      <c r="I1287" s="4" t="n"/>
      <c r="J1287" s="4" t="n"/>
      <c r="K1287" s="4" t="n"/>
      <c r="L1287" s="4" t="n"/>
    </row>
    <row r="1288">
      <c r="A1288" s="4" t="inlineStr">
        <is>
          <t>444</t>
        </is>
      </c>
      <c r="B1288" s="4" t="inlineStr">
        <is>
          <t>whitetail</t>
        </is>
      </c>
      <c r="C1288" s="4" t="inlineStr">
        <is>
          <t>Deer B License: 004-00</t>
        </is>
      </c>
      <c r="D1288" s="4" t="inlineStr">
        <is>
          <t>Over the counter</t>
        </is>
      </c>
      <c r="E1288" s="4" t="inlineStr">
        <is>
          <t>Antlerless White-tailed Deer</t>
        </is>
      </c>
      <c r="F1288" s="4" t="inlineStr">
        <is>
          <t>Sep 05-Oct 18</t>
        </is>
      </c>
      <c r="G1288" s="4" t="inlineStr">
        <is>
          <t>Oct 24-Nov 29</t>
        </is>
      </c>
      <c r="H1288" s="4" t="inlineStr">
        <is>
          <t>Dec 12-Dec 20</t>
        </is>
      </c>
      <c r="I1288" s="4" t="n"/>
      <c r="J1288" s="4" t="inlineStr">
        <is>
          <t>OTC: Jun 15</t>
        </is>
      </c>
      <c r="K1288" s="4" t="inlineStr">
        <is>
          <t>UNL</t>
        </is>
      </c>
      <c r="L1288" s="4" t="inlineStr">
        <is>
          <t>One per hunter. Valid in all Region 4 HDs except HD 455.</t>
        </is>
      </c>
    </row>
    <row r="1289">
      <c r="A1289" s="4" t="inlineStr">
        <is>
          <t>444</t>
        </is>
      </c>
      <c r="B1289" s="4" t="inlineStr">
        <is>
          <t>whitetail</t>
        </is>
      </c>
      <c r="C1289" s="4" t="inlineStr">
        <is>
          <t>Deer B License: 004-01</t>
        </is>
      </c>
      <c r="D1289" s="15" t="inlineStr">
        <is>
          <t>Drawing</t>
        </is>
      </c>
      <c r="E1289" s="4" t="inlineStr">
        <is>
          <t>Antlerless White-tailed Deer</t>
        </is>
      </c>
      <c r="F1289" s="4" t="inlineStr">
        <is>
          <t>Sep 05-Oct 18</t>
        </is>
      </c>
      <c r="G1289" s="4" t="inlineStr">
        <is>
          <t>Oct 24-Nov 29</t>
        </is>
      </c>
      <c r="H1289" s="4" t="inlineStr">
        <is>
          <t>Dec 12-Dec 20</t>
        </is>
      </c>
      <c r="I1289" s="4" t="n"/>
      <c r="J1289" s="4" t="inlineStr">
        <is>
          <t>Jun 1</t>
        </is>
      </c>
      <c r="K1289" s="4" t="inlineStr">
        <is>
          <t>2,000</t>
        </is>
      </c>
      <c r="L1289" s="4" t="inlineStr">
        <is>
          <t>Valid in all Region 4 HDs except HD 455.</t>
        </is>
      </c>
    </row>
    <row r="1290">
      <c r="A1290" s="4" t="inlineStr">
        <is>
          <t>445</t>
        </is>
      </c>
      <c r="B1290" s="4" t="inlineStr">
        <is>
          <t>whitetail</t>
        </is>
      </c>
      <c r="C1290" s="4" t="inlineStr">
        <is>
          <t>General Deer License</t>
        </is>
      </c>
      <c r="D1290" s="13" t="inlineStr">
        <is>
          <t>General license</t>
        </is>
      </c>
      <c r="E1290" s="4" t="inlineStr">
        <is>
          <t>Either-sex White-tailed Deer</t>
        </is>
      </c>
      <c r="F1290" s="4" t="inlineStr">
        <is>
          <t>Sep 05-Oct 18</t>
        </is>
      </c>
      <c r="G1290" s="4" t="inlineStr">
        <is>
          <t>Oct 24-Nov 29</t>
        </is>
      </c>
      <c r="H1290" s="4" t="inlineStr">
        <is>
          <t>Dec 12-Dec 20</t>
        </is>
      </c>
      <c r="I1290" s="4" t="n"/>
      <c r="J1290" s="4" t="n"/>
      <c r="K1290" s="4" t="n"/>
      <c r="L1290" s="4" t="n"/>
    </row>
    <row r="1291">
      <c r="A1291" s="4" t="inlineStr">
        <is>
          <t>445</t>
        </is>
      </c>
      <c r="B1291" s="4" t="inlineStr">
        <is>
          <t>whitetail</t>
        </is>
      </c>
      <c r="C1291" s="4" t="inlineStr">
        <is>
          <t>Deer B License: 004-00</t>
        </is>
      </c>
      <c r="D1291" s="4" t="inlineStr">
        <is>
          <t>Over the counter</t>
        </is>
      </c>
      <c r="E1291" s="4" t="inlineStr">
        <is>
          <t>Antlerless White-tailed Deer</t>
        </is>
      </c>
      <c r="F1291" s="4" t="inlineStr">
        <is>
          <t>Sep 05-Oct 18</t>
        </is>
      </c>
      <c r="G1291" s="4" t="inlineStr">
        <is>
          <t>Oct 24-Nov 29</t>
        </is>
      </c>
      <c r="H1291" s="4" t="inlineStr">
        <is>
          <t>Dec 12-Dec 20</t>
        </is>
      </c>
      <c r="I1291" s="4" t="n"/>
      <c r="J1291" s="4" t="inlineStr">
        <is>
          <t>OTC: Jun 15</t>
        </is>
      </c>
      <c r="K1291" s="4" t="inlineStr">
        <is>
          <t>UNL</t>
        </is>
      </c>
      <c r="L1291" s="4" t="inlineStr">
        <is>
          <t>One per hunter. Valid in all Region 4 HDs except HD 455.</t>
        </is>
      </c>
    </row>
    <row r="1292">
      <c r="A1292" s="4" t="inlineStr">
        <is>
          <t>445</t>
        </is>
      </c>
      <c r="B1292" s="4" t="inlineStr">
        <is>
          <t>whitetail</t>
        </is>
      </c>
      <c r="C1292" s="4" t="inlineStr">
        <is>
          <t>Deer B License: 004-01</t>
        </is>
      </c>
      <c r="D1292" s="15" t="inlineStr">
        <is>
          <t>Drawing</t>
        </is>
      </c>
      <c r="E1292" s="4" t="inlineStr">
        <is>
          <t>Antlerless White-tailed Deer</t>
        </is>
      </c>
      <c r="F1292" s="4" t="inlineStr">
        <is>
          <t>Sep 05-Oct 18</t>
        </is>
      </c>
      <c r="G1292" s="4" t="inlineStr">
        <is>
          <t>Oct 24-Nov 29</t>
        </is>
      </c>
      <c r="H1292" s="4" t="inlineStr">
        <is>
          <t>Dec 12-Dec 20</t>
        </is>
      </c>
      <c r="I1292" s="4" t="n"/>
      <c r="J1292" s="4" t="inlineStr">
        <is>
          <t>Jun 1</t>
        </is>
      </c>
      <c r="K1292" s="4" t="inlineStr">
        <is>
          <t>2,000</t>
        </is>
      </c>
      <c r="L1292" s="4" t="inlineStr">
        <is>
          <t>Valid in all Region 4 HDs except HD 455.</t>
        </is>
      </c>
    </row>
    <row r="1293">
      <c r="A1293" s="4" t="inlineStr">
        <is>
          <t>446</t>
        </is>
      </c>
      <c r="B1293" s="4" t="inlineStr">
        <is>
          <t>whitetail</t>
        </is>
      </c>
      <c r="C1293" s="4" t="inlineStr">
        <is>
          <t>General Deer License</t>
        </is>
      </c>
      <c r="D1293" s="13" t="inlineStr">
        <is>
          <t>General license</t>
        </is>
      </c>
      <c r="E1293" s="4" t="inlineStr">
        <is>
          <t>Either-sex White-tailed Deer</t>
        </is>
      </c>
      <c r="F1293" s="4" t="inlineStr">
        <is>
          <t>Sep 05-Oct 18</t>
        </is>
      </c>
      <c r="G1293" s="4" t="inlineStr">
        <is>
          <t>Oct 24-Nov 29</t>
        </is>
      </c>
      <c r="H1293" s="4" t="inlineStr">
        <is>
          <t>Dec 12-Dec 20</t>
        </is>
      </c>
      <c r="I1293" s="4" t="n"/>
      <c r="J1293" s="4" t="n"/>
      <c r="K1293" s="4" t="n"/>
      <c r="L1293" s="4" t="n"/>
    </row>
    <row r="1294">
      <c r="A1294" s="4" t="inlineStr">
        <is>
          <t>446</t>
        </is>
      </c>
      <c r="B1294" s="4" t="inlineStr">
        <is>
          <t>whitetail</t>
        </is>
      </c>
      <c r="C1294" s="4" t="inlineStr">
        <is>
          <t>Deer B License: 004-00</t>
        </is>
      </c>
      <c r="D1294" s="4" t="inlineStr">
        <is>
          <t>Over the counter</t>
        </is>
      </c>
      <c r="E1294" s="4" t="inlineStr">
        <is>
          <t>Antlerless White-tailed Deer</t>
        </is>
      </c>
      <c r="F1294" s="4" t="inlineStr">
        <is>
          <t>Sep 05-Oct 18</t>
        </is>
      </c>
      <c r="G1294" s="4" t="inlineStr">
        <is>
          <t>Oct 24-Nov 29</t>
        </is>
      </c>
      <c r="H1294" s="4" t="inlineStr">
        <is>
          <t>Dec 12-Dec 20</t>
        </is>
      </c>
      <c r="I1294" s="4" t="n"/>
      <c r="J1294" s="4" t="inlineStr">
        <is>
          <t>OTC: Jun 15</t>
        </is>
      </c>
      <c r="K1294" s="4" t="inlineStr">
        <is>
          <t>UNL</t>
        </is>
      </c>
      <c r="L1294" s="4" t="inlineStr">
        <is>
          <t>One per hunter. Valid in all Region 4 HDs except HD 455.</t>
        </is>
      </c>
    </row>
    <row r="1295">
      <c r="A1295" s="4" t="inlineStr">
        <is>
          <t>446</t>
        </is>
      </c>
      <c r="B1295" s="4" t="inlineStr">
        <is>
          <t>whitetail</t>
        </is>
      </c>
      <c r="C1295" s="4" t="inlineStr">
        <is>
          <t>Deer B License: 004-01</t>
        </is>
      </c>
      <c r="D1295" s="15" t="inlineStr">
        <is>
          <t>Drawing</t>
        </is>
      </c>
      <c r="E1295" s="4" t="inlineStr">
        <is>
          <t>Antlerless White-tailed Deer</t>
        </is>
      </c>
      <c r="F1295" s="4" t="inlineStr">
        <is>
          <t>Sep 05-Oct 18</t>
        </is>
      </c>
      <c r="G1295" s="4" t="inlineStr">
        <is>
          <t>Oct 24-Nov 29</t>
        </is>
      </c>
      <c r="H1295" s="4" t="inlineStr">
        <is>
          <t>Dec 12-Dec 20</t>
        </is>
      </c>
      <c r="I1295" s="4" t="n"/>
      <c r="J1295" s="4" t="inlineStr">
        <is>
          <t>Jun 1</t>
        </is>
      </c>
      <c r="K1295" s="4" t="inlineStr">
        <is>
          <t>2,000</t>
        </is>
      </c>
      <c r="L1295" s="4" t="inlineStr">
        <is>
          <t>Valid in all Region 4 HDs except HD 455.</t>
        </is>
      </c>
    </row>
    <row r="1296">
      <c r="A1296" s="4" t="inlineStr">
        <is>
          <t>447</t>
        </is>
      </c>
      <c r="B1296" s="4" t="inlineStr">
        <is>
          <t>whitetail</t>
        </is>
      </c>
      <c r="C1296" s="4" t="inlineStr">
        <is>
          <t>General Deer License</t>
        </is>
      </c>
      <c r="D1296" s="13" t="inlineStr">
        <is>
          <t>General license</t>
        </is>
      </c>
      <c r="E1296" s="4" t="inlineStr">
        <is>
          <t>Either-sex White-tailed Deer</t>
        </is>
      </c>
      <c r="F1296" s="4" t="inlineStr">
        <is>
          <t>Sep 05-Oct 18</t>
        </is>
      </c>
      <c r="G1296" s="4" t="inlineStr">
        <is>
          <t>Oct 24-Nov 29</t>
        </is>
      </c>
      <c r="H1296" s="4" t="inlineStr">
        <is>
          <t>Dec 12-Dec 20</t>
        </is>
      </c>
      <c r="I1296" s="4" t="n"/>
      <c r="J1296" s="4" t="n"/>
      <c r="K1296" s="4" t="n"/>
      <c r="L1296" s="4" t="n"/>
    </row>
    <row r="1297">
      <c r="A1297" s="4" t="inlineStr">
        <is>
          <t>447</t>
        </is>
      </c>
      <c r="B1297" s="4" t="inlineStr">
        <is>
          <t>whitetail</t>
        </is>
      </c>
      <c r="C1297" s="4" t="inlineStr">
        <is>
          <t>Deer B License: 004-00</t>
        </is>
      </c>
      <c r="D1297" s="4" t="inlineStr">
        <is>
          <t>Over the counter</t>
        </is>
      </c>
      <c r="E1297" s="4" t="inlineStr">
        <is>
          <t>Antlerless White-tailed Deer</t>
        </is>
      </c>
      <c r="F1297" s="4" t="inlineStr">
        <is>
          <t>Sep 05-Oct 18</t>
        </is>
      </c>
      <c r="G1297" s="4" t="inlineStr">
        <is>
          <t>Oct 24-Nov 29</t>
        </is>
      </c>
      <c r="H1297" s="4" t="inlineStr">
        <is>
          <t>Dec 12-Dec 20</t>
        </is>
      </c>
      <c r="I1297" s="4" t="n"/>
      <c r="J1297" s="4" t="inlineStr">
        <is>
          <t>OTC: Jun 15</t>
        </is>
      </c>
      <c r="K1297" s="4" t="inlineStr">
        <is>
          <t>UNL</t>
        </is>
      </c>
      <c r="L1297" s="4" t="inlineStr">
        <is>
          <t>One per hunter. Valid in all Region 4 HDs except HD 455.</t>
        </is>
      </c>
    </row>
    <row r="1298">
      <c r="A1298" s="4" t="inlineStr">
        <is>
          <t>447</t>
        </is>
      </c>
      <c r="B1298" s="4" t="inlineStr">
        <is>
          <t>whitetail</t>
        </is>
      </c>
      <c r="C1298" s="4" t="inlineStr">
        <is>
          <t>Deer B License: 004-01</t>
        </is>
      </c>
      <c r="D1298" s="15" t="inlineStr">
        <is>
          <t>Drawing</t>
        </is>
      </c>
      <c r="E1298" s="4" t="inlineStr">
        <is>
          <t>Antlerless White-tailed Deer</t>
        </is>
      </c>
      <c r="F1298" s="4" t="inlineStr">
        <is>
          <t>Sep 05-Oct 18</t>
        </is>
      </c>
      <c r="G1298" s="4" t="inlineStr">
        <is>
          <t>Oct 24-Nov 29</t>
        </is>
      </c>
      <c r="H1298" s="4" t="inlineStr">
        <is>
          <t>Dec 12-Dec 20</t>
        </is>
      </c>
      <c r="I1298" s="4" t="n"/>
      <c r="J1298" s="4" t="inlineStr">
        <is>
          <t>Jun 1</t>
        </is>
      </c>
      <c r="K1298" s="4" t="inlineStr">
        <is>
          <t>2,000</t>
        </is>
      </c>
      <c r="L1298" s="4" t="inlineStr">
        <is>
          <t>Valid in all Region 4 HDs except HD 455.</t>
        </is>
      </c>
    </row>
    <row r="1299">
      <c r="A1299" s="4" t="inlineStr">
        <is>
          <t>448</t>
        </is>
      </c>
      <c r="B1299" s="4" t="inlineStr">
        <is>
          <t>whitetail</t>
        </is>
      </c>
      <c r="C1299" s="4" t="inlineStr">
        <is>
          <t>General Deer License</t>
        </is>
      </c>
      <c r="D1299" s="13" t="inlineStr">
        <is>
          <t>General license</t>
        </is>
      </c>
      <c r="E1299" s="4" t="inlineStr">
        <is>
          <t>Either-sex White-tailed Deer</t>
        </is>
      </c>
      <c r="F1299" s="4" t="inlineStr">
        <is>
          <t>Sep 05-Oct 18</t>
        </is>
      </c>
      <c r="G1299" s="4" t="inlineStr">
        <is>
          <t>Oct 24-Nov 29</t>
        </is>
      </c>
      <c r="H1299" s="4" t="inlineStr">
        <is>
          <t>Dec 12-Dec 20</t>
        </is>
      </c>
      <c r="I1299" s="4" t="n"/>
      <c r="J1299" s="4" t="n"/>
      <c r="K1299" s="4" t="n"/>
      <c r="L1299" s="4" t="n"/>
    </row>
    <row r="1300">
      <c r="A1300" s="4" t="inlineStr">
        <is>
          <t>448</t>
        </is>
      </c>
      <c r="B1300" s="4" t="inlineStr">
        <is>
          <t>whitetail</t>
        </is>
      </c>
      <c r="C1300" s="4" t="inlineStr">
        <is>
          <t>Deer B License: 004-00</t>
        </is>
      </c>
      <c r="D1300" s="4" t="inlineStr">
        <is>
          <t>Over the counter</t>
        </is>
      </c>
      <c r="E1300" s="4" t="inlineStr">
        <is>
          <t>Antlerless White-tailed Deer</t>
        </is>
      </c>
      <c r="F1300" s="4" t="inlineStr">
        <is>
          <t>Sep 05-Oct 18</t>
        </is>
      </c>
      <c r="G1300" s="4" t="inlineStr">
        <is>
          <t>Oct 24-Nov 29</t>
        </is>
      </c>
      <c r="H1300" s="4" t="inlineStr">
        <is>
          <t>Dec 12-Dec 20</t>
        </is>
      </c>
      <c r="I1300" s="4" t="n"/>
      <c r="J1300" s="4" t="inlineStr">
        <is>
          <t>OTC: Jun 15</t>
        </is>
      </c>
      <c r="K1300" s="4" t="inlineStr">
        <is>
          <t>UNL</t>
        </is>
      </c>
      <c r="L1300" s="4" t="inlineStr">
        <is>
          <t>One per hunter. Valid in allRegion 4 HDs except HD 455.</t>
        </is>
      </c>
    </row>
    <row r="1301">
      <c r="A1301" s="4" t="inlineStr">
        <is>
          <t>448</t>
        </is>
      </c>
      <c r="B1301" s="4" t="inlineStr">
        <is>
          <t>whitetail</t>
        </is>
      </c>
      <c r="C1301" s="4" t="inlineStr">
        <is>
          <t>Deer B License: 004-01</t>
        </is>
      </c>
      <c r="D1301" s="15" t="inlineStr">
        <is>
          <t>Drawing</t>
        </is>
      </c>
      <c r="E1301" s="4" t="inlineStr">
        <is>
          <t>Antlerless White-tailed Deer</t>
        </is>
      </c>
      <c r="F1301" s="4" t="inlineStr">
        <is>
          <t>Sep 05-Oct 18</t>
        </is>
      </c>
      <c r="G1301" s="4" t="inlineStr">
        <is>
          <t>Oct 24-Nov 29</t>
        </is>
      </c>
      <c r="H1301" s="4" t="inlineStr">
        <is>
          <t>Dec 12-Dec 20</t>
        </is>
      </c>
      <c r="I1301" s="4" t="n"/>
      <c r="J1301" s="4" t="inlineStr">
        <is>
          <t>Jun 1</t>
        </is>
      </c>
      <c r="K1301" s="4" t="inlineStr">
        <is>
          <t>2,000</t>
        </is>
      </c>
      <c r="L1301" s="4" t="inlineStr">
        <is>
          <t>Valid in all Region 4 HDs except HD 455.</t>
        </is>
      </c>
    </row>
    <row r="1302">
      <c r="A1302" s="4" t="inlineStr">
        <is>
          <t>450</t>
        </is>
      </c>
      <c r="B1302" s="4" t="inlineStr">
        <is>
          <t>whitetail</t>
        </is>
      </c>
      <c r="C1302" s="4" t="inlineStr">
        <is>
          <t>General Deer License</t>
        </is>
      </c>
      <c r="D1302" s="13" t="inlineStr">
        <is>
          <t>General license</t>
        </is>
      </c>
      <c r="E1302" s="4" t="inlineStr">
        <is>
          <t>Either-sex White-tailed Deer</t>
        </is>
      </c>
      <c r="F1302" s="4" t="inlineStr">
        <is>
          <t>Sep 05-Oct 18</t>
        </is>
      </c>
      <c r="G1302" s="4" t="inlineStr">
        <is>
          <t>Oct 24-Nov 29</t>
        </is>
      </c>
      <c r="H1302" s="4" t="inlineStr">
        <is>
          <t>Dec 12-Dec 20</t>
        </is>
      </c>
      <c r="I1302" s="4" t="n"/>
      <c r="J1302" s="4" t="n"/>
      <c r="K1302" s="4" t="n"/>
      <c r="L1302" s="4" t="n"/>
    </row>
    <row r="1303">
      <c r="A1303" s="4" t="inlineStr">
        <is>
          <t>450</t>
        </is>
      </c>
      <c r="B1303" s="4" t="inlineStr">
        <is>
          <t>whitetail</t>
        </is>
      </c>
      <c r="C1303" s="4" t="inlineStr">
        <is>
          <t>Deer B License: 004-00</t>
        </is>
      </c>
      <c r="D1303" s="4" t="inlineStr">
        <is>
          <t>Over the counter</t>
        </is>
      </c>
      <c r="E1303" s="4" t="inlineStr">
        <is>
          <t>Antlerless White-tailed Deer</t>
        </is>
      </c>
      <c r="F1303" s="4" t="inlineStr">
        <is>
          <t>Sep 05-Oct 18</t>
        </is>
      </c>
      <c r="G1303" s="4" t="inlineStr">
        <is>
          <t>Oct 24-Nov 29</t>
        </is>
      </c>
      <c r="H1303" s="4" t="inlineStr">
        <is>
          <t>Dec 12-Dec 20</t>
        </is>
      </c>
      <c r="I1303" s="4" t="n"/>
      <c r="J1303" s="4" t="inlineStr">
        <is>
          <t>OTC: Jun 15</t>
        </is>
      </c>
      <c r="K1303" s="4" t="inlineStr">
        <is>
          <t>UNL</t>
        </is>
      </c>
      <c r="L1303" s="4" t="inlineStr">
        <is>
          <t>One per hunter. Valid in allRegion 4 HDs except HD 455.</t>
        </is>
      </c>
    </row>
    <row r="1304">
      <c r="A1304" s="4" t="inlineStr">
        <is>
          <t>450</t>
        </is>
      </c>
      <c r="B1304" s="4" t="inlineStr">
        <is>
          <t>whitetail</t>
        </is>
      </c>
      <c r="C1304" s="4" t="inlineStr">
        <is>
          <t>Deer B License: 004-01</t>
        </is>
      </c>
      <c r="D1304" s="15" t="inlineStr">
        <is>
          <t>Drawing</t>
        </is>
      </c>
      <c r="E1304" s="4" t="inlineStr">
        <is>
          <t>Antlerless White-tailed Deer</t>
        </is>
      </c>
      <c r="F1304" s="4" t="inlineStr">
        <is>
          <t>Sep 05-Oct 18</t>
        </is>
      </c>
      <c r="G1304" s="4" t="inlineStr">
        <is>
          <t>Oct 24-Nov 29</t>
        </is>
      </c>
      <c r="H1304" s="4" t="inlineStr">
        <is>
          <t>Dec 12-Dec 20</t>
        </is>
      </c>
      <c r="I1304" s="4" t="n"/>
      <c r="J1304" s="4" t="inlineStr">
        <is>
          <t>Jun 1</t>
        </is>
      </c>
      <c r="K1304" s="4" t="inlineStr">
        <is>
          <t>2,000</t>
        </is>
      </c>
      <c r="L1304" s="4" t="inlineStr">
        <is>
          <t>Valid in all Region 4 HDs except HD 455.</t>
        </is>
      </c>
    </row>
    <row r="1305">
      <c r="A1305" s="4" t="inlineStr">
        <is>
          <t>451</t>
        </is>
      </c>
      <c r="B1305" s="4" t="inlineStr">
        <is>
          <t>whitetail</t>
        </is>
      </c>
      <c r="C1305" s="4" t="inlineStr">
        <is>
          <t>General Deer License</t>
        </is>
      </c>
      <c r="D1305" s="13" t="inlineStr">
        <is>
          <t>General license</t>
        </is>
      </c>
      <c r="E1305" s="4" t="inlineStr">
        <is>
          <t>Either-sex White-tailed Deer</t>
        </is>
      </c>
      <c r="F1305" s="4" t="inlineStr">
        <is>
          <t>Sep 05-Oct 18</t>
        </is>
      </c>
      <c r="G1305" s="4" t="inlineStr">
        <is>
          <t>Oct 24-Nov 29</t>
        </is>
      </c>
      <c r="H1305" s="4" t="inlineStr">
        <is>
          <t>Dec 12-Dec 20</t>
        </is>
      </c>
      <c r="I1305" s="4" t="n"/>
      <c r="J1305" s="4" t="n"/>
      <c r="K1305" s="4" t="n"/>
      <c r="L1305" s="4" t="n"/>
    </row>
    <row r="1306">
      <c r="A1306" s="4" t="inlineStr">
        <is>
          <t>451</t>
        </is>
      </c>
      <c r="B1306" s="4" t="inlineStr">
        <is>
          <t>whitetail</t>
        </is>
      </c>
      <c r="C1306" s="4" t="inlineStr">
        <is>
          <t>Deer B License: 004-00</t>
        </is>
      </c>
      <c r="D1306" s="4" t="inlineStr">
        <is>
          <t>Over the counter</t>
        </is>
      </c>
      <c r="E1306" s="4" t="inlineStr">
        <is>
          <t>Antlerless White-tailed Deer</t>
        </is>
      </c>
      <c r="F1306" s="4" t="inlineStr">
        <is>
          <t>Sep 05-Oct 18</t>
        </is>
      </c>
      <c r="G1306" s="4" t="inlineStr">
        <is>
          <t>Oct 24-Nov 29</t>
        </is>
      </c>
      <c r="H1306" s="4" t="inlineStr">
        <is>
          <t>Dec 12-Dec 20</t>
        </is>
      </c>
      <c r="I1306" s="4" t="n"/>
      <c r="J1306" s="4" t="inlineStr">
        <is>
          <t>OTC: Jun 15</t>
        </is>
      </c>
      <c r="K1306" s="4" t="inlineStr">
        <is>
          <t>UNL</t>
        </is>
      </c>
      <c r="L1306" s="4" t="inlineStr">
        <is>
          <t>One per hunter. Valid in all Region 4 HDs except HD 455.</t>
        </is>
      </c>
    </row>
    <row r="1307">
      <c r="A1307" s="4" t="inlineStr">
        <is>
          <t>451</t>
        </is>
      </c>
      <c r="B1307" s="4" t="inlineStr">
        <is>
          <t>whitetail</t>
        </is>
      </c>
      <c r="C1307" s="4" t="inlineStr">
        <is>
          <t>Deer B License: 004-01</t>
        </is>
      </c>
      <c r="D1307" s="15" t="inlineStr">
        <is>
          <t>Drawing</t>
        </is>
      </c>
      <c r="E1307" s="4" t="inlineStr">
        <is>
          <t>Antlerless White-tailed Deer</t>
        </is>
      </c>
      <c r="F1307" s="4" t="inlineStr">
        <is>
          <t>Sep 05-Oct 18</t>
        </is>
      </c>
      <c r="G1307" s="4" t="inlineStr">
        <is>
          <t>Oct 24-Nov 29</t>
        </is>
      </c>
      <c r="H1307" s="4" t="inlineStr">
        <is>
          <t>Dec 12-Dec 20</t>
        </is>
      </c>
      <c r="I1307" s="4" t="n"/>
      <c r="J1307" s="4" t="inlineStr">
        <is>
          <t>Jun 1</t>
        </is>
      </c>
      <c r="K1307" s="4" t="inlineStr">
        <is>
          <t>2,000</t>
        </is>
      </c>
      <c r="L1307" s="4" t="inlineStr">
        <is>
          <t>Valid in all Region 4 HDs except HD 455.</t>
        </is>
      </c>
    </row>
    <row r="1308">
      <c r="A1308" s="4" t="inlineStr">
        <is>
          <t>452</t>
        </is>
      </c>
      <c r="B1308" s="4" t="inlineStr">
        <is>
          <t>whitetail</t>
        </is>
      </c>
      <c r="C1308" s="4" t="inlineStr">
        <is>
          <t>General Deer License</t>
        </is>
      </c>
      <c r="D1308" s="13" t="inlineStr">
        <is>
          <t>General license</t>
        </is>
      </c>
      <c r="E1308" s="4" t="inlineStr">
        <is>
          <t>Either-sex White-tailed Deer</t>
        </is>
      </c>
      <c r="F1308" s="4" t="inlineStr">
        <is>
          <t>Sep 05-Oct 18</t>
        </is>
      </c>
      <c r="G1308" s="4" t="inlineStr">
        <is>
          <t>Oct 24-Nov 29</t>
        </is>
      </c>
      <c r="H1308" s="4" t="inlineStr">
        <is>
          <t>Dec 12-Dec 20</t>
        </is>
      </c>
      <c r="I1308" s="4" t="n"/>
      <c r="J1308" s="4" t="n"/>
      <c r="K1308" s="4" t="n"/>
      <c r="L1308" s="4" t="n"/>
    </row>
    <row r="1309">
      <c r="A1309" s="4" t="inlineStr">
        <is>
          <t>452</t>
        </is>
      </c>
      <c r="B1309" s="4" t="inlineStr">
        <is>
          <t>whitetail</t>
        </is>
      </c>
      <c r="C1309" s="4" t="inlineStr">
        <is>
          <t>Deer B License: 004-00</t>
        </is>
      </c>
      <c r="D1309" s="4" t="inlineStr">
        <is>
          <t>Over the counter</t>
        </is>
      </c>
      <c r="E1309" s="4" t="inlineStr">
        <is>
          <t>Antlerless White-tailed Deer</t>
        </is>
      </c>
      <c r="F1309" s="4" t="inlineStr">
        <is>
          <t>Sep 05-Oct 18</t>
        </is>
      </c>
      <c r="G1309" s="4" t="inlineStr">
        <is>
          <t>Oct 24-Nov 29</t>
        </is>
      </c>
      <c r="H1309" s="4" t="inlineStr">
        <is>
          <t>Dec 12-Dec 20</t>
        </is>
      </c>
      <c r="I1309" s="4" t="n"/>
      <c r="J1309" s="4" t="inlineStr">
        <is>
          <t>OTC: Jun 15</t>
        </is>
      </c>
      <c r="K1309" s="4" t="inlineStr">
        <is>
          <t>UNL</t>
        </is>
      </c>
      <c r="L1309" s="4" t="inlineStr">
        <is>
          <t>One per hunter. Valid in all Region 4 HDs except HD 455.</t>
        </is>
      </c>
    </row>
    <row r="1310">
      <c r="A1310" s="4" t="inlineStr">
        <is>
          <t>452</t>
        </is>
      </c>
      <c r="B1310" s="4" t="inlineStr">
        <is>
          <t>whitetail</t>
        </is>
      </c>
      <c r="C1310" s="4" t="inlineStr">
        <is>
          <t>Deer B License: 004-01</t>
        </is>
      </c>
      <c r="D1310" s="15" t="inlineStr">
        <is>
          <t>Drawing</t>
        </is>
      </c>
      <c r="E1310" s="4" t="inlineStr">
        <is>
          <t>Antlerless White-tailed Deer</t>
        </is>
      </c>
      <c r="F1310" s="4" t="inlineStr">
        <is>
          <t>Sep 05-Oct 18</t>
        </is>
      </c>
      <c r="G1310" s="4" t="inlineStr">
        <is>
          <t>Oct 24-Nov 29</t>
        </is>
      </c>
      <c r="H1310" s="4" t="inlineStr">
        <is>
          <t>Dec 12-Dec 20</t>
        </is>
      </c>
      <c r="I1310" s="4" t="n"/>
      <c r="J1310" s="4" t="inlineStr">
        <is>
          <t>Jun 1</t>
        </is>
      </c>
      <c r="K1310" s="4" t="inlineStr">
        <is>
          <t>2,000</t>
        </is>
      </c>
      <c r="L1310" s="4" t="inlineStr">
        <is>
          <t>Valid in all Region 4 HDs except HD 455.</t>
        </is>
      </c>
    </row>
    <row r="1311">
      <c r="A1311" s="4" t="inlineStr">
        <is>
          <t>455</t>
        </is>
      </c>
      <c r="B1311" s="4" t="inlineStr">
        <is>
          <t>whitetail</t>
        </is>
      </c>
      <c r="C1311" s="4" t="inlineStr">
        <is>
          <t>General Deer License</t>
        </is>
      </c>
      <c r="D1311" s="13" t="inlineStr">
        <is>
          <t>General license</t>
        </is>
      </c>
      <c r="E1311" s="4" t="inlineStr">
        <is>
          <t>Either-sex White-tailed Deer</t>
        </is>
      </c>
      <c r="F1311" s="4" t="inlineStr">
        <is>
          <t>Sep 05-Oct 18</t>
        </is>
      </c>
      <c r="G1311" s="4" t="n"/>
      <c r="H1311" s="4" t="n"/>
      <c r="I1311" s="4" t="n"/>
      <c r="J1311" s="4" t="n"/>
      <c r="K1311" s="4" t="n"/>
      <c r="L1311" s="4" t="n"/>
    </row>
    <row r="1312">
      <c r="A1312" s="4" t="inlineStr">
        <is>
          <t>455</t>
        </is>
      </c>
      <c r="B1312" s="4" t="inlineStr">
        <is>
          <t>whitetail</t>
        </is>
      </c>
      <c r="C1312" s="4" t="inlineStr">
        <is>
          <t>Deer B License: 455-00</t>
        </is>
      </c>
      <c r="D1312" s="15" t="inlineStr">
        <is>
          <t>Drawing</t>
        </is>
      </c>
      <c r="E1312" s="4" t="inlineStr">
        <is>
          <t>Antlerless White-tailed Deer</t>
        </is>
      </c>
      <c r="F1312" s="4" t="inlineStr">
        <is>
          <t>Sep 05-Oct 18</t>
        </is>
      </c>
      <c r="G1312" s="4" t="inlineStr">
        <is>
          <t>Oct 24-Nov 29</t>
        </is>
      </c>
      <c r="H1312" s="4" t="inlineStr">
        <is>
          <t>Dec 12-Dec 20</t>
        </is>
      </c>
      <c r="I1312" s="4" t="n"/>
      <c r="J1312" s="4" t="inlineStr">
        <is>
          <t>Jun 1</t>
        </is>
      </c>
      <c r="K1312" s="4" t="inlineStr">
        <is>
          <t>20</t>
        </is>
      </c>
      <c r="L1312" s="4" t="n"/>
    </row>
    <row r="1313">
      <c r="A1313" s="4" t="inlineStr">
        <is>
          <t>455</t>
        </is>
      </c>
      <c r="B1313" s="4" t="inlineStr">
        <is>
          <t>whitetail</t>
        </is>
      </c>
      <c r="C1313" s="4" t="inlineStr">
        <is>
          <t>Deer Permit: 455-60</t>
        </is>
      </c>
      <c r="D1313" s="15" t="inlineStr">
        <is>
          <t>Drawing</t>
        </is>
      </c>
      <c r="E1313" s="4" t="inlineStr">
        <is>
          <t>Either-sex White-tailed Deer</t>
        </is>
      </c>
      <c r="F1313" s="4" t="inlineStr">
        <is>
          <t>Sep 05-Oct 18</t>
        </is>
      </c>
      <c r="G1313" s="4" t="inlineStr">
        <is>
          <t>Oct 24-Nov 29</t>
        </is>
      </c>
      <c r="H1313" s="4" t="inlineStr">
        <is>
          <t>Dec 12-Dec 20</t>
        </is>
      </c>
      <c r="I1313" s="4" t="n"/>
      <c r="J1313" s="4" t="inlineStr">
        <is>
          <t>April 1</t>
        </is>
      </c>
      <c r="K1313" s="4" t="inlineStr">
        <is>
          <t>15</t>
        </is>
      </c>
      <c r="L1313" s="4" t="inlineStr">
        <is>
          <t>Permit must be used with a valid General Deer License. Holders may not hunt Antlered Buck Mule Deer in any other HD. ELK hunting by drawing only</t>
        </is>
      </c>
    </row>
    <row r="1314">
      <c r="A1314" s="4" t="inlineStr">
        <is>
          <t>471</t>
        </is>
      </c>
      <c r="B1314" s="4" t="inlineStr">
        <is>
          <t>whitetail</t>
        </is>
      </c>
      <c r="C1314" s="4" t="inlineStr">
        <is>
          <t>General Deer License</t>
        </is>
      </c>
      <c r="D1314" s="13" t="inlineStr">
        <is>
          <t>General license</t>
        </is>
      </c>
      <c r="E1314" s="4" t="inlineStr">
        <is>
          <t>Either-sex White-tailed Deer</t>
        </is>
      </c>
      <c r="F1314" s="4" t="inlineStr">
        <is>
          <t>Sep 05-Oct 18</t>
        </is>
      </c>
      <c r="G1314" s="4" t="inlineStr">
        <is>
          <t>Oct 24-Nov 29</t>
        </is>
      </c>
      <c r="H1314" s="4" t="inlineStr">
        <is>
          <t>Dec 12-Dec 20</t>
        </is>
      </c>
      <c r="I1314" s="4" t="n"/>
      <c r="J1314" s="4" t="n"/>
      <c r="K1314" s="4" t="n"/>
      <c r="L1314" s="4" t="n"/>
    </row>
    <row r="1315">
      <c r="A1315" s="4" t="inlineStr">
        <is>
          <t>471</t>
        </is>
      </c>
      <c r="B1315" s="4" t="inlineStr">
        <is>
          <t>whitetail</t>
        </is>
      </c>
      <c r="C1315" s="4" t="inlineStr">
        <is>
          <t>Deer B License: 004-00</t>
        </is>
      </c>
      <c r="D1315" s="4" t="inlineStr">
        <is>
          <t>Over the counter</t>
        </is>
      </c>
      <c r="E1315" s="4" t="inlineStr">
        <is>
          <t>Antlerless White-tailed Deer</t>
        </is>
      </c>
      <c r="F1315" s="4" t="inlineStr">
        <is>
          <t>Sep 05-Oct 18</t>
        </is>
      </c>
      <c r="G1315" s="4" t="inlineStr">
        <is>
          <t>Oct 24-Nov 29</t>
        </is>
      </c>
      <c r="H1315" s="4" t="inlineStr">
        <is>
          <t>Dec 12-Dec 20</t>
        </is>
      </c>
      <c r="I1315" s="4" t="n"/>
      <c r="J1315" s="4" t="inlineStr">
        <is>
          <t>OTC: Jun 15</t>
        </is>
      </c>
      <c r="K1315" s="4" t="inlineStr">
        <is>
          <t>UNL</t>
        </is>
      </c>
      <c r="L1315" s="4" t="inlineStr">
        <is>
          <t>One per hunter. Valid in all Region 4 HDs except HD 455.</t>
        </is>
      </c>
    </row>
    <row r="1316">
      <c r="A1316" s="4" t="inlineStr">
        <is>
          <t>471</t>
        </is>
      </c>
      <c r="B1316" s="4" t="inlineStr">
        <is>
          <t>whitetail</t>
        </is>
      </c>
      <c r="C1316" s="4" t="inlineStr">
        <is>
          <t>Deer B License: 004-01</t>
        </is>
      </c>
      <c r="D1316" s="15" t="inlineStr">
        <is>
          <t>Drawing</t>
        </is>
      </c>
      <c r="E1316" s="4" t="inlineStr">
        <is>
          <t>Antlerless White-tailed Deer</t>
        </is>
      </c>
      <c r="F1316" s="4" t="inlineStr">
        <is>
          <t>Sep 05-Oct 18</t>
        </is>
      </c>
      <c r="G1316" s="4" t="inlineStr">
        <is>
          <t>Oct 24-Nov 29</t>
        </is>
      </c>
      <c r="H1316" s="4" t="inlineStr">
        <is>
          <t>Dec 12-Dec 20</t>
        </is>
      </c>
      <c r="I1316" s="4" t="n"/>
      <c r="J1316" s="4" t="inlineStr">
        <is>
          <t>Jun 1</t>
        </is>
      </c>
      <c r="K1316" s="4" t="inlineStr">
        <is>
          <t>2,000</t>
        </is>
      </c>
      <c r="L1316" s="4" t="inlineStr">
        <is>
          <t>Valid in all Region 4 HDs except HD 455.</t>
        </is>
      </c>
    </row>
    <row r="1317">
      <c r="A1317" s="4" t="inlineStr">
        <is>
          <t>502</t>
        </is>
      </c>
      <c r="B1317" s="4" t="inlineStr">
        <is>
          <t>whitetail</t>
        </is>
      </c>
      <c r="C1317" s="4" t="inlineStr">
        <is>
          <t>General Deer License</t>
        </is>
      </c>
      <c r="D1317" s="13" t="inlineStr">
        <is>
          <t>General license</t>
        </is>
      </c>
      <c r="E1317" s="4" t="inlineStr">
        <is>
          <t>Either-sex White-tailed Deer</t>
        </is>
      </c>
      <c r="F1317" s="4" t="inlineStr">
        <is>
          <t>Sep 05-Oct 18</t>
        </is>
      </c>
      <c r="G1317" s="4" t="inlineStr">
        <is>
          <t>Oct 24-Nov 29</t>
        </is>
      </c>
      <c r="H1317" s="4" t="inlineStr">
        <is>
          <t>Dec 12-Dec 20</t>
        </is>
      </c>
      <c r="I1317" s="4" t="n"/>
      <c r="J1317" s="4" t="n"/>
      <c r="K1317" s="4" t="n"/>
      <c r="L1317" s="4" t="n"/>
    </row>
    <row r="1318">
      <c r="A1318" s="4" t="inlineStr">
        <is>
          <t>502</t>
        </is>
      </c>
      <c r="B1318" s="4" t="inlineStr">
        <is>
          <t>whitetail</t>
        </is>
      </c>
      <c r="C1318" s="4" t="inlineStr">
        <is>
          <t>Deer B License: 005-00</t>
        </is>
      </c>
      <c r="D1318" s="15" t="inlineStr">
        <is>
          <t>Drawing</t>
        </is>
      </c>
      <c r="E1318" s="4" t="inlineStr">
        <is>
          <t>Antlerless White-tailed Deer</t>
        </is>
      </c>
      <c r="F1318" s="4" t="inlineStr">
        <is>
          <t>Sep 05-Oct 18</t>
        </is>
      </c>
      <c r="G1318" s="4" t="inlineStr">
        <is>
          <t>Oct 24-Nov 29</t>
        </is>
      </c>
      <c r="H1318" s="4" t="inlineStr">
        <is>
          <t>Dec 12-Dec 20</t>
        </is>
      </c>
      <c r="I1318" s="4" t="n"/>
      <c r="J1318" s="4" t="inlineStr">
        <is>
          <t>Jun 1</t>
        </is>
      </c>
      <c r="K1318" s="4" t="inlineStr">
        <is>
          <t>4,500</t>
        </is>
      </c>
      <c r="L1318" s="4" t="inlineStr">
        <is>
          <t>Valid in all R5 HDs.</t>
        </is>
      </c>
    </row>
    <row r="1319">
      <c r="A1319" s="4" t="inlineStr">
        <is>
          <t>515</t>
        </is>
      </c>
      <c r="B1319" s="4" t="inlineStr">
        <is>
          <t>whitetail</t>
        </is>
      </c>
      <c r="C1319" s="4" t="inlineStr">
        <is>
          <t>General Deer License</t>
        </is>
      </c>
      <c r="D1319" s="13" t="inlineStr">
        <is>
          <t>General license</t>
        </is>
      </c>
      <c r="E1319" s="4" t="inlineStr">
        <is>
          <t>Either-sex White-tailed Deer</t>
        </is>
      </c>
      <c r="F1319" s="4" t="inlineStr">
        <is>
          <t>Sep 05-Oct 18</t>
        </is>
      </c>
      <c r="G1319" s="4" t="inlineStr">
        <is>
          <t>Oct 24-Nov 29</t>
        </is>
      </c>
      <c r="H1319" s="4" t="inlineStr">
        <is>
          <t>Dec 12-Dec 20</t>
        </is>
      </c>
      <c r="I1319" s="4" t="n"/>
      <c r="J1319" s="4" t="n"/>
      <c r="K1319" s="4" t="n"/>
      <c r="L1319" s="4" t="n"/>
    </row>
    <row r="1320">
      <c r="A1320" s="4" t="inlineStr">
        <is>
          <t>515</t>
        </is>
      </c>
      <c r="B1320" s="4" t="inlineStr">
        <is>
          <t>whitetail</t>
        </is>
      </c>
      <c r="C1320" s="4" t="inlineStr">
        <is>
          <t>Deer B License: 005-00</t>
        </is>
      </c>
      <c r="D1320" s="15" t="inlineStr">
        <is>
          <t>Drawing</t>
        </is>
      </c>
      <c r="E1320" s="4" t="inlineStr">
        <is>
          <t>Antlerless White-tailed Deer</t>
        </is>
      </c>
      <c r="F1320" s="4" t="inlineStr">
        <is>
          <t>Sep 05-Oct 18</t>
        </is>
      </c>
      <c r="G1320" s="4" t="inlineStr">
        <is>
          <t>Oct 24-Nov 29</t>
        </is>
      </c>
      <c r="H1320" s="4" t="inlineStr">
        <is>
          <t>Dec 12-Dec 20</t>
        </is>
      </c>
      <c r="I1320" s="4" t="n"/>
      <c r="J1320" s="4" t="inlineStr">
        <is>
          <t>Jun 1</t>
        </is>
      </c>
      <c r="K1320" s="4" t="inlineStr">
        <is>
          <t>4,500</t>
        </is>
      </c>
      <c r="L1320" s="4" t="inlineStr">
        <is>
          <t>Valid in all R5 HDs.</t>
        </is>
      </c>
    </row>
    <row r="1321">
      <c r="A1321" s="4" t="inlineStr">
        <is>
          <t>525</t>
        </is>
      </c>
      <c r="B1321" s="4" t="inlineStr">
        <is>
          <t>whitetail</t>
        </is>
      </c>
      <c r="C1321" s="4" t="inlineStr">
        <is>
          <t>General Deer License</t>
        </is>
      </c>
      <c r="D1321" s="13" t="inlineStr">
        <is>
          <t>General license</t>
        </is>
      </c>
      <c r="E1321" s="4" t="inlineStr">
        <is>
          <t>Either-sex White-tailed Deer</t>
        </is>
      </c>
      <c r="F1321" s="4" t="inlineStr">
        <is>
          <t>Sep 05-Oct 18</t>
        </is>
      </c>
      <c r="G1321" s="4" t="inlineStr">
        <is>
          <t>Oct 24-Nov 29</t>
        </is>
      </c>
      <c r="H1321" s="4" t="inlineStr">
        <is>
          <t>Dec 12-Dec 20</t>
        </is>
      </c>
      <c r="I1321" s="4" t="n"/>
      <c r="J1321" s="4" t="n"/>
      <c r="K1321" s="4" t="n"/>
      <c r="L1321" s="4" t="n"/>
    </row>
    <row r="1322">
      <c r="A1322" s="4" t="inlineStr">
        <is>
          <t>525</t>
        </is>
      </c>
      <c r="B1322" s="4" t="inlineStr">
        <is>
          <t>whitetail</t>
        </is>
      </c>
      <c r="C1322" s="4" t="inlineStr">
        <is>
          <t>Deer B License: 005-00</t>
        </is>
      </c>
      <c r="D1322" s="15" t="inlineStr">
        <is>
          <t>Drawing</t>
        </is>
      </c>
      <c r="E1322" s="4" t="inlineStr">
        <is>
          <t>Antlerless White-tailed Deer</t>
        </is>
      </c>
      <c r="F1322" s="4" t="inlineStr">
        <is>
          <t>Sep 05-Oct 18</t>
        </is>
      </c>
      <c r="G1322" s="4" t="inlineStr">
        <is>
          <t>Oct 24-Nov 29</t>
        </is>
      </c>
      <c r="H1322" s="4" t="inlineStr">
        <is>
          <t>Dec 12-Dec 20</t>
        </is>
      </c>
      <c r="I1322" s="4" t="n"/>
      <c r="J1322" s="4" t="inlineStr">
        <is>
          <t>Jun 1</t>
        </is>
      </c>
      <c r="K1322" s="4" t="inlineStr">
        <is>
          <t>4,500</t>
        </is>
      </c>
      <c r="L1322" s="4" t="inlineStr">
        <is>
          <t>Valid in all R5 HDs.</t>
        </is>
      </c>
    </row>
    <row r="1323">
      <c r="A1323" s="4" t="inlineStr">
        <is>
          <t>535</t>
        </is>
      </c>
      <c r="B1323" s="4" t="inlineStr">
        <is>
          <t>whitetail</t>
        </is>
      </c>
      <c r="C1323" s="4" t="inlineStr">
        <is>
          <t>General Deer License</t>
        </is>
      </c>
      <c r="D1323" s="13" t="inlineStr">
        <is>
          <t>General license</t>
        </is>
      </c>
      <c r="E1323" s="4" t="inlineStr">
        <is>
          <t>Either-sex White-tailed Deer</t>
        </is>
      </c>
      <c r="F1323" s="4" t="inlineStr">
        <is>
          <t>Sep 05-Oct 18</t>
        </is>
      </c>
      <c r="G1323" s="4" t="inlineStr">
        <is>
          <t>Oct 24-Nov 29</t>
        </is>
      </c>
      <c r="H1323" s="4" t="inlineStr">
        <is>
          <t>Dec 12-Dec 20</t>
        </is>
      </c>
      <c r="I1323" s="4" t="n"/>
      <c r="J1323" s="4" t="n"/>
      <c r="K1323" s="4" t="n"/>
      <c r="L1323" s="4" t="n"/>
    </row>
    <row r="1324">
      <c r="A1324" s="4" t="inlineStr">
        <is>
          <t>535</t>
        </is>
      </c>
      <c r="B1324" s="4" t="inlineStr">
        <is>
          <t>whitetail</t>
        </is>
      </c>
      <c r="C1324" s="4" t="inlineStr">
        <is>
          <t>Deer B License: 005-00</t>
        </is>
      </c>
      <c r="D1324" s="15" t="inlineStr">
        <is>
          <t>Drawing</t>
        </is>
      </c>
      <c r="E1324" s="4" t="inlineStr">
        <is>
          <t>Antlerless White-tailed Deer</t>
        </is>
      </c>
      <c r="F1324" s="4" t="inlineStr">
        <is>
          <t>Sep 05-Oct 18</t>
        </is>
      </c>
      <c r="G1324" s="4" t="inlineStr">
        <is>
          <t>Oct 24-Nov 29</t>
        </is>
      </c>
      <c r="H1324" s="4" t="inlineStr">
        <is>
          <t>Dec 12-Dec 20</t>
        </is>
      </c>
      <c r="I1324" s="4" t="n"/>
      <c r="J1324" s="4" t="inlineStr">
        <is>
          <t>Jun 1</t>
        </is>
      </c>
      <c r="K1324" s="4" t="inlineStr">
        <is>
          <t>4,500</t>
        </is>
      </c>
      <c r="L1324" s="4" t="inlineStr">
        <is>
          <t>Valid in all R5 HDs.</t>
        </is>
      </c>
    </row>
    <row r="1325">
      <c r="A1325" s="4" t="inlineStr">
        <is>
          <t>540</t>
        </is>
      </c>
      <c r="B1325" s="4" t="inlineStr">
        <is>
          <t>whitetail</t>
        </is>
      </c>
      <c r="C1325" s="4" t="inlineStr">
        <is>
          <t>General Deer License</t>
        </is>
      </c>
      <c r="D1325" s="13" t="inlineStr">
        <is>
          <t>General license</t>
        </is>
      </c>
      <c r="E1325" s="4" t="inlineStr">
        <is>
          <t>Either-sex White-tailed Deer</t>
        </is>
      </c>
      <c r="F1325" s="4" t="inlineStr">
        <is>
          <t>Sep 05-Oct 18</t>
        </is>
      </c>
      <c r="G1325" s="4" t="inlineStr">
        <is>
          <t>Oct 24-Nov 29</t>
        </is>
      </c>
      <c r="H1325" s="4" t="inlineStr">
        <is>
          <t>Dec 12-Dec 20</t>
        </is>
      </c>
      <c r="I1325" s="4" t="n"/>
      <c r="J1325" s="4" t="n"/>
      <c r="K1325" s="4" t="n"/>
      <c r="L1325" s="4" t="n"/>
    </row>
    <row r="1326">
      <c r="A1326" s="4" t="inlineStr">
        <is>
          <t>540</t>
        </is>
      </c>
      <c r="B1326" s="4" t="inlineStr">
        <is>
          <t>whitetail</t>
        </is>
      </c>
      <c r="C1326" s="4" t="inlineStr">
        <is>
          <t>Deer B License: 005-00</t>
        </is>
      </c>
      <c r="D1326" s="15" t="inlineStr">
        <is>
          <t>Drawing</t>
        </is>
      </c>
      <c r="E1326" s="4" t="inlineStr">
        <is>
          <t>Antlerless White-tailed Deer</t>
        </is>
      </c>
      <c r="F1326" s="4" t="inlineStr">
        <is>
          <t>Sep 05-Oct 18</t>
        </is>
      </c>
      <c r="G1326" s="4" t="inlineStr">
        <is>
          <t>Oct 24-Nov 29</t>
        </is>
      </c>
      <c r="H1326" s="4" t="inlineStr">
        <is>
          <t>Dec 12-Dec 20</t>
        </is>
      </c>
      <c r="I1326" s="4" t="n"/>
      <c r="J1326" s="4" t="inlineStr">
        <is>
          <t>Jun 1</t>
        </is>
      </c>
      <c r="K1326" s="4" t="inlineStr">
        <is>
          <t>4,500</t>
        </is>
      </c>
      <c r="L1326" s="4" t="inlineStr">
        <is>
          <t>Valid in all R5 HDs.</t>
        </is>
      </c>
    </row>
    <row r="1327">
      <c r="A1327" s="4" t="inlineStr">
        <is>
          <t>555</t>
        </is>
      </c>
      <c r="B1327" s="4" t="inlineStr">
        <is>
          <t>whitetail</t>
        </is>
      </c>
      <c r="C1327" s="4" t="inlineStr">
        <is>
          <t>General Deer License</t>
        </is>
      </c>
      <c r="D1327" s="13" t="inlineStr">
        <is>
          <t>General license</t>
        </is>
      </c>
      <c r="E1327" s="4" t="inlineStr">
        <is>
          <t>Either-sex White-tailed Deer</t>
        </is>
      </c>
      <c r="F1327" s="4" t="inlineStr">
        <is>
          <t>Sep 05-Oct 18</t>
        </is>
      </c>
      <c r="G1327" s="4" t="inlineStr">
        <is>
          <t>Oct 24-Nov 29</t>
        </is>
      </c>
      <c r="H1327" s="4" t="inlineStr">
        <is>
          <t>Dec 12-Dec 20</t>
        </is>
      </c>
      <c r="I1327" s="4" t="n"/>
      <c r="J1327" s="4" t="n"/>
      <c r="K1327" s="4" t="n"/>
      <c r="L1327" s="4" t="n"/>
    </row>
    <row r="1328">
      <c r="A1328" s="4" t="inlineStr">
        <is>
          <t>555</t>
        </is>
      </c>
      <c r="B1328" s="4" t="inlineStr">
        <is>
          <t>whitetail</t>
        </is>
      </c>
      <c r="C1328" s="4" t="inlineStr">
        <is>
          <t>Deer B License: 005-00</t>
        </is>
      </c>
      <c r="D1328" s="15" t="inlineStr">
        <is>
          <t>Drawing</t>
        </is>
      </c>
      <c r="E1328" s="4" t="inlineStr">
        <is>
          <t>Antlerless White-tailed Deer</t>
        </is>
      </c>
      <c r="F1328" s="4" t="inlineStr">
        <is>
          <t>Sep 05-Oct 18</t>
        </is>
      </c>
      <c r="G1328" s="4" t="inlineStr">
        <is>
          <t>Oct 24-Nov 29</t>
        </is>
      </c>
      <c r="H1328" s="4" t="inlineStr">
        <is>
          <t>Dec 12-Dec 20</t>
        </is>
      </c>
      <c r="I1328" s="4" t="n"/>
      <c r="J1328" s="4" t="inlineStr">
        <is>
          <t>Jun 1</t>
        </is>
      </c>
      <c r="K1328" s="4" t="inlineStr">
        <is>
          <t>4,500</t>
        </is>
      </c>
      <c r="L1328" s="4" t="inlineStr">
        <is>
          <t>Valid in all R5 HDs.</t>
        </is>
      </c>
    </row>
    <row r="1329">
      <c r="A1329" s="4" t="inlineStr">
        <is>
          <t>565</t>
        </is>
      </c>
      <c r="B1329" s="4" t="inlineStr">
        <is>
          <t>whitetail</t>
        </is>
      </c>
      <c r="C1329" s="4" t="inlineStr">
        <is>
          <t>General Deer License</t>
        </is>
      </c>
      <c r="D1329" s="13" t="inlineStr">
        <is>
          <t>General license</t>
        </is>
      </c>
      <c r="E1329" s="4" t="inlineStr">
        <is>
          <t>Either-sex White-tailed Deer</t>
        </is>
      </c>
      <c r="F1329" s="4" t="inlineStr">
        <is>
          <t>Sep 05-Oct 18</t>
        </is>
      </c>
      <c r="G1329" s="4" t="inlineStr">
        <is>
          <t>Oct 24-Nov 29</t>
        </is>
      </c>
      <c r="H1329" s="4" t="inlineStr">
        <is>
          <t>Dec 12-Dec 20</t>
        </is>
      </c>
      <c r="I1329" s="4" t="n"/>
      <c r="J1329" s="4" t="n"/>
      <c r="K1329" s="4" t="n"/>
      <c r="L1329" s="4" t="n"/>
    </row>
    <row r="1330">
      <c r="A1330" s="4" t="inlineStr">
        <is>
          <t>565</t>
        </is>
      </c>
      <c r="B1330" s="4" t="inlineStr">
        <is>
          <t>whitetail</t>
        </is>
      </c>
      <c r="C1330" s="4" t="inlineStr">
        <is>
          <t>Deer B License: 005-00</t>
        </is>
      </c>
      <c r="D1330" s="15" t="inlineStr">
        <is>
          <t>Drawing</t>
        </is>
      </c>
      <c r="E1330" s="4" t="inlineStr">
        <is>
          <t>Antlerless White-tailed Deer</t>
        </is>
      </c>
      <c r="F1330" s="4" t="inlineStr">
        <is>
          <t>Sep 05-Oct 18</t>
        </is>
      </c>
      <c r="G1330" s="4" t="inlineStr">
        <is>
          <t>Oct 24-Nov 29</t>
        </is>
      </c>
      <c r="H1330" s="4" t="inlineStr">
        <is>
          <t>Dec 12-Dec 20</t>
        </is>
      </c>
      <c r="I1330" s="4" t="n"/>
      <c r="J1330" s="4" t="inlineStr">
        <is>
          <t>Jun 1</t>
        </is>
      </c>
      <c r="K1330" s="4" t="inlineStr">
        <is>
          <t>4,500</t>
        </is>
      </c>
      <c r="L1330" s="4" t="inlineStr">
        <is>
          <t>Valid in all R5 HDs.</t>
        </is>
      </c>
    </row>
    <row r="1331">
      <c r="A1331" s="4" t="inlineStr">
        <is>
          <t>575</t>
        </is>
      </c>
      <c r="B1331" s="4" t="inlineStr">
        <is>
          <t>whitetail</t>
        </is>
      </c>
      <c r="C1331" s="4" t="inlineStr">
        <is>
          <t>General Deer License</t>
        </is>
      </c>
      <c r="D1331" s="13" t="inlineStr">
        <is>
          <t>General license</t>
        </is>
      </c>
      <c r="E1331" s="4" t="inlineStr">
        <is>
          <t>Either-sex White-tailed Deer</t>
        </is>
      </c>
      <c r="F1331" s="4" t="inlineStr">
        <is>
          <t>Sep 05-Oct 18</t>
        </is>
      </c>
      <c r="G1331" s="4" t="inlineStr">
        <is>
          <t>Oct 24-Nov 29</t>
        </is>
      </c>
      <c r="H1331" s="4" t="inlineStr">
        <is>
          <t>Dec 12-Dec 20</t>
        </is>
      </c>
      <c r="I1331" s="4" t="n"/>
      <c r="J1331" s="4" t="n"/>
      <c r="K1331" s="4" t="n"/>
      <c r="L1331" s="4" t="n"/>
    </row>
    <row r="1332">
      <c r="A1332" s="4" t="inlineStr">
        <is>
          <t>575</t>
        </is>
      </c>
      <c r="B1332" s="4" t="inlineStr">
        <is>
          <t>whitetail</t>
        </is>
      </c>
      <c r="C1332" s="4" t="inlineStr">
        <is>
          <t>Deer B License: 005-00</t>
        </is>
      </c>
      <c r="D1332" s="15" t="inlineStr">
        <is>
          <t>Drawing</t>
        </is>
      </c>
      <c r="E1332" s="4" t="inlineStr">
        <is>
          <t>Antlerless White-tailed Deer</t>
        </is>
      </c>
      <c r="F1332" s="4" t="inlineStr">
        <is>
          <t>Sep 05-Oct 18</t>
        </is>
      </c>
      <c r="G1332" s="4" t="inlineStr">
        <is>
          <t>Oct 24-Nov 29</t>
        </is>
      </c>
      <c r="H1332" s="4" t="inlineStr">
        <is>
          <t>Dec 12-Dec 20</t>
        </is>
      </c>
      <c r="I1332" s="4" t="n"/>
      <c r="J1332" s="4" t="inlineStr">
        <is>
          <t>Jun 1</t>
        </is>
      </c>
      <c r="K1332" s="4" t="inlineStr">
        <is>
          <t>4,500</t>
        </is>
      </c>
      <c r="L1332" s="4" t="inlineStr">
        <is>
          <t>Valid in all R5 HDs.</t>
        </is>
      </c>
    </row>
    <row r="1333">
      <c r="A1333" s="4" t="inlineStr">
        <is>
          <t>580</t>
        </is>
      </c>
      <c r="B1333" s="4" t="inlineStr">
        <is>
          <t>whitetail</t>
        </is>
      </c>
      <c r="C1333" s="4" t="inlineStr">
        <is>
          <t>General Deer License</t>
        </is>
      </c>
      <c r="D1333" s="13" t="inlineStr">
        <is>
          <t>General license</t>
        </is>
      </c>
      <c r="E1333" s="4" t="inlineStr">
        <is>
          <t>Either-sex White-tailed Deer</t>
        </is>
      </c>
      <c r="F1333" s="4" t="inlineStr">
        <is>
          <t>Sep 05-Oct 18</t>
        </is>
      </c>
      <c r="G1333" s="4" t="inlineStr">
        <is>
          <t>Oct 24-Nov 29</t>
        </is>
      </c>
      <c r="H1333" s="4" t="inlineStr">
        <is>
          <t>Dec 12-Dec 20</t>
        </is>
      </c>
      <c r="I1333" s="4" t="n"/>
      <c r="J1333" s="4" t="n"/>
      <c r="K1333" s="4" t="n"/>
      <c r="L1333" s="4" t="n"/>
    </row>
    <row r="1334">
      <c r="A1334" s="4" t="inlineStr">
        <is>
          <t>580</t>
        </is>
      </c>
      <c r="B1334" s="4" t="inlineStr">
        <is>
          <t>whitetail</t>
        </is>
      </c>
      <c r="C1334" s="4" t="inlineStr">
        <is>
          <t>Deer B License: 005-00</t>
        </is>
      </c>
      <c r="D1334" s="15" t="inlineStr">
        <is>
          <t>Drawing</t>
        </is>
      </c>
      <c r="E1334" s="4" t="inlineStr">
        <is>
          <t>Antlerless White-tailed Deer</t>
        </is>
      </c>
      <c r="F1334" s="4" t="inlineStr">
        <is>
          <t>Sep 05-Oct 18</t>
        </is>
      </c>
      <c r="G1334" s="4" t="inlineStr">
        <is>
          <t>Oct 24-Nov 29</t>
        </is>
      </c>
      <c r="H1334" s="4" t="inlineStr">
        <is>
          <t>Dec 12-Dec 20</t>
        </is>
      </c>
      <c r="I1334" s="4" t="n"/>
      <c r="J1334" s="4" t="inlineStr">
        <is>
          <t>Jun 1</t>
        </is>
      </c>
      <c r="K1334" s="4" t="inlineStr">
        <is>
          <t>4,500</t>
        </is>
      </c>
      <c r="L1334" s="4" t="inlineStr">
        <is>
          <t>Valid in all R5 HDs.</t>
        </is>
      </c>
    </row>
    <row r="1335">
      <c r="A1335" s="4" t="inlineStr">
        <is>
          <t>590</t>
        </is>
      </c>
      <c r="B1335" s="4" t="inlineStr">
        <is>
          <t>whitetail</t>
        </is>
      </c>
      <c r="C1335" s="4" t="inlineStr">
        <is>
          <t>General Deer License</t>
        </is>
      </c>
      <c r="D1335" s="13" t="inlineStr">
        <is>
          <t>General license</t>
        </is>
      </c>
      <c r="E1335" s="4" t="inlineStr">
        <is>
          <t>Either-sex White-tailed Deer</t>
        </is>
      </c>
      <c r="F1335" s="4" t="inlineStr">
        <is>
          <t>Sep 05-Oct 18</t>
        </is>
      </c>
      <c r="G1335" s="4" t="inlineStr">
        <is>
          <t>Oct 24-Nov 29</t>
        </is>
      </c>
      <c r="H1335" s="4" t="inlineStr">
        <is>
          <t>Dec 12-Dec 20</t>
        </is>
      </c>
      <c r="I1335" s="4" t="n"/>
      <c r="J1335" s="4" t="n"/>
      <c r="K1335" s="4" t="n"/>
      <c r="L1335" s="4" t="n"/>
    </row>
    <row r="1336">
      <c r="A1336" s="4" t="inlineStr">
        <is>
          <t>590</t>
        </is>
      </c>
      <c r="B1336" s="4" t="inlineStr">
        <is>
          <t>whitetail</t>
        </is>
      </c>
      <c r="C1336" s="4" t="inlineStr">
        <is>
          <t>Deer B License: 005-00</t>
        </is>
      </c>
      <c r="D1336" s="15" t="inlineStr">
        <is>
          <t>Drawing</t>
        </is>
      </c>
      <c r="E1336" s="4" t="inlineStr">
        <is>
          <t>Antlerless White-tailed Deer</t>
        </is>
      </c>
      <c r="F1336" s="4" t="inlineStr">
        <is>
          <t>Sep 05-Oct 18</t>
        </is>
      </c>
      <c r="G1336" s="4" t="inlineStr">
        <is>
          <t>Oct 24-Nov 29</t>
        </is>
      </c>
      <c r="H1336" s="4" t="inlineStr">
        <is>
          <t>Dec 12-Dec 20</t>
        </is>
      </c>
      <c r="I1336" s="4" t="n"/>
      <c r="J1336" s="4" t="inlineStr">
        <is>
          <t>Jun 1</t>
        </is>
      </c>
      <c r="K1336" s="4" t="inlineStr">
        <is>
          <t>4,500</t>
        </is>
      </c>
      <c r="L1336" s="4" t="inlineStr">
        <is>
          <t>Valid in all R5 HDs.</t>
        </is>
      </c>
    </row>
    <row r="1337">
      <c r="A1337" s="4" t="inlineStr">
        <is>
          <t>600</t>
        </is>
      </c>
      <c r="B1337" s="4" t="inlineStr">
        <is>
          <t>whitetail</t>
        </is>
      </c>
      <c r="C1337" s="4" t="inlineStr">
        <is>
          <t>General Deer License</t>
        </is>
      </c>
      <c r="D1337" s="13" t="inlineStr">
        <is>
          <t>General license</t>
        </is>
      </c>
      <c r="E1337" s="4" t="inlineStr">
        <is>
          <t>Either-sex White-tailed Deer</t>
        </is>
      </c>
      <c r="F1337" s="4" t="inlineStr">
        <is>
          <t>Sep 05-Oct 18</t>
        </is>
      </c>
      <c r="G1337" s="4" t="inlineStr">
        <is>
          <t>Oct 24-Nov 29</t>
        </is>
      </c>
      <c r="H1337" s="4" t="inlineStr">
        <is>
          <t>Dec 12-Dec 20</t>
        </is>
      </c>
      <c r="I1337" s="4" t="n"/>
      <c r="J1337" s="4" t="n"/>
      <c r="K1337" s="4" t="n"/>
      <c r="L1337" s="4" t="n"/>
    </row>
    <row r="1338">
      <c r="A1338" s="4" t="inlineStr">
        <is>
          <t>600</t>
        </is>
      </c>
      <c r="B1338" s="4" t="inlineStr">
        <is>
          <t>whitetail</t>
        </is>
      </c>
      <c r="C1338" s="4" t="inlineStr">
        <is>
          <t>Deer B License: 006-00</t>
        </is>
      </c>
      <c r="D1338" s="15" t="inlineStr">
        <is>
          <t>Drawing</t>
        </is>
      </c>
      <c r="E1338" s="4" t="inlineStr">
        <is>
          <t>Antlerless White-tailed Deer</t>
        </is>
      </c>
      <c r="F1338" s="4" t="inlineStr">
        <is>
          <t>Sep 05-Oct 18</t>
        </is>
      </c>
      <c r="G1338" s="4" t="inlineStr">
        <is>
          <t>Oct 24-Nov 29</t>
        </is>
      </c>
      <c r="H1338" s="4" t="inlineStr">
        <is>
          <t>Dec 12-Dec 20</t>
        </is>
      </c>
      <c r="I1338" s="4" t="n"/>
      <c r="J1338" s="4" t="inlineStr">
        <is>
          <t>Jun 1</t>
        </is>
      </c>
      <c r="K1338" s="4" t="inlineStr">
        <is>
          <t>2,000</t>
        </is>
      </c>
      <c r="L1338" s="4" t="inlineStr">
        <is>
          <t>Up to two per hunter. Valid in all R6 HDs.</t>
        </is>
      </c>
    </row>
    <row r="1339">
      <c r="A1339" s="4" t="inlineStr">
        <is>
          <t>620</t>
        </is>
      </c>
      <c r="B1339" s="4" t="inlineStr">
        <is>
          <t>whitetail</t>
        </is>
      </c>
      <c r="C1339" s="4" t="inlineStr">
        <is>
          <t>General Deer License</t>
        </is>
      </c>
      <c r="D1339" s="13" t="inlineStr">
        <is>
          <t>General license</t>
        </is>
      </c>
      <c r="E1339" s="4" t="inlineStr">
        <is>
          <t>Either-sex White-tailed Deer</t>
        </is>
      </c>
      <c r="F1339" s="4" t="inlineStr">
        <is>
          <t>Sep 05-Oct 18</t>
        </is>
      </c>
      <c r="G1339" s="4" t="inlineStr">
        <is>
          <t>Oct 24-Nov 29</t>
        </is>
      </c>
      <c r="H1339" s="4" t="inlineStr">
        <is>
          <t>Dec 12-Dec 20</t>
        </is>
      </c>
      <c r="I1339" s="4" t="n"/>
      <c r="J1339" s="4" t="n"/>
      <c r="K1339" s="4" t="n"/>
      <c r="L1339" s="4" t="n"/>
    </row>
    <row r="1340">
      <c r="A1340" s="4" t="inlineStr">
        <is>
          <t>620</t>
        </is>
      </c>
      <c r="B1340" s="4" t="inlineStr">
        <is>
          <t>whitetail</t>
        </is>
      </c>
      <c r="C1340" s="4" t="inlineStr">
        <is>
          <t>Deer B License: 006-00</t>
        </is>
      </c>
      <c r="D1340" s="15" t="inlineStr">
        <is>
          <t>Drawing</t>
        </is>
      </c>
      <c r="E1340" s="4" t="inlineStr">
        <is>
          <t>Antlerless White-tailed Deer</t>
        </is>
      </c>
      <c r="F1340" s="4" t="inlineStr">
        <is>
          <t>Sep 05-Oct 18</t>
        </is>
      </c>
      <c r="G1340" s="4" t="inlineStr">
        <is>
          <t>Oct 24-Nov 29</t>
        </is>
      </c>
      <c r="H1340" s="4" t="inlineStr">
        <is>
          <t>Dec 12-Dec 20</t>
        </is>
      </c>
      <c r="I1340" s="4" t="n"/>
      <c r="J1340" s="4" t="inlineStr">
        <is>
          <t>Jun 1</t>
        </is>
      </c>
      <c r="K1340" s="4" t="inlineStr">
        <is>
          <t>2,000</t>
        </is>
      </c>
      <c r="L1340" s="4" t="inlineStr">
        <is>
          <t>Up to two per hunter. Valid in all R6 HDs.</t>
        </is>
      </c>
    </row>
    <row r="1341">
      <c r="A1341" s="4" t="inlineStr">
        <is>
          <t>621</t>
        </is>
      </c>
      <c r="B1341" s="4" t="inlineStr">
        <is>
          <t>whitetail</t>
        </is>
      </c>
      <c r="C1341" s="4" t="inlineStr">
        <is>
          <t>General Deer License</t>
        </is>
      </c>
      <c r="D1341" s="13" t="inlineStr">
        <is>
          <t>General license</t>
        </is>
      </c>
      <c r="E1341" s="4" t="inlineStr">
        <is>
          <t>Either-sex White-tailed Deer</t>
        </is>
      </c>
      <c r="F1341" s="4" t="inlineStr">
        <is>
          <t>Sep 05-Oct 18</t>
        </is>
      </c>
      <c r="G1341" s="4" t="inlineStr">
        <is>
          <t>Oct 24-Nov 29</t>
        </is>
      </c>
      <c r="H1341" s="4" t="inlineStr">
        <is>
          <t>Dec 12-Dec 20</t>
        </is>
      </c>
      <c r="I1341" s="4" t="n"/>
      <c r="J1341" s="4" t="n"/>
      <c r="K1341" s="4" t="n"/>
      <c r="L1341" s="4" t="n"/>
    </row>
    <row r="1342">
      <c r="A1342" s="4" t="inlineStr">
        <is>
          <t>621</t>
        </is>
      </c>
      <c r="B1342" s="4" t="inlineStr">
        <is>
          <t>whitetail</t>
        </is>
      </c>
      <c r="C1342" s="4" t="inlineStr">
        <is>
          <t>Deer B License: 006-00</t>
        </is>
      </c>
      <c r="D1342" s="15" t="inlineStr">
        <is>
          <t>Drawing</t>
        </is>
      </c>
      <c r="E1342" s="4" t="inlineStr">
        <is>
          <t>Antlerless White-tailed Deer</t>
        </is>
      </c>
      <c r="F1342" s="4" t="inlineStr">
        <is>
          <t>Sep 05-Oct 18</t>
        </is>
      </c>
      <c r="G1342" s="4" t="inlineStr">
        <is>
          <t>Oct 24-Nov 29</t>
        </is>
      </c>
      <c r="H1342" s="4" t="inlineStr">
        <is>
          <t>Dec 12-Dec 20</t>
        </is>
      </c>
      <c r="I1342" s="4" t="n"/>
      <c r="J1342" s="4" t="inlineStr">
        <is>
          <t>Jun 1</t>
        </is>
      </c>
      <c r="K1342" s="4" t="inlineStr">
        <is>
          <t>2,000</t>
        </is>
      </c>
      <c r="L1342" s="4" t="inlineStr">
        <is>
          <t>Up to two per hunter. Valid in all R6 HDs. ELK Hunting by Drawing Only</t>
        </is>
      </c>
    </row>
    <row r="1343">
      <c r="A1343" s="4" t="inlineStr">
        <is>
          <t>622</t>
        </is>
      </c>
      <c r="B1343" s="4" t="inlineStr">
        <is>
          <t>whitetail</t>
        </is>
      </c>
      <c r="C1343" s="4" t="inlineStr">
        <is>
          <t>General Deer License</t>
        </is>
      </c>
      <c r="D1343" s="13" t="inlineStr">
        <is>
          <t>General license</t>
        </is>
      </c>
      <c r="E1343" s="4" t="inlineStr">
        <is>
          <t>Either-sex White-tailed Deer</t>
        </is>
      </c>
      <c r="F1343" s="4" t="inlineStr">
        <is>
          <t>Sep 05-Oct 18</t>
        </is>
      </c>
      <c r="G1343" s="4" t="inlineStr">
        <is>
          <t>Oct 24-Nov 29</t>
        </is>
      </c>
      <c r="H1343" s="4" t="inlineStr">
        <is>
          <t>Dec 12-Dec 20</t>
        </is>
      </c>
      <c r="I1343" s="4" t="n"/>
      <c r="J1343" s="4" t="n"/>
      <c r="K1343" s="4" t="n"/>
      <c r="L1343" s="4" t="n"/>
    </row>
    <row r="1344">
      <c r="A1344" s="4" t="inlineStr">
        <is>
          <t>622</t>
        </is>
      </c>
      <c r="B1344" s="4" t="inlineStr">
        <is>
          <t>whitetail</t>
        </is>
      </c>
      <c r="C1344" s="4" t="inlineStr">
        <is>
          <t>Deer B License: 006-00</t>
        </is>
      </c>
      <c r="D1344" s="15" t="inlineStr">
        <is>
          <t>Drawing</t>
        </is>
      </c>
      <c r="E1344" s="4" t="inlineStr">
        <is>
          <t>Antlerless White-tailed Deer</t>
        </is>
      </c>
      <c r="F1344" s="4" t="inlineStr">
        <is>
          <t>Sep 05-Oct 18</t>
        </is>
      </c>
      <c r="G1344" s="4" t="inlineStr">
        <is>
          <t>Oct 24-Nov 29</t>
        </is>
      </c>
      <c r="H1344" s="4" t="inlineStr">
        <is>
          <t>Dec 12-Dec 20</t>
        </is>
      </c>
      <c r="I1344" s="4" t="n"/>
      <c r="J1344" s="4" t="inlineStr">
        <is>
          <t>Jun 1</t>
        </is>
      </c>
      <c r="K1344" s="4" t="inlineStr">
        <is>
          <t>2,000</t>
        </is>
      </c>
      <c r="L1344" s="4" t="inlineStr">
        <is>
          <t>Up to two per hunter. Valid in all R6 HDs. 115 LICENSE/PERMIT OPPORTUNITY APPL Y BY DATE QUOTA QUOTA RANGE EARL Y SEASON DATES ARCHERY ONL Y SEASON DATES GENERAL SEASON DATES HERITAGE MUZZLELOADER SEASON DATES LATE SEASON DATES OPPORTUNITY SPECIFIC DETAILS AND/ORRESTRICTIONS NOTE: HD 622 Check Restr</t>
        </is>
      </c>
    </row>
    <row r="1345">
      <c r="A1345" s="4" t="inlineStr">
        <is>
          <t>630</t>
        </is>
      </c>
      <c r="B1345" s="4" t="inlineStr">
        <is>
          <t>whitetail</t>
        </is>
      </c>
      <c r="C1345" s="4" t="inlineStr">
        <is>
          <t>General Deer License</t>
        </is>
      </c>
      <c r="D1345" s="13" t="inlineStr">
        <is>
          <t>General license</t>
        </is>
      </c>
      <c r="E1345" s="4" t="inlineStr">
        <is>
          <t>Either-sex White-tailed Deer</t>
        </is>
      </c>
      <c r="F1345" s="4" t="inlineStr">
        <is>
          <t>Sep 05-Oct 18</t>
        </is>
      </c>
      <c r="G1345" s="4" t="inlineStr">
        <is>
          <t>Oct 24-Nov 29</t>
        </is>
      </c>
      <c r="H1345" s="4" t="inlineStr">
        <is>
          <t>Dec 12-Dec 20</t>
        </is>
      </c>
      <c r="I1345" s="4" t="n"/>
      <c r="J1345" s="4" t="n"/>
      <c r="K1345" s="4" t="n"/>
      <c r="L1345" s="4" t="n"/>
    </row>
    <row r="1346">
      <c r="A1346" s="4" t="inlineStr">
        <is>
          <t>630</t>
        </is>
      </c>
      <c r="B1346" s="4" t="inlineStr">
        <is>
          <t>whitetail</t>
        </is>
      </c>
      <c r="C1346" s="4" t="inlineStr">
        <is>
          <t>Deer B License: 006-00</t>
        </is>
      </c>
      <c r="D1346" s="15" t="inlineStr">
        <is>
          <t>Drawing</t>
        </is>
      </c>
      <c r="E1346" s="4" t="inlineStr">
        <is>
          <t>Antlerless White-tailed Deer</t>
        </is>
      </c>
      <c r="F1346" s="4" t="inlineStr">
        <is>
          <t>Sep 05-Oct 18</t>
        </is>
      </c>
      <c r="G1346" s="4" t="inlineStr">
        <is>
          <t>Oct 24-Nov 29</t>
        </is>
      </c>
      <c r="H1346" s="4" t="inlineStr">
        <is>
          <t>Dec 12-Dec 20</t>
        </is>
      </c>
      <c r="I1346" s="4" t="n"/>
      <c r="J1346" s="4" t="inlineStr">
        <is>
          <t>Jun 1</t>
        </is>
      </c>
      <c r="K1346" s="4" t="inlineStr">
        <is>
          <t>2,000</t>
        </is>
      </c>
      <c r="L1346" s="4" t="inlineStr">
        <is>
          <t>Up to two per hunter. Valid in all R6 HDs.</t>
        </is>
      </c>
    </row>
    <row r="1347">
      <c r="A1347" s="4" t="inlineStr">
        <is>
          <t>640</t>
        </is>
      </c>
      <c r="B1347" s="4" t="inlineStr">
        <is>
          <t>whitetail</t>
        </is>
      </c>
      <c r="C1347" s="4" t="inlineStr">
        <is>
          <t>General Deer License</t>
        </is>
      </c>
      <c r="D1347" s="13" t="inlineStr">
        <is>
          <t>General license</t>
        </is>
      </c>
      <c r="E1347" s="4" t="inlineStr">
        <is>
          <t>Either-sex White-tailed Deer</t>
        </is>
      </c>
      <c r="F1347" s="4" t="inlineStr">
        <is>
          <t>Sep 05-Oct 18</t>
        </is>
      </c>
      <c r="G1347" s="4" t="inlineStr">
        <is>
          <t>Oct 24-Nov 29</t>
        </is>
      </c>
      <c r="H1347" s="4" t="inlineStr">
        <is>
          <t>Dec 12-Dec 20</t>
        </is>
      </c>
      <c r="I1347" s="4" t="n"/>
      <c r="J1347" s="4" t="n"/>
      <c r="K1347" s="4" t="n"/>
      <c r="L1347" s="4" t="n"/>
    </row>
    <row r="1348">
      <c r="A1348" s="4" t="inlineStr">
        <is>
          <t>640</t>
        </is>
      </c>
      <c r="B1348" s="4" t="inlineStr">
        <is>
          <t>whitetail</t>
        </is>
      </c>
      <c r="C1348" s="4" t="inlineStr">
        <is>
          <t>Deer B License: 006-00</t>
        </is>
      </c>
      <c r="D1348" s="15" t="inlineStr">
        <is>
          <t>Drawing</t>
        </is>
      </c>
      <c r="E1348" s="4" t="inlineStr">
        <is>
          <t>Antlerless White-tailed Deer</t>
        </is>
      </c>
      <c r="F1348" s="4" t="inlineStr">
        <is>
          <t>Sep 05-Oct 18</t>
        </is>
      </c>
      <c r="G1348" s="4" t="inlineStr">
        <is>
          <t>Oct 24-Nov 29</t>
        </is>
      </c>
      <c r="H1348" s="4" t="inlineStr">
        <is>
          <t>Dec 12-Dec 20</t>
        </is>
      </c>
      <c r="I1348" s="4" t="n"/>
      <c r="J1348" s="4" t="inlineStr">
        <is>
          <t>Jun 1</t>
        </is>
      </c>
      <c r="K1348" s="4" t="inlineStr">
        <is>
          <t>2,000</t>
        </is>
      </c>
      <c r="L1348" s="4" t="inlineStr">
        <is>
          <t>Up to two per hunter. Valid in all R6 HDs.</t>
        </is>
      </c>
    </row>
    <row r="1349">
      <c r="A1349" s="4" t="inlineStr">
        <is>
          <t>650</t>
        </is>
      </c>
      <c r="B1349" s="4" t="inlineStr">
        <is>
          <t>whitetail</t>
        </is>
      </c>
      <c r="C1349" s="4" t="inlineStr">
        <is>
          <t>General Deer License</t>
        </is>
      </c>
      <c r="D1349" s="13" t="inlineStr">
        <is>
          <t>General license</t>
        </is>
      </c>
      <c r="E1349" s="4" t="inlineStr">
        <is>
          <t>Either-sex White-tailed Deer</t>
        </is>
      </c>
      <c r="F1349" s="4" t="inlineStr">
        <is>
          <t>Sep 05-Oct 18</t>
        </is>
      </c>
      <c r="G1349" s="4" t="inlineStr">
        <is>
          <t>Oct 24-Nov 29</t>
        </is>
      </c>
      <c r="H1349" s="4" t="inlineStr">
        <is>
          <t>Dec 12-Dec 20</t>
        </is>
      </c>
      <c r="I1349" s="4" t="n"/>
      <c r="J1349" s="4" t="n"/>
      <c r="K1349" s="4" t="n"/>
      <c r="L1349" s="4" t="n"/>
    </row>
    <row r="1350">
      <c r="A1350" s="4" t="inlineStr">
        <is>
          <t>650</t>
        </is>
      </c>
      <c r="B1350" s="4" t="inlineStr">
        <is>
          <t>whitetail</t>
        </is>
      </c>
      <c r="C1350" s="4" t="inlineStr">
        <is>
          <t>Deer B License: 006-00</t>
        </is>
      </c>
      <c r="D1350" s="15" t="inlineStr">
        <is>
          <t>Drawing</t>
        </is>
      </c>
      <c r="E1350" s="4" t="inlineStr">
        <is>
          <t>Antlerless White-tailed Deer</t>
        </is>
      </c>
      <c r="F1350" s="4" t="inlineStr">
        <is>
          <t>Sep 05-Oct 18</t>
        </is>
      </c>
      <c r="G1350" s="4" t="inlineStr">
        <is>
          <t>Oct 24-Nov 29</t>
        </is>
      </c>
      <c r="H1350" s="4" t="inlineStr">
        <is>
          <t>Dec 12-Dec 20</t>
        </is>
      </c>
      <c r="I1350" s="4" t="n"/>
      <c r="J1350" s="4" t="inlineStr">
        <is>
          <t>Jun 1</t>
        </is>
      </c>
      <c r="K1350" s="4" t="inlineStr">
        <is>
          <t>2,000</t>
        </is>
      </c>
      <c r="L1350" s="4" t="inlineStr">
        <is>
          <t>Up to two per hunter. Valid in all R6 HDs.</t>
        </is>
      </c>
    </row>
    <row r="1351">
      <c r="A1351" s="4" t="inlineStr">
        <is>
          <t>652</t>
        </is>
      </c>
      <c r="B1351" s="4" t="inlineStr">
        <is>
          <t>whitetail</t>
        </is>
      </c>
      <c r="C1351" s="4" t="inlineStr">
        <is>
          <t>General Deer License</t>
        </is>
      </c>
      <c r="D1351" s="13" t="inlineStr">
        <is>
          <t>General license</t>
        </is>
      </c>
      <c r="E1351" s="4" t="inlineStr">
        <is>
          <t>Either-sex White-tailed Deer</t>
        </is>
      </c>
      <c r="F1351" s="4" t="inlineStr">
        <is>
          <t>Sep 05-Oct 18</t>
        </is>
      </c>
      <c r="G1351" s="4" t="inlineStr">
        <is>
          <t>Oct 24-Nov 29</t>
        </is>
      </c>
      <c r="H1351" s="4" t="inlineStr">
        <is>
          <t>Dec 12-Dec 20</t>
        </is>
      </c>
      <c r="I1351" s="4" t="n"/>
      <c r="J1351" s="4" t="n"/>
      <c r="K1351" s="4" t="n"/>
      <c r="L1351" s="4" t="n"/>
    </row>
    <row r="1352">
      <c r="A1352" s="4" t="inlineStr">
        <is>
          <t>652</t>
        </is>
      </c>
      <c r="B1352" s="4" t="inlineStr">
        <is>
          <t>whitetail</t>
        </is>
      </c>
      <c r="C1352" s="4" t="inlineStr">
        <is>
          <t>Deer B License: 006-00</t>
        </is>
      </c>
      <c r="D1352" s="15" t="inlineStr">
        <is>
          <t>Drawing</t>
        </is>
      </c>
      <c r="E1352" s="4" t="inlineStr">
        <is>
          <t>Antlerless White-tailed Deer</t>
        </is>
      </c>
      <c r="F1352" s="4" t="inlineStr">
        <is>
          <t>Sep 05-Oct 18</t>
        </is>
      </c>
      <c r="G1352" s="4" t="inlineStr">
        <is>
          <t>Oct 24-Nov 29</t>
        </is>
      </c>
      <c r="H1352" s="4" t="inlineStr">
        <is>
          <t>Dec 12-Dec 20</t>
        </is>
      </c>
      <c r="I1352" s="4" t="n"/>
      <c r="J1352" s="4" t="inlineStr">
        <is>
          <t>Jun 1</t>
        </is>
      </c>
      <c r="K1352" s="4" t="inlineStr">
        <is>
          <t>2,000</t>
        </is>
      </c>
      <c r="L1352" s="4" t="inlineStr">
        <is>
          <t>Up to two per hunter. Valid in all R6 HDs.</t>
        </is>
      </c>
    </row>
    <row r="1353">
      <c r="A1353" s="4" t="inlineStr">
        <is>
          <t>670</t>
        </is>
      </c>
      <c r="B1353" s="4" t="inlineStr">
        <is>
          <t>whitetail</t>
        </is>
      </c>
      <c r="C1353" s="4" t="inlineStr">
        <is>
          <t>General Deer License</t>
        </is>
      </c>
      <c r="D1353" s="13" t="inlineStr">
        <is>
          <t>General license</t>
        </is>
      </c>
      <c r="E1353" s="4" t="inlineStr">
        <is>
          <t>Either-sex White-tailed Deer</t>
        </is>
      </c>
      <c r="F1353" s="4" t="inlineStr">
        <is>
          <t>Sep 05-Oct 18</t>
        </is>
      </c>
      <c r="G1353" s="4" t="inlineStr">
        <is>
          <t>Oct 24-Nov 29</t>
        </is>
      </c>
      <c r="H1353" s="4" t="inlineStr">
        <is>
          <t>Dec 12-Dec 20</t>
        </is>
      </c>
      <c r="I1353" s="4" t="n"/>
      <c r="J1353" s="4" t="n"/>
      <c r="K1353" s="4" t="n"/>
      <c r="L1353" s="4" t="n"/>
    </row>
    <row r="1354">
      <c r="A1354" s="4" t="inlineStr">
        <is>
          <t>670</t>
        </is>
      </c>
      <c r="B1354" s="4" t="inlineStr">
        <is>
          <t>whitetail</t>
        </is>
      </c>
      <c r="C1354" s="4" t="inlineStr">
        <is>
          <t>Deer B License: 006-00</t>
        </is>
      </c>
      <c r="D1354" s="15" t="inlineStr">
        <is>
          <t>Drawing</t>
        </is>
      </c>
      <c r="E1354" s="4" t="inlineStr">
        <is>
          <t>Antlerless White-tailed Deer</t>
        </is>
      </c>
      <c r="F1354" s="4" t="inlineStr">
        <is>
          <t>Sep 05-Oct 18</t>
        </is>
      </c>
      <c r="G1354" s="4" t="inlineStr">
        <is>
          <t>Oct 24-Nov 29</t>
        </is>
      </c>
      <c r="H1354" s="4" t="inlineStr">
        <is>
          <t>Dec 12-Dec 20</t>
        </is>
      </c>
      <c r="I1354" s="4" t="n"/>
      <c r="J1354" s="4" t="inlineStr">
        <is>
          <t>Jun 1</t>
        </is>
      </c>
      <c r="K1354" s="4" t="inlineStr">
        <is>
          <t>2,000</t>
        </is>
      </c>
      <c r="L1354" s="4" t="inlineStr">
        <is>
          <t>Up to two per hunter. Valid in all R6 HDs.</t>
        </is>
      </c>
    </row>
    <row r="1355">
      <c r="A1355" s="4" t="inlineStr">
        <is>
          <t>690</t>
        </is>
      </c>
      <c r="B1355" s="4" t="inlineStr">
        <is>
          <t>whitetail</t>
        </is>
      </c>
      <c r="C1355" s="4" t="inlineStr">
        <is>
          <t>General Deer License</t>
        </is>
      </c>
      <c r="D1355" s="13" t="inlineStr">
        <is>
          <t>General license</t>
        </is>
      </c>
      <c r="E1355" s="4" t="inlineStr">
        <is>
          <t>Either-sex White-tailed Deer</t>
        </is>
      </c>
      <c r="F1355" s="4" t="inlineStr">
        <is>
          <t>Sep 05-Oct 18</t>
        </is>
      </c>
      <c r="G1355" s="4" t="inlineStr">
        <is>
          <t>Oct 24-Nov 29</t>
        </is>
      </c>
      <c r="H1355" s="4" t="inlineStr">
        <is>
          <t>Dec 12-Dec 20</t>
        </is>
      </c>
      <c r="I1355" s="4" t="n"/>
      <c r="J1355" s="4" t="n"/>
      <c r="K1355" s="4" t="n"/>
      <c r="L1355" s="4" t="n"/>
    </row>
    <row r="1356">
      <c r="A1356" s="4" t="inlineStr">
        <is>
          <t>690</t>
        </is>
      </c>
      <c r="B1356" s="4" t="inlineStr">
        <is>
          <t>whitetail</t>
        </is>
      </c>
      <c r="C1356" s="4" t="inlineStr">
        <is>
          <t>Deer B License: 006-00</t>
        </is>
      </c>
      <c r="D1356" s="15" t="inlineStr">
        <is>
          <t>Drawing</t>
        </is>
      </c>
      <c r="E1356" s="4" t="inlineStr">
        <is>
          <t>Antlerless White-tailed Deer</t>
        </is>
      </c>
      <c r="F1356" s="4" t="inlineStr">
        <is>
          <t>Sep 05-Oct 18</t>
        </is>
      </c>
      <c r="G1356" s="4" t="inlineStr">
        <is>
          <t>Oct 24-Nov 29</t>
        </is>
      </c>
      <c r="H1356" s="4" t="inlineStr">
        <is>
          <t>Dec 12-Dec 20</t>
        </is>
      </c>
      <c r="I1356" s="4" t="n"/>
      <c r="J1356" s="4" t="inlineStr">
        <is>
          <t>Jun 1</t>
        </is>
      </c>
      <c r="K1356" s="4" t="inlineStr">
        <is>
          <t>2,000</t>
        </is>
      </c>
      <c r="L1356" s="4" t="inlineStr">
        <is>
          <t>Up to two per hunter. Valid in all R6 HDs.</t>
        </is>
      </c>
    </row>
    <row r="1357">
      <c r="A1357" s="4" t="inlineStr">
        <is>
          <t>700</t>
        </is>
      </c>
      <c r="B1357" s="4" t="inlineStr">
        <is>
          <t>whitetail</t>
        </is>
      </c>
      <c r="C1357" s="4" t="inlineStr">
        <is>
          <t>General Deer License</t>
        </is>
      </c>
      <c r="D1357" s="13" t="inlineStr">
        <is>
          <t>General license</t>
        </is>
      </c>
      <c r="E1357" s="4" t="inlineStr">
        <is>
          <t>Either-sex White-tailed Deer</t>
        </is>
      </c>
      <c r="F1357" s="4" t="inlineStr">
        <is>
          <t>Sep 05-Oct 18</t>
        </is>
      </c>
      <c r="G1357" s="4" t="inlineStr">
        <is>
          <t>Oct 24-Nov 29</t>
        </is>
      </c>
      <c r="H1357" s="4" t="inlineStr">
        <is>
          <t>Dec 12-Dec 20</t>
        </is>
      </c>
      <c r="I1357" s="4" t="n"/>
      <c r="J1357" s="4" t="n"/>
      <c r="K1357" s="4" t="n"/>
      <c r="L1357" s="4" t="n"/>
    </row>
    <row r="1358">
      <c r="A1358" s="4" t="inlineStr">
        <is>
          <t>700</t>
        </is>
      </c>
      <c r="B1358" s="4" t="inlineStr">
        <is>
          <t>whitetail</t>
        </is>
      </c>
      <c r="C1358" s="4" t="inlineStr">
        <is>
          <t>Deer B License: 007-00</t>
        </is>
      </c>
      <c r="D1358" s="15" t="inlineStr">
        <is>
          <t>Drawing</t>
        </is>
      </c>
      <c r="E1358" s="4" t="inlineStr">
        <is>
          <t>Antlerless White-tailed Deer</t>
        </is>
      </c>
      <c r="F1358" s="4" t="inlineStr">
        <is>
          <t>Sep 05-Oct 18</t>
        </is>
      </c>
      <c r="G1358" s="4" t="inlineStr">
        <is>
          <t>Oct 24-Nov 29</t>
        </is>
      </c>
      <c r="H1358" s="4" t="inlineStr">
        <is>
          <t>Dec 12-Dec 20</t>
        </is>
      </c>
      <c r="I1358" s="4" t="n"/>
      <c r="J1358" s="4" t="inlineStr">
        <is>
          <t>Jun 1</t>
        </is>
      </c>
      <c r="K1358" s="4" t="inlineStr">
        <is>
          <t>6,000</t>
        </is>
      </c>
      <c r="L1358" s="4" t="inlineStr">
        <is>
          <t>Valid in all Region 7 HDs.</t>
        </is>
      </c>
    </row>
    <row r="1359">
      <c r="A1359" s="4" t="inlineStr">
        <is>
          <t>701</t>
        </is>
      </c>
      <c r="B1359" s="4" t="inlineStr">
        <is>
          <t>whitetail</t>
        </is>
      </c>
      <c r="C1359" s="4" t="inlineStr">
        <is>
          <t>General Deer License</t>
        </is>
      </c>
      <c r="D1359" s="13" t="inlineStr">
        <is>
          <t>General license</t>
        </is>
      </c>
      <c r="E1359" s="4" t="inlineStr">
        <is>
          <t>Either-sex White-tailed Deer</t>
        </is>
      </c>
      <c r="F1359" s="4" t="inlineStr">
        <is>
          <t>Sep 05-Oct 18</t>
        </is>
      </c>
      <c r="G1359" s="4" t="inlineStr">
        <is>
          <t>Oct 24-Nov 29</t>
        </is>
      </c>
      <c r="H1359" s="4" t="inlineStr">
        <is>
          <t>Dec 12-Dec 20</t>
        </is>
      </c>
      <c r="I1359" s="4" t="n"/>
      <c r="J1359" s="4" t="n"/>
      <c r="K1359" s="4" t="n"/>
      <c r="L1359" s="4" t="n"/>
    </row>
    <row r="1360">
      <c r="A1360" s="4" t="inlineStr">
        <is>
          <t>701</t>
        </is>
      </c>
      <c r="B1360" s="4" t="inlineStr">
        <is>
          <t>whitetail</t>
        </is>
      </c>
      <c r="C1360" s="4" t="inlineStr">
        <is>
          <t>Deer B License: 007-00</t>
        </is>
      </c>
      <c r="D1360" s="15" t="inlineStr">
        <is>
          <t>Drawing</t>
        </is>
      </c>
      <c r="E1360" s="4" t="inlineStr">
        <is>
          <t>Antlerless White-tailed Deer</t>
        </is>
      </c>
      <c r="F1360" s="4" t="inlineStr">
        <is>
          <t>Sep 05-Oct 18</t>
        </is>
      </c>
      <c r="G1360" s="4" t="inlineStr">
        <is>
          <t>Oct 24-Nov 29</t>
        </is>
      </c>
      <c r="H1360" s="4" t="inlineStr">
        <is>
          <t>Dec 12-Dec 20</t>
        </is>
      </c>
      <c r="I1360" s="4" t="n"/>
      <c r="J1360" s="4" t="inlineStr">
        <is>
          <t>Jun 1</t>
        </is>
      </c>
      <c r="K1360" s="4" t="inlineStr">
        <is>
          <t>6,000</t>
        </is>
      </c>
      <c r="L1360" s="4" t="inlineStr">
        <is>
          <t>Valid in all Region 7 HDs.</t>
        </is>
      </c>
    </row>
    <row r="1361">
      <c r="A1361" s="4" t="inlineStr">
        <is>
          <t>702</t>
        </is>
      </c>
      <c r="B1361" s="4" t="inlineStr">
        <is>
          <t>whitetail</t>
        </is>
      </c>
      <c r="C1361" s="4" t="inlineStr">
        <is>
          <t>General Deer License</t>
        </is>
      </c>
      <c r="D1361" s="13" t="inlineStr">
        <is>
          <t>General license</t>
        </is>
      </c>
      <c r="E1361" s="4" t="inlineStr">
        <is>
          <t>Either-sex White-tailed Deer</t>
        </is>
      </c>
      <c r="F1361" s="4" t="inlineStr">
        <is>
          <t>Sep 05-Oct 18</t>
        </is>
      </c>
      <c r="G1361" s="4" t="inlineStr">
        <is>
          <t>Oct 24-Nov 29</t>
        </is>
      </c>
      <c r="H1361" s="4" t="inlineStr">
        <is>
          <t>Dec 12-Dec 20</t>
        </is>
      </c>
      <c r="I1361" s="4" t="n"/>
      <c r="J1361" s="4" t="n"/>
      <c r="K1361" s="4" t="n"/>
      <c r="L1361" s="4" t="n"/>
    </row>
    <row r="1362">
      <c r="A1362" s="4" t="inlineStr">
        <is>
          <t>702</t>
        </is>
      </c>
      <c r="B1362" s="4" t="inlineStr">
        <is>
          <t>whitetail</t>
        </is>
      </c>
      <c r="C1362" s="4" t="inlineStr">
        <is>
          <t>Deer B License: 007-00</t>
        </is>
      </c>
      <c r="D1362" s="15" t="inlineStr">
        <is>
          <t>Drawing</t>
        </is>
      </c>
      <c r="E1362" s="4" t="inlineStr">
        <is>
          <t>Antlerless White-tailed Deer</t>
        </is>
      </c>
      <c r="F1362" s="4" t="inlineStr">
        <is>
          <t>Sep 05-Oct 18</t>
        </is>
      </c>
      <c r="G1362" s="4" t="inlineStr">
        <is>
          <t>Oct 24-Nov 29</t>
        </is>
      </c>
      <c r="H1362" s="4" t="inlineStr">
        <is>
          <t>Dec 12-Dec 20</t>
        </is>
      </c>
      <c r="I1362" s="4" t="n"/>
      <c r="J1362" s="4" t="inlineStr">
        <is>
          <t>Jun 1</t>
        </is>
      </c>
      <c r="K1362" s="4" t="inlineStr">
        <is>
          <t>6,000</t>
        </is>
      </c>
      <c r="L1362" s="4" t="inlineStr">
        <is>
          <t>Valid in all Region 7 HDs.</t>
        </is>
      </c>
    </row>
    <row r="1363">
      <c r="A1363" s="4" t="inlineStr">
        <is>
          <t>703</t>
        </is>
      </c>
      <c r="B1363" s="4" t="inlineStr">
        <is>
          <t>whitetail</t>
        </is>
      </c>
      <c r="C1363" s="4" t="inlineStr">
        <is>
          <t>General Deer License</t>
        </is>
      </c>
      <c r="D1363" s="13" t="inlineStr">
        <is>
          <t>General license</t>
        </is>
      </c>
      <c r="E1363" s="4" t="inlineStr">
        <is>
          <t>Either-sex White-tailed Deer</t>
        </is>
      </c>
      <c r="F1363" s="4" t="inlineStr">
        <is>
          <t>Sep 05-Oct 18</t>
        </is>
      </c>
      <c r="G1363" s="4" t="inlineStr">
        <is>
          <t>Oct 24-Nov 29</t>
        </is>
      </c>
      <c r="H1363" s="4" t="inlineStr">
        <is>
          <t>Dec 12-Dec 20</t>
        </is>
      </c>
      <c r="I1363" s="4" t="n"/>
      <c r="J1363" s="4" t="n"/>
      <c r="K1363" s="4" t="n"/>
      <c r="L1363" s="4" t="n"/>
    </row>
    <row r="1364">
      <c r="A1364" s="4" t="inlineStr">
        <is>
          <t>703</t>
        </is>
      </c>
      <c r="B1364" s="4" t="inlineStr">
        <is>
          <t>whitetail</t>
        </is>
      </c>
      <c r="C1364" s="4" t="inlineStr">
        <is>
          <t>Deer B License: 007-00</t>
        </is>
      </c>
      <c r="D1364" s="15" t="inlineStr">
        <is>
          <t>Drawing</t>
        </is>
      </c>
      <c r="E1364" s="4" t="inlineStr">
        <is>
          <t>Antlerless White-tailed Deer</t>
        </is>
      </c>
      <c r="F1364" s="4" t="inlineStr">
        <is>
          <t>Sep 05-Oct 18</t>
        </is>
      </c>
      <c r="G1364" s="4" t="inlineStr">
        <is>
          <t>Oct 24-Nov 29</t>
        </is>
      </c>
      <c r="H1364" s="4" t="inlineStr">
        <is>
          <t>Dec 12-Dec 20</t>
        </is>
      </c>
      <c r="I1364" s="4" t="n"/>
      <c r="J1364" s="4" t="inlineStr">
        <is>
          <t>Jun 1</t>
        </is>
      </c>
      <c r="K1364" s="4" t="inlineStr">
        <is>
          <t>6,000</t>
        </is>
      </c>
      <c r="L1364" s="4" t="inlineStr">
        <is>
          <t>Valid in all Region 7 HDs.</t>
        </is>
      </c>
    </row>
    <row r="1365">
      <c r="A1365" s="4" t="inlineStr">
        <is>
          <t>704</t>
        </is>
      </c>
      <c r="B1365" s="4" t="inlineStr">
        <is>
          <t>whitetail</t>
        </is>
      </c>
      <c r="C1365" s="4" t="inlineStr">
        <is>
          <t>General Deer License</t>
        </is>
      </c>
      <c r="D1365" s="13" t="inlineStr">
        <is>
          <t>General license</t>
        </is>
      </c>
      <c r="E1365" s="4" t="inlineStr">
        <is>
          <t>Either-sex White-tailed Deer</t>
        </is>
      </c>
      <c r="F1365" s="4" t="inlineStr">
        <is>
          <t>Sep 05-Oct 18</t>
        </is>
      </c>
      <c r="G1365" s="4" t="inlineStr">
        <is>
          <t>Oct 24-Nov 29</t>
        </is>
      </c>
      <c r="H1365" s="4" t="inlineStr">
        <is>
          <t>Dec 12-Dec 20</t>
        </is>
      </c>
      <c r="I1365" s="4" t="n"/>
      <c r="J1365" s="4" t="n"/>
      <c r="K1365" s="4" t="n"/>
      <c r="L1365" s="4" t="n"/>
    </row>
    <row r="1366">
      <c r="A1366" s="4" t="inlineStr">
        <is>
          <t>704</t>
        </is>
      </c>
      <c r="B1366" s="4" t="inlineStr">
        <is>
          <t>whitetail</t>
        </is>
      </c>
      <c r="C1366" s="4" t="inlineStr">
        <is>
          <t>Deer B License: 007-00</t>
        </is>
      </c>
      <c r="D1366" s="15" t="inlineStr">
        <is>
          <t>Drawing</t>
        </is>
      </c>
      <c r="E1366" s="4" t="inlineStr">
        <is>
          <t>Antlerless White-tailed Deer</t>
        </is>
      </c>
      <c r="F1366" s="4" t="inlineStr">
        <is>
          <t>Sep 05-Oct 18</t>
        </is>
      </c>
      <c r="G1366" s="4" t="inlineStr">
        <is>
          <t>Oct 24-Nov 29</t>
        </is>
      </c>
      <c r="H1366" s="4" t="inlineStr">
        <is>
          <t>Dec 12-Dec 20</t>
        </is>
      </c>
      <c r="I1366" s="4" t="n"/>
      <c r="J1366" s="4" t="inlineStr">
        <is>
          <t>Jun 1</t>
        </is>
      </c>
      <c r="K1366" s="4" t="inlineStr">
        <is>
          <t>6,000</t>
        </is>
      </c>
      <c r="L1366" s="4" t="inlineStr">
        <is>
          <t>Valid in all Region 7 HDs.</t>
        </is>
      </c>
    </row>
    <row r="1367">
      <c r="A1367" s="4" t="inlineStr">
        <is>
          <t>705</t>
        </is>
      </c>
      <c r="B1367" s="4" t="inlineStr">
        <is>
          <t>whitetail</t>
        </is>
      </c>
      <c r="C1367" s="4" t="inlineStr">
        <is>
          <t>General Deer License</t>
        </is>
      </c>
      <c r="D1367" s="13" t="inlineStr">
        <is>
          <t>General license</t>
        </is>
      </c>
      <c r="E1367" s="4" t="inlineStr">
        <is>
          <t>Either-sex White-tailed Deer</t>
        </is>
      </c>
      <c r="F1367" s="4" t="inlineStr">
        <is>
          <t>Sep 05-Oct 18</t>
        </is>
      </c>
      <c r="G1367" s="4" t="inlineStr">
        <is>
          <t>Oct 24-Nov 29</t>
        </is>
      </c>
      <c r="H1367" s="4" t="inlineStr">
        <is>
          <t>Dec 12-Dec 20</t>
        </is>
      </c>
      <c r="I1367" s="4" t="n"/>
      <c r="J1367" s="4" t="n"/>
      <c r="K1367" s="4" t="n"/>
      <c r="L1367" s="4" t="n"/>
    </row>
    <row r="1368">
      <c r="A1368" s="4" t="inlineStr">
        <is>
          <t>705</t>
        </is>
      </c>
      <c r="B1368" s="4" t="inlineStr">
        <is>
          <t>whitetail</t>
        </is>
      </c>
      <c r="C1368" s="4" t="inlineStr">
        <is>
          <t>Deer B License: 007-00</t>
        </is>
      </c>
      <c r="D1368" s="15" t="inlineStr">
        <is>
          <t>Drawing</t>
        </is>
      </c>
      <c r="E1368" s="4" t="inlineStr">
        <is>
          <t>Antlerless White-tailed Deer</t>
        </is>
      </c>
      <c r="F1368" s="4" t="inlineStr">
        <is>
          <t>Sep 05-Oct 18</t>
        </is>
      </c>
      <c r="G1368" s="4" t="inlineStr">
        <is>
          <t>Oct 24-Nov 29</t>
        </is>
      </c>
      <c r="H1368" s="4" t="inlineStr">
        <is>
          <t>Dec 12-Dec 20</t>
        </is>
      </c>
      <c r="I1368" s="4" t="n"/>
      <c r="J1368" s="4" t="inlineStr">
        <is>
          <t>Jun 1</t>
        </is>
      </c>
      <c r="K1368" s="4" t="inlineStr">
        <is>
          <t>6,000</t>
        </is>
      </c>
      <c r="L1368" s="4" t="inlineStr">
        <is>
          <t>Valid in all Region 7 HDs.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6" customWidth="1" min="1" max="1"/>
    <col width="10" customWidth="1" min="2" max="2"/>
    <col width="12" customWidth="1" min="3" max="3"/>
    <col width="15" customWidth="1" min="4" max="4"/>
    <col width="15" customWidth="1" min="5" max="5"/>
    <col width="13" customWidth="1" min="6" max="6"/>
    <col width="12" customWidth="1" min="7" max="7"/>
  </cols>
  <sheetData>
    <row r="1">
      <c r="A1" s="1" t="inlineStr">
        <is>
          <t>Black bear harvest 2026, season so far</t>
        </is>
      </c>
    </row>
    <row r="2">
      <c r="A2" s="2" t="inlineStr">
        <is>
          <t>From FWP's quota status page, updated Oct 22, 2026 11:14 AM. FWP doesn't publish multi-year bear harvest by district.</t>
        </is>
      </c>
    </row>
    <row r="4">
      <c r="A4" s="3" t="inlineStr">
        <is>
          <t>BMU</t>
        </is>
      </c>
      <c r="B4" s="3" t="inlineStr">
        <is>
          <t>Status</t>
        </is>
      </c>
      <c r="C4" s="3" t="inlineStr">
        <is>
          <t>Closed on</t>
        </is>
      </c>
      <c r="D4" s="3" t="inlineStr">
        <is>
          <t>Bears reported</t>
        </is>
      </c>
      <c r="E4" s="3" t="inlineStr">
        <is>
          <t>Female harvest</t>
        </is>
      </c>
      <c r="F4" s="3" t="inlineStr">
        <is>
          <t>Female quota</t>
        </is>
      </c>
      <c r="G4" s="3" t="inlineStr">
        <is>
          <t>Total quota</t>
        </is>
      </c>
    </row>
    <row r="5">
      <c r="A5" s="4" t="inlineStr">
        <is>
          <t>100</t>
        </is>
      </c>
      <c r="B5" s="13" t="inlineStr">
        <is>
          <t>OPEN</t>
        </is>
      </c>
      <c r="C5" s="4" t="n"/>
      <c r="D5" s="4" t="n">
        <v>17</v>
      </c>
      <c r="E5" s="4" t="n"/>
      <c r="F5" s="4" t="n"/>
      <c r="G5" s="4" t="n"/>
    </row>
    <row r="6">
      <c r="A6" s="4" t="inlineStr">
        <is>
          <t>101</t>
        </is>
      </c>
      <c r="B6" s="13" t="inlineStr">
        <is>
          <t>OPEN</t>
        </is>
      </c>
      <c r="C6" s="4" t="n"/>
      <c r="D6" s="4" t="n">
        <v>9</v>
      </c>
      <c r="E6" s="4" t="n"/>
      <c r="F6" s="4" t="n"/>
      <c r="G6" s="4" t="n"/>
    </row>
    <row r="7">
      <c r="A7" s="4" t="inlineStr">
        <is>
          <t>103</t>
        </is>
      </c>
      <c r="B7" s="13" t="inlineStr">
        <is>
          <t>OPEN</t>
        </is>
      </c>
      <c r="C7" s="4" t="n"/>
      <c r="D7" s="4" t="n">
        <v>22</v>
      </c>
      <c r="E7" s="4" t="n"/>
      <c r="F7" s="4" t="n"/>
      <c r="G7" s="4" t="n"/>
    </row>
    <row r="8">
      <c r="A8" s="4" t="inlineStr">
        <is>
          <t>104</t>
        </is>
      </c>
      <c r="B8" s="13" t="inlineStr">
        <is>
          <t>OPEN</t>
        </is>
      </c>
      <c r="C8" s="4" t="n"/>
      <c r="D8" s="4" t="n">
        <v>15</v>
      </c>
      <c r="E8" s="4" t="n"/>
      <c r="F8" s="4" t="n"/>
      <c r="G8" s="4" t="n"/>
    </row>
    <row r="9">
      <c r="A9" s="4" t="inlineStr">
        <is>
          <t>110</t>
        </is>
      </c>
      <c r="B9" s="13" t="inlineStr">
        <is>
          <t>OPEN</t>
        </is>
      </c>
      <c r="C9" s="4" t="n"/>
      <c r="D9" s="4" t="n">
        <v>4</v>
      </c>
      <c r="E9" s="4" t="n"/>
      <c r="F9" s="4" t="n"/>
      <c r="G9" s="4" t="n"/>
    </row>
    <row r="10">
      <c r="A10" s="4" t="inlineStr">
        <is>
          <t>120</t>
        </is>
      </c>
      <c r="B10" s="13" t="inlineStr">
        <is>
          <t>OPEN</t>
        </is>
      </c>
      <c r="C10" s="4" t="n"/>
      <c r="D10" s="4" t="n">
        <v>17</v>
      </c>
      <c r="E10" s="4" t="n"/>
      <c r="F10" s="4" t="n"/>
      <c r="G10" s="4" t="n"/>
    </row>
    <row r="11">
      <c r="A11" s="4" t="inlineStr">
        <is>
          <t>121</t>
        </is>
      </c>
      <c r="B11" s="13" t="inlineStr">
        <is>
          <t>OPEN</t>
        </is>
      </c>
      <c r="C11" s="4" t="n"/>
      <c r="D11" s="4" t="n">
        <v>25</v>
      </c>
      <c r="E11" s="4" t="n"/>
      <c r="F11" s="4" t="n"/>
      <c r="G11" s="4" t="n"/>
    </row>
    <row r="12">
      <c r="A12" s="4" t="inlineStr">
        <is>
          <t>122</t>
        </is>
      </c>
      <c r="B12" s="13" t="inlineStr">
        <is>
          <t>OPEN</t>
        </is>
      </c>
      <c r="C12" s="4" t="n"/>
      <c r="D12" s="4" t="n">
        <v>27</v>
      </c>
      <c r="E12" s="4" t="n"/>
      <c r="F12" s="4" t="n"/>
      <c r="G12" s="4" t="n"/>
    </row>
    <row r="13">
      <c r="A13" s="4" t="inlineStr">
        <is>
          <t>123</t>
        </is>
      </c>
      <c r="B13" s="13" t="inlineStr">
        <is>
          <t>OPEN</t>
        </is>
      </c>
      <c r="C13" s="4" t="n"/>
      <c r="D13" s="4" t="n">
        <v>12</v>
      </c>
      <c r="E13" s="4" t="n"/>
      <c r="F13" s="4" t="n"/>
      <c r="G13" s="4" t="n"/>
    </row>
    <row r="14">
      <c r="A14" s="4" t="inlineStr">
        <is>
          <t>130</t>
        </is>
      </c>
      <c r="B14" s="13" t="inlineStr">
        <is>
          <t>OPEN</t>
        </is>
      </c>
      <c r="C14" s="4" t="n"/>
      <c r="D14" s="4" t="n">
        <v>12</v>
      </c>
      <c r="E14" s="4" t="n"/>
      <c r="F14" s="4" t="n"/>
      <c r="G14" s="4" t="n"/>
    </row>
    <row r="15">
      <c r="A15" s="4" t="inlineStr">
        <is>
          <t>140</t>
        </is>
      </c>
      <c r="B15" s="13" t="inlineStr">
        <is>
          <t>OPEN</t>
        </is>
      </c>
      <c r="C15" s="4" t="n"/>
      <c r="D15" s="4" t="n">
        <v>6</v>
      </c>
      <c r="E15" s="4" t="n"/>
      <c r="F15" s="4" t="n"/>
      <c r="G15" s="4" t="n"/>
    </row>
    <row r="16">
      <c r="A16" s="4" t="inlineStr">
        <is>
          <t>141</t>
        </is>
      </c>
      <c r="B16" s="13" t="inlineStr">
        <is>
          <t>OPEN</t>
        </is>
      </c>
      <c r="C16" s="4" t="n"/>
      <c r="D16" s="4" t="n">
        <v>4</v>
      </c>
      <c r="E16" s="4" t="n"/>
      <c r="F16" s="4" t="n"/>
      <c r="G16" s="4" t="n"/>
    </row>
    <row r="17">
      <c r="A17" s="4" t="inlineStr">
        <is>
          <t>150</t>
        </is>
      </c>
      <c r="B17" s="13" t="inlineStr">
        <is>
          <t>OPEN</t>
        </is>
      </c>
      <c r="C17" s="4" t="n"/>
      <c r="D17" s="4" t="n">
        <v>3</v>
      </c>
      <c r="E17" s="4" t="n"/>
      <c r="F17" s="4" t="n"/>
      <c r="G17" s="4" t="n"/>
    </row>
    <row r="18">
      <c r="A18" s="4" t="inlineStr">
        <is>
          <t>170</t>
        </is>
      </c>
      <c r="B18" s="13" t="inlineStr">
        <is>
          <t>OPEN</t>
        </is>
      </c>
      <c r="C18" s="4" t="n"/>
      <c r="D18" s="4" t="n">
        <v>14</v>
      </c>
      <c r="E18" s="4" t="n"/>
      <c r="F18" s="4" t="n"/>
      <c r="G18" s="4" t="n"/>
    </row>
    <row r="19">
      <c r="A19" s="4" t="inlineStr">
        <is>
          <t>200</t>
        </is>
      </c>
      <c r="B19" s="13" t="inlineStr">
        <is>
          <t>OPEN</t>
        </is>
      </c>
      <c r="C19" s="4" t="n"/>
      <c r="D19" s="4" t="n">
        <v>29</v>
      </c>
      <c r="E19" s="4" t="n"/>
      <c r="F19" s="4" t="n"/>
      <c r="G19" s="4" t="n"/>
    </row>
    <row r="20">
      <c r="A20" s="4" t="inlineStr">
        <is>
          <t>216</t>
        </is>
      </c>
      <c r="B20" s="13" t="inlineStr">
        <is>
          <t>OPEN</t>
        </is>
      </c>
      <c r="C20" s="4" t="n"/>
      <c r="D20" s="4" t="n">
        <v>29</v>
      </c>
      <c r="E20" s="4" t="n"/>
      <c r="F20" s="4" t="n"/>
      <c r="G20" s="4" t="n"/>
    </row>
    <row r="21">
      <c r="A21" s="4" t="inlineStr">
        <is>
          <t>240</t>
        </is>
      </c>
      <c r="B21" s="13" t="inlineStr">
        <is>
          <t>OPEN</t>
        </is>
      </c>
      <c r="C21" s="4" t="n"/>
      <c r="D21" s="4" t="n">
        <v>9</v>
      </c>
      <c r="E21" s="4" t="n"/>
      <c r="F21" s="4" t="n"/>
      <c r="G21" s="4" t="n"/>
    </row>
    <row r="22">
      <c r="A22" s="4" t="inlineStr">
        <is>
          <t>280</t>
        </is>
      </c>
      <c r="B22" s="13" t="inlineStr">
        <is>
          <t>OPEN</t>
        </is>
      </c>
      <c r="C22" s="4" t="n"/>
      <c r="D22" s="4" t="n">
        <v>12</v>
      </c>
      <c r="E22" s="4" t="n"/>
      <c r="F22" s="4" t="n"/>
      <c r="G22" s="4" t="n"/>
    </row>
    <row r="23">
      <c r="A23" s="4" t="inlineStr">
        <is>
          <t>290</t>
        </is>
      </c>
      <c r="B23" s="13" t="inlineStr">
        <is>
          <t>OPEN</t>
        </is>
      </c>
      <c r="C23" s="4" t="n"/>
      <c r="D23" s="4" t="n">
        <v>29</v>
      </c>
      <c r="E23" s="4" t="n"/>
      <c r="F23" s="4" t="n"/>
      <c r="G23" s="4" t="n"/>
    </row>
    <row r="24">
      <c r="A24" s="4" t="inlineStr">
        <is>
          <t>300</t>
        </is>
      </c>
      <c r="B24" s="13" t="inlineStr">
        <is>
          <t>OPEN</t>
        </is>
      </c>
      <c r="C24" s="4" t="n"/>
      <c r="D24" s="4" t="n">
        <v>3</v>
      </c>
      <c r="E24" s="4" t="n"/>
      <c r="F24" s="4" t="n"/>
      <c r="G24" s="4" t="n"/>
    </row>
    <row r="25">
      <c r="A25" s="4" t="inlineStr">
        <is>
          <t>301</t>
        </is>
      </c>
      <c r="B25" s="13" t="inlineStr">
        <is>
          <t>OPEN</t>
        </is>
      </c>
      <c r="C25" s="4" t="n"/>
      <c r="D25" s="4" t="n">
        <v>11</v>
      </c>
      <c r="E25" s="4" t="n"/>
      <c r="F25" s="4" t="n"/>
      <c r="G25" s="4" t="n"/>
    </row>
    <row r="26">
      <c r="A26" s="4" t="inlineStr">
        <is>
          <t>309</t>
        </is>
      </c>
      <c r="B26" s="13" t="inlineStr">
        <is>
          <t>OPEN</t>
        </is>
      </c>
      <c r="C26" s="4" t="n"/>
      <c r="D26" s="4" t="n">
        <v>6</v>
      </c>
      <c r="E26" s="4" t="n"/>
      <c r="F26" s="4" t="n"/>
      <c r="G26" s="4" t="n"/>
    </row>
    <row r="27">
      <c r="A27" s="4" t="inlineStr">
        <is>
          <t>316</t>
        </is>
      </c>
      <c r="B27" s="13" t="inlineStr">
        <is>
          <t>OPEN</t>
        </is>
      </c>
      <c r="C27" s="4" t="n"/>
      <c r="D27" s="4" t="n">
        <v>19</v>
      </c>
      <c r="E27" s="4" t="n"/>
      <c r="F27" s="4" t="n"/>
      <c r="G27" s="4" t="n"/>
    </row>
    <row r="28">
      <c r="A28" s="4" t="inlineStr">
        <is>
          <t>317</t>
        </is>
      </c>
      <c r="B28" s="13" t="inlineStr">
        <is>
          <t>OPEN</t>
        </is>
      </c>
      <c r="C28" s="4" t="n"/>
      <c r="D28" s="4" t="n">
        <v>17</v>
      </c>
      <c r="E28" s="4" t="n"/>
      <c r="F28" s="4" t="n"/>
      <c r="G28" s="4" t="n"/>
    </row>
    <row r="29">
      <c r="A29" s="4" t="inlineStr">
        <is>
          <t>319</t>
        </is>
      </c>
      <c r="B29" s="13" t="inlineStr">
        <is>
          <t>OPEN</t>
        </is>
      </c>
      <c r="C29" s="4" t="n"/>
      <c r="D29" s="4" t="n">
        <v>47</v>
      </c>
      <c r="E29" s="4" t="n"/>
      <c r="F29" s="4" t="n"/>
      <c r="G29" s="4" t="n"/>
    </row>
    <row r="30">
      <c r="A30" s="4" t="inlineStr">
        <is>
          <t>341</t>
        </is>
      </c>
      <c r="B30" s="13" t="inlineStr">
        <is>
          <t>OPEN</t>
        </is>
      </c>
      <c r="C30" s="4" t="n"/>
      <c r="D30" s="4" t="n">
        <v>30</v>
      </c>
      <c r="E30" s="4" t="n"/>
      <c r="F30" s="4" t="n"/>
      <c r="G30" s="4" t="n"/>
    </row>
    <row r="31">
      <c r="A31" s="4" t="inlineStr">
        <is>
          <t>411</t>
        </is>
      </c>
      <c r="B31" s="15" t="inlineStr">
        <is>
          <t>CLOSED</t>
        </is>
      </c>
      <c r="C31" s="4" t="n"/>
      <c r="D31" s="4" t="n">
        <v>11</v>
      </c>
      <c r="E31" s="4" t="n">
        <v>5</v>
      </c>
      <c r="F31" s="4" t="n">
        <v>4</v>
      </c>
      <c r="G31" s="4" t="n"/>
    </row>
    <row r="32">
      <c r="A32" s="4" t="inlineStr">
        <is>
          <t>420</t>
        </is>
      </c>
      <c r="B32" s="13" t="inlineStr">
        <is>
          <t>OPEN</t>
        </is>
      </c>
      <c r="C32" s="4" t="n"/>
      <c r="D32" s="4" t="n">
        <v>38</v>
      </c>
      <c r="E32" s="4" t="n">
        <v>9</v>
      </c>
      <c r="F32" s="4" t="n">
        <v>10</v>
      </c>
      <c r="G32" s="4" t="n"/>
    </row>
    <row r="33">
      <c r="A33" s="4" t="inlineStr">
        <is>
          <t>440</t>
        </is>
      </c>
      <c r="B33" s="13" t="inlineStr">
        <is>
          <t>OPEN</t>
        </is>
      </c>
      <c r="C33" s="4" t="n"/>
      <c r="D33" s="4" t="n">
        <v>16</v>
      </c>
      <c r="E33" s="4" t="n">
        <v>5</v>
      </c>
      <c r="F33" s="4" t="n">
        <v>6</v>
      </c>
      <c r="G33" s="4" t="n"/>
    </row>
    <row r="34">
      <c r="A34" s="4" t="inlineStr">
        <is>
          <t>450</t>
        </is>
      </c>
      <c r="B34" s="13" t="inlineStr">
        <is>
          <t>OPEN</t>
        </is>
      </c>
      <c r="C34" s="4" t="n"/>
      <c r="D34" s="4" t="n">
        <v>21</v>
      </c>
      <c r="E34" s="4" t="n">
        <v>7</v>
      </c>
      <c r="F34" s="4" t="n">
        <v>14</v>
      </c>
      <c r="G34" s="4" t="n"/>
    </row>
    <row r="35">
      <c r="A35" s="4" t="inlineStr">
        <is>
          <t>510</t>
        </is>
      </c>
      <c r="B35" s="15" t="inlineStr">
        <is>
          <t>CLOSED</t>
        </is>
      </c>
      <c r="C35" s="4" t="n"/>
      <c r="D35" s="4" t="n">
        <v>7</v>
      </c>
      <c r="E35" s="4" t="n">
        <v>2</v>
      </c>
      <c r="F35" s="4" t="n">
        <v>2</v>
      </c>
      <c r="G35" s="4" t="n"/>
    </row>
    <row r="36">
      <c r="A36" s="4" t="inlineStr">
        <is>
          <t>520</t>
        </is>
      </c>
      <c r="B36" s="15" t="inlineStr">
        <is>
          <t>CLOSED</t>
        </is>
      </c>
      <c r="C36" s="4" t="n"/>
      <c r="D36" s="4" t="n">
        <v>30</v>
      </c>
      <c r="E36" s="4" t="n">
        <v>15</v>
      </c>
      <c r="F36" s="4" t="n">
        <v>10</v>
      </c>
      <c r="G36" s="4" t="n"/>
    </row>
    <row r="37">
      <c r="A37" s="4" t="inlineStr">
        <is>
          <t>580</t>
        </is>
      </c>
      <c r="B37" s="13" t="inlineStr">
        <is>
          <t>OPEN</t>
        </is>
      </c>
      <c r="C37" s="4" t="n"/>
      <c r="D37" s="4" t="n">
        <v>37</v>
      </c>
      <c r="E37" s="4" t="n"/>
      <c r="F37" s="4" t="n"/>
      <c r="G37" s="4" t="n"/>
    </row>
    <row r="38">
      <c r="A38" s="4" t="inlineStr">
        <is>
          <t>600</t>
        </is>
      </c>
      <c r="B38" s="13" t="inlineStr">
        <is>
          <t>OPEN</t>
        </is>
      </c>
      <c r="C38" s="4" t="n"/>
      <c r="D38" s="4" t="n">
        <v>0</v>
      </c>
      <c r="E38" s="4" t="n"/>
      <c r="F38" s="4" t="n"/>
      <c r="G38" s="4" t="n">
        <v>4</v>
      </c>
    </row>
    <row r="39">
      <c r="A39" s="4" t="inlineStr">
        <is>
          <t>700 (no hounds)</t>
        </is>
      </c>
      <c r="B39" s="15" t="inlineStr">
        <is>
          <t>CLOSED</t>
        </is>
      </c>
      <c r="C39" s="4" t="n"/>
      <c r="D39" s="4" t="n">
        <v>19</v>
      </c>
      <c r="E39" s="4" t="n"/>
      <c r="F39" s="4" t="n"/>
      <c r="G39" s="4" t="n">
        <v>18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3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8" customWidth="1" min="4" max="4"/>
    <col width="10" customWidth="1" min="5" max="5"/>
    <col width="10" customWidth="1" min="6" max="6"/>
    <col width="12" customWidth="1" min="7" max="7"/>
    <col width="10" customWidth="1" min="8" max="8"/>
    <col width="12" customWidth="1" min="9" max="9"/>
    <col width="11" customWidth="1" min="10" max="10"/>
    <col width="11" customWidth="1" min="11" max="11"/>
    <col width="10" customWidth="1" min="12" max="12"/>
  </cols>
  <sheetData>
    <row r="1">
      <c r="A1" s="3" t="inlineStr">
        <is>
          <t>District</t>
        </is>
      </c>
      <c r="B1" s="3" t="inlineStr">
        <is>
          <t>Region</t>
        </is>
      </c>
      <c r="C1" s="3" t="inlineStr">
        <is>
          <t>Species</t>
        </is>
      </c>
      <c r="D1" s="3" t="inlineStr">
        <is>
          <t>Year</t>
        </is>
      </c>
      <c r="E1" s="3" t="inlineStr">
        <is>
          <t>License</t>
        </is>
      </c>
      <c r="F1" s="3" t="inlineStr">
        <is>
          <t>Hunters</t>
        </is>
      </c>
      <c r="G1" s="3" t="inlineStr">
        <is>
          <t>Hunter days</t>
        </is>
      </c>
      <c r="H1" s="3" t="inlineStr">
        <is>
          <t>Harvest</t>
        </is>
      </c>
      <c r="I1" s="3" t="inlineStr">
        <is>
          <t>Bucks/Bulls</t>
        </is>
      </c>
      <c r="J1" s="3" t="inlineStr">
        <is>
          <t>Does/Cows</t>
        </is>
      </c>
      <c r="K1" s="3" t="inlineStr">
        <is>
          <t>Per hunter</t>
        </is>
      </c>
      <c r="L1" s="3" t="inlineStr">
        <is>
          <t>Days per animal</t>
        </is>
      </c>
    </row>
    <row r="2">
      <c r="A2" s="4" t="inlineStr">
        <is>
          <t>215</t>
        </is>
      </c>
      <c r="B2" s="4" t="n">
        <v>2</v>
      </c>
      <c r="C2" s="4" t="inlineStr">
        <is>
          <t>antelope</t>
        </is>
      </c>
      <c r="D2" s="4" t="n">
        <v>2021</v>
      </c>
      <c r="E2" s="15" t="inlineStr">
        <is>
          <t>Draw</t>
        </is>
      </c>
      <c r="F2" s="5" t="n"/>
      <c r="G2" s="5" t="n"/>
      <c r="H2" s="5" t="n">
        <v>5</v>
      </c>
      <c r="I2" s="5" t="n">
        <v>2</v>
      </c>
      <c r="J2" s="5" t="n">
        <v>3</v>
      </c>
      <c r="K2" s="10">
        <f>IF(F2&gt;0,H2/F2,"")</f>
        <v/>
      </c>
      <c r="L2" s="16">
        <f>IF(AND(G2&gt;0,H2&gt;0),G2/H2,"")</f>
        <v/>
      </c>
    </row>
    <row r="3">
      <c r="A3" s="4" t="inlineStr">
        <is>
          <t>215</t>
        </is>
      </c>
      <c r="B3" s="4" t="n">
        <v>2</v>
      </c>
      <c r="C3" s="4" t="inlineStr">
        <is>
          <t>antelope</t>
        </is>
      </c>
      <c r="D3" s="4" t="n">
        <v>2022</v>
      </c>
      <c r="E3" s="15" t="inlineStr">
        <is>
          <t>Draw</t>
        </is>
      </c>
      <c r="F3" s="5" t="n">
        <v>10</v>
      </c>
      <c r="G3" s="5" t="n">
        <v>100</v>
      </c>
      <c r="H3" s="5" t="n">
        <v>6</v>
      </c>
      <c r="I3" s="5" t="n">
        <v>3</v>
      </c>
      <c r="J3" s="5" t="n">
        <v>4</v>
      </c>
      <c r="K3" s="10">
        <f>IF(F3&gt;0,H3/F3,"")</f>
        <v/>
      </c>
      <c r="L3" s="16">
        <f>IF(AND(G3&gt;0,H3&gt;0),G3/H3,"")</f>
        <v/>
      </c>
    </row>
    <row r="4">
      <c r="A4" s="4" t="inlineStr">
        <is>
          <t>215</t>
        </is>
      </c>
      <c r="B4" s="4" t="n">
        <v>2</v>
      </c>
      <c r="C4" s="4" t="inlineStr">
        <is>
          <t>antelope</t>
        </is>
      </c>
      <c r="D4" s="4" t="n">
        <v>2023</v>
      </c>
      <c r="E4" s="15" t="inlineStr">
        <is>
          <t>Draw</t>
        </is>
      </c>
      <c r="F4" s="5" t="n"/>
      <c r="G4" s="5" t="n"/>
      <c r="H4" s="5" t="n">
        <v>2</v>
      </c>
      <c r="I4" s="5" t="n">
        <v>2</v>
      </c>
      <c r="J4" s="5" t="n">
        <v>0</v>
      </c>
      <c r="K4" s="10">
        <f>IF(F4&gt;0,H4/F4,"")</f>
        <v/>
      </c>
      <c r="L4" s="16">
        <f>IF(AND(G4&gt;0,H4&gt;0),G4/H4,"")</f>
        <v/>
      </c>
    </row>
    <row r="5">
      <c r="A5" s="4" t="inlineStr">
        <is>
          <t>215</t>
        </is>
      </c>
      <c r="B5" s="4" t="n">
        <v>2</v>
      </c>
      <c r="C5" s="4" t="inlineStr">
        <is>
          <t>antelope</t>
        </is>
      </c>
      <c r="D5" s="4" t="n">
        <v>2024</v>
      </c>
      <c r="E5" s="15" t="inlineStr">
        <is>
          <t>Draw</t>
        </is>
      </c>
      <c r="F5" s="5" t="n">
        <v>10</v>
      </c>
      <c r="G5" s="5" t="n">
        <v>28</v>
      </c>
      <c r="H5" s="5" t="n">
        <v>5</v>
      </c>
      <c r="I5" s="5" t="n">
        <v>5</v>
      </c>
      <c r="J5" s="5" t="n">
        <v>0</v>
      </c>
      <c r="K5" s="10">
        <f>IF(F5&gt;0,H5/F5,"")</f>
        <v/>
      </c>
      <c r="L5" s="16">
        <f>IF(AND(G5&gt;0,H5&gt;0),G5/H5,"")</f>
        <v/>
      </c>
    </row>
    <row r="6">
      <c r="A6" s="4" t="inlineStr">
        <is>
          <t>215</t>
        </is>
      </c>
      <c r="B6" s="4" t="n">
        <v>2</v>
      </c>
      <c r="C6" s="4" t="inlineStr">
        <is>
          <t>antelope</t>
        </is>
      </c>
      <c r="D6" s="4" t="n">
        <v>2025</v>
      </c>
      <c r="E6" s="15" t="inlineStr">
        <is>
          <t>Draw</t>
        </is>
      </c>
      <c r="F6" s="5" t="n"/>
      <c r="G6" s="5" t="n"/>
      <c r="H6" s="5" t="n">
        <v>3</v>
      </c>
      <c r="I6" s="5" t="n">
        <v>3</v>
      </c>
      <c r="J6" s="5" t="n">
        <v>0</v>
      </c>
      <c r="K6" s="10">
        <f>IF(F6&gt;0,H6/F6,"")</f>
        <v/>
      </c>
      <c r="L6" s="16">
        <f>IF(AND(G6&gt;0,H6&gt;0),G6/H6,"")</f>
        <v/>
      </c>
    </row>
    <row r="7">
      <c r="A7" s="4" t="inlineStr">
        <is>
          <t>291</t>
        </is>
      </c>
      <c r="B7" s="4" t="n">
        <v>2</v>
      </c>
      <c r="C7" s="4" t="inlineStr">
        <is>
          <t>antelope</t>
        </is>
      </c>
      <c r="D7" s="4" t="n">
        <v>2021</v>
      </c>
      <c r="E7" s="15" t="inlineStr">
        <is>
          <t>Draw</t>
        </is>
      </c>
      <c r="F7" s="5" t="n"/>
      <c r="G7" s="5" t="n"/>
      <c r="H7" s="5" t="n">
        <v>1</v>
      </c>
      <c r="I7" s="5" t="n">
        <v>1</v>
      </c>
      <c r="J7" s="5" t="n">
        <v>0</v>
      </c>
      <c r="K7" s="10">
        <f>IF(F7&gt;0,H7/F7,"")</f>
        <v/>
      </c>
      <c r="L7" s="16">
        <f>IF(AND(G7&gt;0,H7&gt;0),G7/H7,"")</f>
        <v/>
      </c>
    </row>
    <row r="8">
      <c r="A8" s="4" t="inlineStr">
        <is>
          <t>291</t>
        </is>
      </c>
      <c r="B8" s="4" t="n">
        <v>2</v>
      </c>
      <c r="C8" s="4" t="inlineStr">
        <is>
          <t>antelope</t>
        </is>
      </c>
      <c r="D8" s="4" t="n">
        <v>2022</v>
      </c>
      <c r="E8" s="15" t="inlineStr">
        <is>
          <t>Draw</t>
        </is>
      </c>
      <c r="F8" s="5" t="n">
        <v>16</v>
      </c>
      <c r="G8" s="5" t="n">
        <v>113</v>
      </c>
      <c r="H8" s="5" t="n">
        <v>9</v>
      </c>
      <c r="I8" s="5" t="n">
        <v>3</v>
      </c>
      <c r="J8" s="5" t="n">
        <v>6</v>
      </c>
      <c r="K8" s="10">
        <f>IF(F8&gt;0,H8/F8,"")</f>
        <v/>
      </c>
      <c r="L8" s="16">
        <f>IF(AND(G8&gt;0,H8&gt;0),G8/H8,"")</f>
        <v/>
      </c>
    </row>
    <row r="9">
      <c r="A9" s="4" t="inlineStr">
        <is>
          <t>291</t>
        </is>
      </c>
      <c r="B9" s="4" t="n">
        <v>2</v>
      </c>
      <c r="C9" s="4" t="inlineStr">
        <is>
          <t>antelope</t>
        </is>
      </c>
      <c r="D9" s="4" t="n">
        <v>2023</v>
      </c>
      <c r="E9" s="15" t="inlineStr">
        <is>
          <t>Draw</t>
        </is>
      </c>
      <c r="F9" s="5" t="n"/>
      <c r="G9" s="5" t="n"/>
      <c r="H9" s="5" t="n">
        <v>1</v>
      </c>
      <c r="I9" s="5" t="n">
        <v>1</v>
      </c>
      <c r="J9" s="5" t="n">
        <v>0</v>
      </c>
      <c r="K9" s="10">
        <f>IF(F9&gt;0,H9/F9,"")</f>
        <v/>
      </c>
      <c r="L9" s="16">
        <f>IF(AND(G9&gt;0,H9&gt;0),G9/H9,"")</f>
        <v/>
      </c>
    </row>
    <row r="10">
      <c r="A10" s="4" t="inlineStr">
        <is>
          <t>291</t>
        </is>
      </c>
      <c r="B10" s="4" t="n">
        <v>2</v>
      </c>
      <c r="C10" s="4" t="inlineStr">
        <is>
          <t>antelope</t>
        </is>
      </c>
      <c r="D10" s="4" t="n">
        <v>2024</v>
      </c>
      <c r="E10" s="15" t="inlineStr">
        <is>
          <t>Draw</t>
        </is>
      </c>
      <c r="F10" s="5" t="n">
        <v>2</v>
      </c>
      <c r="G10" s="5" t="n">
        <v>7</v>
      </c>
      <c r="H10" s="5" t="n">
        <v>1</v>
      </c>
      <c r="I10" s="5" t="n">
        <v>1</v>
      </c>
      <c r="J10" s="5" t="n">
        <v>0</v>
      </c>
      <c r="K10" s="10">
        <f>IF(F10&gt;0,H10/F10,"")</f>
        <v/>
      </c>
      <c r="L10" s="16">
        <f>IF(AND(G10&gt;0,H10&gt;0),G10/H10,"")</f>
        <v/>
      </c>
    </row>
    <row r="11">
      <c r="A11" s="4" t="inlineStr">
        <is>
          <t>300</t>
        </is>
      </c>
      <c r="B11" s="4" t="n">
        <v>3</v>
      </c>
      <c r="C11" s="4" t="inlineStr">
        <is>
          <t>antelope</t>
        </is>
      </c>
      <c r="D11" s="4" t="n">
        <v>2021</v>
      </c>
      <c r="E11" s="15" t="inlineStr">
        <is>
          <t>Draw</t>
        </is>
      </c>
      <c r="F11" s="5" t="n"/>
      <c r="G11" s="5" t="n"/>
      <c r="H11" s="5" t="n">
        <v>172</v>
      </c>
      <c r="I11" s="5" t="n">
        <v>124</v>
      </c>
      <c r="J11" s="5" t="n">
        <v>49</v>
      </c>
      <c r="K11" s="10">
        <f>IF(F11&gt;0,H11/F11,"")</f>
        <v/>
      </c>
      <c r="L11" s="16">
        <f>IF(AND(G11&gt;0,H11&gt;0),G11/H11,"")</f>
        <v/>
      </c>
    </row>
    <row r="12">
      <c r="A12" s="4" t="inlineStr">
        <is>
          <t>300</t>
        </is>
      </c>
      <c r="B12" s="4" t="n">
        <v>3</v>
      </c>
      <c r="C12" s="4" t="inlineStr">
        <is>
          <t>antelope</t>
        </is>
      </c>
      <c r="D12" s="4" t="n">
        <v>2022</v>
      </c>
      <c r="E12" s="15" t="inlineStr">
        <is>
          <t>Draw</t>
        </is>
      </c>
      <c r="F12" s="5" t="n">
        <v>222</v>
      </c>
      <c r="G12" s="5" t="n">
        <v>864</v>
      </c>
      <c r="H12" s="5" t="n">
        <v>128</v>
      </c>
      <c r="I12" s="5" t="n">
        <v>95</v>
      </c>
      <c r="J12" s="5" t="n">
        <v>31</v>
      </c>
      <c r="K12" s="10">
        <f>IF(F12&gt;0,H12/F12,"")</f>
        <v/>
      </c>
      <c r="L12" s="16">
        <f>IF(AND(G12&gt;0,H12&gt;0),G12/H12,"")</f>
        <v/>
      </c>
    </row>
    <row r="13">
      <c r="A13" s="4" t="inlineStr">
        <is>
          <t>300</t>
        </is>
      </c>
      <c r="B13" s="4" t="n">
        <v>3</v>
      </c>
      <c r="C13" s="4" t="inlineStr">
        <is>
          <t>antelope</t>
        </is>
      </c>
      <c r="D13" s="4" t="n">
        <v>2023</v>
      </c>
      <c r="E13" s="15" t="inlineStr">
        <is>
          <t>Draw</t>
        </is>
      </c>
      <c r="F13" s="5" t="n"/>
      <c r="G13" s="5" t="n"/>
      <c r="H13" s="5" t="n">
        <v>96</v>
      </c>
      <c r="I13" s="5" t="n">
        <v>76</v>
      </c>
      <c r="J13" s="5" t="n">
        <v>20</v>
      </c>
      <c r="K13" s="10">
        <f>IF(F13&gt;0,H13/F13,"")</f>
        <v/>
      </c>
      <c r="L13" s="16">
        <f>IF(AND(G13&gt;0,H13&gt;0),G13/H13,"")</f>
        <v/>
      </c>
    </row>
    <row r="14">
      <c r="A14" s="4" t="inlineStr">
        <is>
          <t>300</t>
        </is>
      </c>
      <c r="B14" s="4" t="n">
        <v>3</v>
      </c>
      <c r="C14" s="4" t="inlineStr">
        <is>
          <t>antelope</t>
        </is>
      </c>
      <c r="D14" s="4" t="n">
        <v>2024</v>
      </c>
      <c r="E14" s="15" t="inlineStr">
        <is>
          <t>Draw</t>
        </is>
      </c>
      <c r="F14" s="5" t="n">
        <v>236</v>
      </c>
      <c r="G14" s="5" t="n">
        <v>895</v>
      </c>
      <c r="H14" s="5" t="n">
        <v>81</v>
      </c>
      <c r="I14" s="5" t="n">
        <v>61</v>
      </c>
      <c r="J14" s="5" t="n">
        <v>18</v>
      </c>
      <c r="K14" s="10">
        <f>IF(F14&gt;0,H14/F14,"")</f>
        <v/>
      </c>
      <c r="L14" s="16">
        <f>IF(AND(G14&gt;0,H14&gt;0),G14/H14,"")</f>
        <v/>
      </c>
    </row>
    <row r="15">
      <c r="A15" s="4" t="inlineStr">
        <is>
          <t>300</t>
        </is>
      </c>
      <c r="B15" s="4" t="n">
        <v>3</v>
      </c>
      <c r="C15" s="4" t="inlineStr">
        <is>
          <t>antelope</t>
        </is>
      </c>
      <c r="D15" s="4" t="n">
        <v>2025</v>
      </c>
      <c r="E15" s="15" t="inlineStr">
        <is>
          <t>Draw</t>
        </is>
      </c>
      <c r="F15" s="5" t="n"/>
      <c r="G15" s="5" t="n"/>
      <c r="H15" s="5" t="n">
        <v>80</v>
      </c>
      <c r="I15" s="5" t="n">
        <v>63</v>
      </c>
      <c r="J15" s="5" t="n">
        <v>13</v>
      </c>
      <c r="K15" s="10">
        <f>IF(F15&gt;0,H15/F15,"")</f>
        <v/>
      </c>
      <c r="L15" s="16">
        <f>IF(AND(G15&gt;0,H15&gt;0),G15/H15,"")</f>
        <v/>
      </c>
    </row>
    <row r="16">
      <c r="A16" s="4" t="inlineStr">
        <is>
          <t>301</t>
        </is>
      </c>
      <c r="B16" s="4" t="n">
        <v>3</v>
      </c>
      <c r="C16" s="4" t="inlineStr">
        <is>
          <t>antelope</t>
        </is>
      </c>
      <c r="D16" s="4" t="n">
        <v>2021</v>
      </c>
      <c r="E16" s="15" t="inlineStr">
        <is>
          <t>Draw</t>
        </is>
      </c>
      <c r="F16" s="5" t="n"/>
      <c r="G16" s="5" t="n"/>
      <c r="H16" s="5" t="n">
        <v>17</v>
      </c>
      <c r="I16" s="5" t="n">
        <v>13</v>
      </c>
      <c r="J16" s="5" t="n">
        <v>3</v>
      </c>
      <c r="K16" s="10">
        <f>IF(F16&gt;0,H16/F16,"")</f>
        <v/>
      </c>
      <c r="L16" s="16">
        <f>IF(AND(G16&gt;0,H16&gt;0),G16/H16,"")</f>
        <v/>
      </c>
    </row>
    <row r="17">
      <c r="A17" s="4" t="inlineStr">
        <is>
          <t>301</t>
        </is>
      </c>
      <c r="B17" s="4" t="n">
        <v>3</v>
      </c>
      <c r="C17" s="4" t="inlineStr">
        <is>
          <t>antelope</t>
        </is>
      </c>
      <c r="D17" s="4" t="n">
        <v>2022</v>
      </c>
      <c r="E17" s="15" t="inlineStr">
        <is>
          <t>Draw</t>
        </is>
      </c>
      <c r="F17" s="5" t="n">
        <v>41</v>
      </c>
      <c r="G17" s="5" t="n">
        <v>141</v>
      </c>
      <c r="H17" s="5" t="n">
        <v>17</v>
      </c>
      <c r="I17" s="5" t="n">
        <v>8</v>
      </c>
      <c r="J17" s="5" t="n">
        <v>9</v>
      </c>
      <c r="K17" s="10">
        <f>IF(F17&gt;0,H17/F17,"")</f>
        <v/>
      </c>
      <c r="L17" s="16">
        <f>IF(AND(G17&gt;0,H17&gt;0),G17/H17,"")</f>
        <v/>
      </c>
    </row>
    <row r="18">
      <c r="A18" s="4" t="inlineStr">
        <is>
          <t>301</t>
        </is>
      </c>
      <c r="B18" s="4" t="n">
        <v>3</v>
      </c>
      <c r="C18" s="4" t="inlineStr">
        <is>
          <t>antelope</t>
        </is>
      </c>
      <c r="D18" s="4" t="n">
        <v>2023</v>
      </c>
      <c r="E18" s="15" t="inlineStr">
        <is>
          <t>Draw</t>
        </is>
      </c>
      <c r="F18" s="5" t="n"/>
      <c r="G18" s="5" t="n"/>
      <c r="H18" s="5" t="n">
        <v>19</v>
      </c>
      <c r="I18" s="5" t="n">
        <v>17</v>
      </c>
      <c r="J18" s="5" t="n">
        <v>2</v>
      </c>
      <c r="K18" s="10">
        <f>IF(F18&gt;0,H18/F18,"")</f>
        <v/>
      </c>
      <c r="L18" s="16">
        <f>IF(AND(G18&gt;0,H18&gt;0),G18/H18,"")</f>
        <v/>
      </c>
    </row>
    <row r="19">
      <c r="A19" s="4" t="inlineStr">
        <is>
          <t>301</t>
        </is>
      </c>
      <c r="B19" s="4" t="n">
        <v>3</v>
      </c>
      <c r="C19" s="4" t="inlineStr">
        <is>
          <t>antelope</t>
        </is>
      </c>
      <c r="D19" s="4" t="n">
        <v>2024</v>
      </c>
      <c r="E19" s="15" t="inlineStr">
        <is>
          <t>Draw</t>
        </is>
      </c>
      <c r="F19" s="5" t="n">
        <v>25</v>
      </c>
      <c r="G19" s="5" t="n">
        <v>100</v>
      </c>
      <c r="H19" s="5" t="n">
        <v>8</v>
      </c>
      <c r="I19" s="5" t="n">
        <v>8</v>
      </c>
      <c r="J19" s="5" t="n">
        <v>0</v>
      </c>
      <c r="K19" s="10">
        <f>IF(F19&gt;0,H19/F19,"")</f>
        <v/>
      </c>
      <c r="L19" s="16">
        <f>IF(AND(G19&gt;0,H19&gt;0),G19/H19,"")</f>
        <v/>
      </c>
    </row>
    <row r="20">
      <c r="A20" s="4" t="inlineStr">
        <is>
          <t>301</t>
        </is>
      </c>
      <c r="B20" s="4" t="n">
        <v>3</v>
      </c>
      <c r="C20" s="4" t="inlineStr">
        <is>
          <t>antelope</t>
        </is>
      </c>
      <c r="D20" s="4" t="n">
        <v>2025</v>
      </c>
      <c r="E20" s="15" t="inlineStr">
        <is>
          <t>Draw</t>
        </is>
      </c>
      <c r="F20" s="5" t="n"/>
      <c r="G20" s="5" t="n"/>
      <c r="H20" s="5" t="n">
        <v>9</v>
      </c>
      <c r="I20" s="5" t="n">
        <v>7</v>
      </c>
      <c r="J20" s="5" t="n">
        <v>2</v>
      </c>
      <c r="K20" s="10">
        <f>IF(F20&gt;0,H20/F20,"")</f>
        <v/>
      </c>
      <c r="L20" s="16">
        <f>IF(AND(G20&gt;0,H20&gt;0),G20/H20,"")</f>
        <v/>
      </c>
    </row>
    <row r="21">
      <c r="A21" s="4" t="inlineStr">
        <is>
          <t>310</t>
        </is>
      </c>
      <c r="B21" s="4" t="n">
        <v>3</v>
      </c>
      <c r="C21" s="4" t="inlineStr">
        <is>
          <t>antelope</t>
        </is>
      </c>
      <c r="D21" s="4" t="n">
        <v>2021</v>
      </c>
      <c r="E21" s="15" t="inlineStr">
        <is>
          <t>Draw</t>
        </is>
      </c>
      <c r="F21" s="5" t="n"/>
      <c r="G21" s="5" t="n"/>
      <c r="H21" s="5" t="n">
        <v>142</v>
      </c>
      <c r="I21" s="5" t="n">
        <v>87</v>
      </c>
      <c r="J21" s="5" t="n">
        <v>53</v>
      </c>
      <c r="K21" s="10">
        <f>IF(F21&gt;0,H21/F21,"")</f>
        <v/>
      </c>
      <c r="L21" s="16">
        <f>IF(AND(G21&gt;0,H21&gt;0),G21/H21,"")</f>
        <v/>
      </c>
    </row>
    <row r="22">
      <c r="A22" s="4" t="inlineStr">
        <is>
          <t>310</t>
        </is>
      </c>
      <c r="B22" s="4" t="n">
        <v>3</v>
      </c>
      <c r="C22" s="4" t="inlineStr">
        <is>
          <t>antelope</t>
        </is>
      </c>
      <c r="D22" s="4" t="n">
        <v>2022</v>
      </c>
      <c r="E22" s="15" t="inlineStr">
        <is>
          <t>Draw</t>
        </is>
      </c>
      <c r="F22" s="5" t="n">
        <v>263</v>
      </c>
      <c r="G22" s="5" t="n">
        <v>1027</v>
      </c>
      <c r="H22" s="5" t="n">
        <v>188</v>
      </c>
      <c r="I22" s="5" t="n">
        <v>114</v>
      </c>
      <c r="J22" s="5" t="n">
        <v>75</v>
      </c>
      <c r="K22" s="10">
        <f>IF(F22&gt;0,H22/F22,"")</f>
        <v/>
      </c>
      <c r="L22" s="16">
        <f>IF(AND(G22&gt;0,H22&gt;0),G22/H22,"")</f>
        <v/>
      </c>
    </row>
    <row r="23">
      <c r="A23" s="4" t="inlineStr">
        <is>
          <t>310</t>
        </is>
      </c>
      <c r="B23" s="4" t="n">
        <v>3</v>
      </c>
      <c r="C23" s="4" t="inlineStr">
        <is>
          <t>antelope</t>
        </is>
      </c>
      <c r="D23" s="4" t="n">
        <v>2023</v>
      </c>
      <c r="E23" s="15" t="inlineStr">
        <is>
          <t>Draw</t>
        </is>
      </c>
      <c r="F23" s="5" t="n"/>
      <c r="G23" s="5" t="n"/>
      <c r="H23" s="5" t="n">
        <v>133</v>
      </c>
      <c r="I23" s="5" t="n">
        <v>68</v>
      </c>
      <c r="J23" s="5" t="n">
        <v>66</v>
      </c>
      <c r="K23" s="10">
        <f>IF(F23&gt;0,H23/F23,"")</f>
        <v/>
      </c>
      <c r="L23" s="16">
        <f>IF(AND(G23&gt;0,H23&gt;0),G23/H23,"")</f>
        <v/>
      </c>
    </row>
    <row r="24">
      <c r="A24" s="4" t="inlineStr">
        <is>
          <t>310</t>
        </is>
      </c>
      <c r="B24" s="4" t="n">
        <v>3</v>
      </c>
      <c r="C24" s="4" t="inlineStr">
        <is>
          <t>antelope</t>
        </is>
      </c>
      <c r="D24" s="4" t="n">
        <v>2024</v>
      </c>
      <c r="E24" s="15" t="inlineStr">
        <is>
          <t>Draw</t>
        </is>
      </c>
      <c r="F24" s="5" t="n">
        <v>265</v>
      </c>
      <c r="G24" s="5" t="n">
        <v>1006</v>
      </c>
      <c r="H24" s="5" t="n">
        <v>148</v>
      </c>
      <c r="I24" s="5" t="n">
        <v>67</v>
      </c>
      <c r="J24" s="5" t="n">
        <v>73</v>
      </c>
      <c r="K24" s="10">
        <f>IF(F24&gt;0,H24/F24,"")</f>
        <v/>
      </c>
      <c r="L24" s="16">
        <f>IF(AND(G24&gt;0,H24&gt;0),G24/H24,"")</f>
        <v/>
      </c>
    </row>
    <row r="25">
      <c r="A25" s="4" t="inlineStr">
        <is>
          <t>310</t>
        </is>
      </c>
      <c r="B25" s="4" t="n">
        <v>3</v>
      </c>
      <c r="C25" s="4" t="inlineStr">
        <is>
          <t>antelope</t>
        </is>
      </c>
      <c r="D25" s="4" t="n">
        <v>2025</v>
      </c>
      <c r="E25" s="15" t="inlineStr">
        <is>
          <t>Draw</t>
        </is>
      </c>
      <c r="F25" s="5" t="n"/>
      <c r="G25" s="5" t="n"/>
      <c r="H25" s="5" t="n">
        <v>71</v>
      </c>
      <c r="I25" s="5" t="n">
        <v>58</v>
      </c>
      <c r="J25" s="5" t="n">
        <v>14</v>
      </c>
      <c r="K25" s="10">
        <f>IF(F25&gt;0,H25/F25,"")</f>
        <v/>
      </c>
      <c r="L25" s="16">
        <f>IF(AND(G25&gt;0,H25&gt;0),G25/H25,"")</f>
        <v/>
      </c>
    </row>
    <row r="26">
      <c r="A26" s="4" t="inlineStr">
        <is>
          <t>311</t>
        </is>
      </c>
      <c r="B26" s="4" t="n">
        <v>3</v>
      </c>
      <c r="C26" s="4" t="inlineStr">
        <is>
          <t>antelope</t>
        </is>
      </c>
      <c r="D26" s="4" t="n">
        <v>2021</v>
      </c>
      <c r="E26" s="15" t="inlineStr">
        <is>
          <t>Draw</t>
        </is>
      </c>
      <c r="F26" s="5" t="n"/>
      <c r="G26" s="5" t="n"/>
      <c r="H26" s="5" t="n">
        <v>49</v>
      </c>
      <c r="I26" s="5" t="n">
        <v>32</v>
      </c>
      <c r="J26" s="5" t="n">
        <v>18</v>
      </c>
      <c r="K26" s="10">
        <f>IF(F26&gt;0,H26/F26,"")</f>
        <v/>
      </c>
      <c r="L26" s="16">
        <f>IF(AND(G26&gt;0,H26&gt;0),G26/H26,"")</f>
        <v/>
      </c>
    </row>
    <row r="27">
      <c r="A27" s="4" t="inlineStr">
        <is>
          <t>311</t>
        </is>
      </c>
      <c r="B27" s="4" t="n">
        <v>3</v>
      </c>
      <c r="C27" s="4" t="inlineStr">
        <is>
          <t>antelope</t>
        </is>
      </c>
      <c r="D27" s="4" t="n">
        <v>2022</v>
      </c>
      <c r="E27" s="15" t="inlineStr">
        <is>
          <t>Draw</t>
        </is>
      </c>
      <c r="F27" s="5" t="n">
        <v>130</v>
      </c>
      <c r="G27" s="5" t="n">
        <v>510</v>
      </c>
      <c r="H27" s="5" t="n">
        <v>36</v>
      </c>
      <c r="I27" s="5" t="n">
        <v>28</v>
      </c>
      <c r="J27" s="5" t="n">
        <v>8</v>
      </c>
      <c r="K27" s="10">
        <f>IF(F27&gt;0,H27/F27,"")</f>
        <v/>
      </c>
      <c r="L27" s="16">
        <f>IF(AND(G27&gt;0,H27&gt;0),G27/H27,"")</f>
        <v/>
      </c>
    </row>
    <row r="28">
      <c r="A28" s="4" t="inlineStr">
        <is>
          <t>311</t>
        </is>
      </c>
      <c r="B28" s="4" t="n">
        <v>3</v>
      </c>
      <c r="C28" s="4" t="inlineStr">
        <is>
          <t>antelope</t>
        </is>
      </c>
      <c r="D28" s="4" t="n">
        <v>2023</v>
      </c>
      <c r="E28" s="15" t="inlineStr">
        <is>
          <t>Draw</t>
        </is>
      </c>
      <c r="F28" s="5" t="n"/>
      <c r="G28" s="5" t="n"/>
      <c r="H28" s="5" t="n">
        <v>29</v>
      </c>
      <c r="I28" s="5" t="n">
        <v>26</v>
      </c>
      <c r="J28" s="5" t="n">
        <v>3</v>
      </c>
      <c r="K28" s="10">
        <f>IF(F28&gt;0,H28/F28,"")</f>
        <v/>
      </c>
      <c r="L28" s="16">
        <f>IF(AND(G28&gt;0,H28&gt;0),G28/H28,"")</f>
        <v/>
      </c>
    </row>
    <row r="29">
      <c r="A29" s="4" t="inlineStr">
        <is>
          <t>311</t>
        </is>
      </c>
      <c r="B29" s="4" t="n">
        <v>3</v>
      </c>
      <c r="C29" s="4" t="inlineStr">
        <is>
          <t>antelope</t>
        </is>
      </c>
      <c r="D29" s="4" t="n">
        <v>2024</v>
      </c>
      <c r="E29" s="15" t="inlineStr">
        <is>
          <t>Draw</t>
        </is>
      </c>
      <c r="F29" s="5" t="n">
        <v>110</v>
      </c>
      <c r="G29" s="5" t="n">
        <v>517</v>
      </c>
      <c r="H29" s="5" t="n">
        <v>22</v>
      </c>
      <c r="I29" s="5" t="n">
        <v>17</v>
      </c>
      <c r="J29" s="5" t="n">
        <v>4</v>
      </c>
      <c r="K29" s="10">
        <f>IF(F29&gt;0,H29/F29,"")</f>
        <v/>
      </c>
      <c r="L29" s="16">
        <f>IF(AND(G29&gt;0,H29&gt;0),G29/H29,"")</f>
        <v/>
      </c>
    </row>
    <row r="30">
      <c r="A30" s="4" t="inlineStr">
        <is>
          <t>311</t>
        </is>
      </c>
      <c r="B30" s="4" t="n">
        <v>3</v>
      </c>
      <c r="C30" s="4" t="inlineStr">
        <is>
          <t>antelope</t>
        </is>
      </c>
      <c r="D30" s="4" t="n">
        <v>2025</v>
      </c>
      <c r="E30" s="15" t="inlineStr">
        <is>
          <t>Draw</t>
        </is>
      </c>
      <c r="F30" s="5" t="n"/>
      <c r="G30" s="5" t="n"/>
      <c r="H30" s="5" t="n">
        <v>41</v>
      </c>
      <c r="I30" s="5" t="n">
        <v>33</v>
      </c>
      <c r="J30" s="5" t="n">
        <v>9</v>
      </c>
      <c r="K30" s="10">
        <f>IF(F30&gt;0,H30/F30,"")</f>
        <v/>
      </c>
      <c r="L30" s="16">
        <f>IF(AND(G30&gt;0,H30&gt;0),G30/H30,"")</f>
        <v/>
      </c>
    </row>
    <row r="31">
      <c r="A31" s="4" t="inlineStr">
        <is>
          <t>313</t>
        </is>
      </c>
      <c r="B31" s="4" t="n">
        <v>3</v>
      </c>
      <c r="C31" s="4" t="inlineStr">
        <is>
          <t>antelope</t>
        </is>
      </c>
      <c r="D31" s="4" t="n">
        <v>2021</v>
      </c>
      <c r="E31" s="15" t="inlineStr">
        <is>
          <t>Draw</t>
        </is>
      </c>
      <c r="F31" s="5" t="n"/>
      <c r="G31" s="5" t="n"/>
      <c r="H31" s="5" t="n">
        <v>15</v>
      </c>
      <c r="I31" s="5" t="n">
        <v>15</v>
      </c>
      <c r="J31" s="5" t="n">
        <v>0</v>
      </c>
      <c r="K31" s="10">
        <f>IF(F31&gt;0,H31/F31,"")</f>
        <v/>
      </c>
      <c r="L31" s="16">
        <f>IF(AND(G31&gt;0,H31&gt;0),G31/H31,"")</f>
        <v/>
      </c>
    </row>
    <row r="32">
      <c r="A32" s="4" t="inlineStr">
        <is>
          <t>313</t>
        </is>
      </c>
      <c r="B32" s="4" t="n">
        <v>3</v>
      </c>
      <c r="C32" s="4" t="inlineStr">
        <is>
          <t>antelope</t>
        </is>
      </c>
      <c r="D32" s="4" t="n">
        <v>2022</v>
      </c>
      <c r="E32" s="15" t="inlineStr">
        <is>
          <t>Draw</t>
        </is>
      </c>
      <c r="F32" s="5" t="n">
        <v>14</v>
      </c>
      <c r="G32" s="5" t="n">
        <v>66</v>
      </c>
      <c r="H32" s="5" t="n">
        <v>10</v>
      </c>
      <c r="I32" s="5" t="n">
        <v>8</v>
      </c>
      <c r="J32" s="5" t="n">
        <v>2</v>
      </c>
      <c r="K32" s="10">
        <f>IF(F32&gt;0,H32/F32,"")</f>
        <v/>
      </c>
      <c r="L32" s="16">
        <f>IF(AND(G32&gt;0,H32&gt;0),G32/H32,"")</f>
        <v/>
      </c>
    </row>
    <row r="33">
      <c r="A33" s="4" t="inlineStr">
        <is>
          <t>313</t>
        </is>
      </c>
      <c r="B33" s="4" t="n">
        <v>3</v>
      </c>
      <c r="C33" s="4" t="inlineStr">
        <is>
          <t>antelope</t>
        </is>
      </c>
      <c r="D33" s="4" t="n">
        <v>2023</v>
      </c>
      <c r="E33" s="15" t="inlineStr">
        <is>
          <t>Draw</t>
        </is>
      </c>
      <c r="F33" s="5" t="n"/>
      <c r="G33" s="5" t="n"/>
      <c r="H33" s="5" t="n">
        <v>7</v>
      </c>
      <c r="I33" s="5" t="n">
        <v>5</v>
      </c>
      <c r="J33" s="5" t="n">
        <v>2</v>
      </c>
      <c r="K33" s="10">
        <f>IF(F33&gt;0,H33/F33,"")</f>
        <v/>
      </c>
      <c r="L33" s="16">
        <f>IF(AND(G33&gt;0,H33&gt;0),G33/H33,"")</f>
        <v/>
      </c>
    </row>
    <row r="34">
      <c r="A34" s="4" t="inlineStr">
        <is>
          <t>313</t>
        </is>
      </c>
      <c r="B34" s="4" t="n">
        <v>3</v>
      </c>
      <c r="C34" s="4" t="inlineStr">
        <is>
          <t>antelope</t>
        </is>
      </c>
      <c r="D34" s="4" t="n">
        <v>2024</v>
      </c>
      <c r="E34" s="15" t="inlineStr">
        <is>
          <t>Draw</t>
        </is>
      </c>
      <c r="F34" s="5" t="n">
        <v>8</v>
      </c>
      <c r="G34" s="5" t="n">
        <v>27</v>
      </c>
      <c r="H34" s="5" t="n">
        <v>5</v>
      </c>
      <c r="I34" s="5" t="n">
        <v>5</v>
      </c>
      <c r="J34" s="5" t="n">
        <v>0</v>
      </c>
      <c r="K34" s="10">
        <f>IF(F34&gt;0,H34/F34,"")</f>
        <v/>
      </c>
      <c r="L34" s="16">
        <f>IF(AND(G34&gt;0,H34&gt;0),G34/H34,"")</f>
        <v/>
      </c>
    </row>
    <row r="35">
      <c r="A35" s="4" t="inlineStr">
        <is>
          <t>313</t>
        </is>
      </c>
      <c r="B35" s="4" t="n">
        <v>3</v>
      </c>
      <c r="C35" s="4" t="inlineStr">
        <is>
          <t>antelope</t>
        </is>
      </c>
      <c r="D35" s="4" t="n">
        <v>2025</v>
      </c>
      <c r="E35" s="15" t="inlineStr">
        <is>
          <t>Draw</t>
        </is>
      </c>
      <c r="F35" s="5" t="n"/>
      <c r="G35" s="5" t="n"/>
      <c r="H35" s="5" t="n">
        <v>5</v>
      </c>
      <c r="I35" s="5" t="n">
        <v>3</v>
      </c>
      <c r="J35" s="5" t="n">
        <v>2</v>
      </c>
      <c r="K35" s="10">
        <f>IF(F35&gt;0,H35/F35,"")</f>
        <v/>
      </c>
      <c r="L35" s="16">
        <f>IF(AND(G35&gt;0,H35&gt;0),G35/H35,"")</f>
        <v/>
      </c>
    </row>
    <row r="36">
      <c r="A36" s="4" t="inlineStr">
        <is>
          <t>317</t>
        </is>
      </c>
      <c r="B36" s="4" t="n">
        <v>3</v>
      </c>
      <c r="C36" s="4" t="inlineStr">
        <is>
          <t>antelope</t>
        </is>
      </c>
      <c r="D36" s="4" t="n">
        <v>2022</v>
      </c>
      <c r="E36" s="15" t="inlineStr">
        <is>
          <t>Draw</t>
        </is>
      </c>
      <c r="F36" s="5" t="n">
        <v>79</v>
      </c>
      <c r="G36" s="5" t="n">
        <v>275</v>
      </c>
      <c r="H36" s="5" t="n">
        <v>78</v>
      </c>
      <c r="I36" s="5" t="n">
        <v>41</v>
      </c>
      <c r="J36" s="5" t="n">
        <v>37</v>
      </c>
      <c r="K36" s="10">
        <f>IF(F36&gt;0,H36/F36,"")</f>
        <v/>
      </c>
      <c r="L36" s="16">
        <f>IF(AND(G36&gt;0,H36&gt;0),G36/H36,"")</f>
        <v/>
      </c>
    </row>
    <row r="37">
      <c r="A37" s="4" t="inlineStr">
        <is>
          <t>317</t>
        </is>
      </c>
      <c r="B37" s="4" t="n">
        <v>3</v>
      </c>
      <c r="C37" s="4" t="inlineStr">
        <is>
          <t>antelope</t>
        </is>
      </c>
      <c r="D37" s="4" t="n">
        <v>2023</v>
      </c>
      <c r="E37" s="15" t="inlineStr">
        <is>
          <t>Draw</t>
        </is>
      </c>
      <c r="F37" s="5" t="n"/>
      <c r="G37" s="5" t="n"/>
      <c r="H37" s="5" t="n">
        <v>22</v>
      </c>
      <c r="I37" s="5" t="n">
        <v>19</v>
      </c>
      <c r="J37" s="5" t="n">
        <v>4</v>
      </c>
      <c r="K37" s="10">
        <f>IF(F37&gt;0,H37/F37,"")</f>
        <v/>
      </c>
      <c r="L37" s="16">
        <f>IF(AND(G37&gt;0,H37&gt;0),G37/H37,"")</f>
        <v/>
      </c>
    </row>
    <row r="38">
      <c r="A38" s="4" t="inlineStr">
        <is>
          <t>317</t>
        </is>
      </c>
      <c r="B38" s="4" t="n">
        <v>3</v>
      </c>
      <c r="C38" s="4" t="inlineStr">
        <is>
          <t>antelope</t>
        </is>
      </c>
      <c r="D38" s="4" t="n">
        <v>2024</v>
      </c>
      <c r="E38" s="15" t="inlineStr">
        <is>
          <t>Draw</t>
        </is>
      </c>
      <c r="F38" s="5" t="n">
        <v>68</v>
      </c>
      <c r="G38" s="5" t="n">
        <v>284</v>
      </c>
      <c r="H38" s="5" t="n">
        <v>43</v>
      </c>
      <c r="I38" s="5" t="n">
        <v>32</v>
      </c>
      <c r="J38" s="5" t="n">
        <v>9</v>
      </c>
      <c r="K38" s="10">
        <f>IF(F38&gt;0,H38/F38,"")</f>
        <v/>
      </c>
      <c r="L38" s="16">
        <f>IF(AND(G38&gt;0,H38&gt;0),G38/H38,"")</f>
        <v/>
      </c>
    </row>
    <row r="39">
      <c r="A39" s="4" t="inlineStr">
        <is>
          <t>317</t>
        </is>
      </c>
      <c r="B39" s="4" t="n">
        <v>3</v>
      </c>
      <c r="C39" s="4" t="inlineStr">
        <is>
          <t>antelope</t>
        </is>
      </c>
      <c r="D39" s="4" t="n">
        <v>2025</v>
      </c>
      <c r="E39" s="15" t="inlineStr">
        <is>
          <t>Draw</t>
        </is>
      </c>
      <c r="F39" s="5" t="n"/>
      <c r="G39" s="5" t="n"/>
      <c r="H39" s="5" t="n">
        <v>36</v>
      </c>
      <c r="I39" s="5" t="n">
        <v>36</v>
      </c>
      <c r="J39" s="5" t="n">
        <v>0</v>
      </c>
      <c r="K39" s="10">
        <f>IF(F39&gt;0,H39/F39,"")</f>
        <v/>
      </c>
      <c r="L39" s="16">
        <f>IF(AND(G39&gt;0,H39&gt;0),G39/H39,"")</f>
        <v/>
      </c>
    </row>
    <row r="40">
      <c r="A40" s="4" t="inlineStr">
        <is>
          <t>318</t>
        </is>
      </c>
      <c r="B40" s="4" t="n">
        <v>3</v>
      </c>
      <c r="C40" s="4" t="inlineStr">
        <is>
          <t>antelope</t>
        </is>
      </c>
      <c r="D40" s="4" t="n">
        <v>2021</v>
      </c>
      <c r="E40" s="15" t="inlineStr">
        <is>
          <t>Draw</t>
        </is>
      </c>
      <c r="F40" s="5" t="n"/>
      <c r="G40" s="5" t="n"/>
      <c r="H40" s="5" t="n">
        <v>88</v>
      </c>
      <c r="I40" s="5" t="n">
        <v>50</v>
      </c>
      <c r="J40" s="5" t="n">
        <v>37</v>
      </c>
      <c r="K40" s="10">
        <f>IF(F40&gt;0,H40/F40,"")</f>
        <v/>
      </c>
      <c r="L40" s="16">
        <f>IF(AND(G40&gt;0,H40&gt;0),G40/H40,"")</f>
        <v/>
      </c>
    </row>
    <row r="41">
      <c r="A41" s="4" t="inlineStr">
        <is>
          <t>318</t>
        </is>
      </c>
      <c r="B41" s="4" t="n">
        <v>3</v>
      </c>
      <c r="C41" s="4" t="inlineStr">
        <is>
          <t>antelope</t>
        </is>
      </c>
      <c r="D41" s="4" t="n">
        <v>2022</v>
      </c>
      <c r="E41" s="15" t="inlineStr">
        <is>
          <t>Draw</t>
        </is>
      </c>
      <c r="F41" s="5" t="n">
        <v>172</v>
      </c>
      <c r="G41" s="5" t="n">
        <v>544</v>
      </c>
      <c r="H41" s="5" t="n">
        <v>71</v>
      </c>
      <c r="I41" s="5" t="n">
        <v>40</v>
      </c>
      <c r="J41" s="5" t="n">
        <v>31</v>
      </c>
      <c r="K41" s="10">
        <f>IF(F41&gt;0,H41/F41,"")</f>
        <v/>
      </c>
      <c r="L41" s="16">
        <f>IF(AND(G41&gt;0,H41&gt;0),G41/H41,"")</f>
        <v/>
      </c>
    </row>
    <row r="42">
      <c r="A42" s="4" t="inlineStr">
        <is>
          <t>318</t>
        </is>
      </c>
      <c r="B42" s="4" t="n">
        <v>3</v>
      </c>
      <c r="C42" s="4" t="inlineStr">
        <is>
          <t>antelope</t>
        </is>
      </c>
      <c r="D42" s="4" t="n">
        <v>2023</v>
      </c>
      <c r="E42" s="15" t="inlineStr">
        <is>
          <t>Draw</t>
        </is>
      </c>
      <c r="F42" s="5" t="n"/>
      <c r="G42" s="5" t="n"/>
      <c r="H42" s="5" t="n">
        <v>40</v>
      </c>
      <c r="I42" s="5" t="n">
        <v>30</v>
      </c>
      <c r="J42" s="5" t="n">
        <v>10</v>
      </c>
      <c r="K42" s="10">
        <f>IF(F42&gt;0,H42/F42,"")</f>
        <v/>
      </c>
      <c r="L42" s="16">
        <f>IF(AND(G42&gt;0,H42&gt;0),G42/H42,"")</f>
        <v/>
      </c>
    </row>
    <row r="43">
      <c r="A43" s="4" t="inlineStr">
        <is>
          <t>318</t>
        </is>
      </c>
      <c r="B43" s="4" t="n">
        <v>3</v>
      </c>
      <c r="C43" s="4" t="inlineStr">
        <is>
          <t>antelope</t>
        </is>
      </c>
      <c r="D43" s="4" t="n">
        <v>2024</v>
      </c>
      <c r="E43" s="15" t="inlineStr">
        <is>
          <t>Draw</t>
        </is>
      </c>
      <c r="F43" s="5" t="n">
        <v>100</v>
      </c>
      <c r="G43" s="5" t="n">
        <v>514</v>
      </c>
      <c r="H43" s="5" t="n">
        <v>24</v>
      </c>
      <c r="I43" s="5" t="n">
        <v>10</v>
      </c>
      <c r="J43" s="5" t="n">
        <v>13</v>
      </c>
      <c r="K43" s="10">
        <f>IF(F43&gt;0,H43/F43,"")</f>
        <v/>
      </c>
      <c r="L43" s="16">
        <f>IF(AND(G43&gt;0,H43&gt;0),G43/H43,"")</f>
        <v/>
      </c>
    </row>
    <row r="44">
      <c r="A44" s="4" t="inlineStr">
        <is>
          <t>318</t>
        </is>
      </c>
      <c r="B44" s="4" t="n">
        <v>3</v>
      </c>
      <c r="C44" s="4" t="inlineStr">
        <is>
          <t>antelope</t>
        </is>
      </c>
      <c r="D44" s="4" t="n">
        <v>2025</v>
      </c>
      <c r="E44" s="15" t="inlineStr">
        <is>
          <t>Draw</t>
        </is>
      </c>
      <c r="F44" s="5" t="n"/>
      <c r="G44" s="5" t="n"/>
      <c r="H44" s="5" t="n">
        <v>37</v>
      </c>
      <c r="I44" s="5" t="n">
        <v>23</v>
      </c>
      <c r="J44" s="5" t="n">
        <v>15</v>
      </c>
      <c r="K44" s="10">
        <f>IF(F44&gt;0,H44/F44,"")</f>
        <v/>
      </c>
      <c r="L44" s="16">
        <f>IF(AND(G44&gt;0,H44&gt;0),G44/H44,"")</f>
        <v/>
      </c>
    </row>
    <row r="45">
      <c r="A45" s="4" t="inlineStr">
        <is>
          <t>319</t>
        </is>
      </c>
      <c r="B45" s="4" t="n">
        <v>3</v>
      </c>
      <c r="C45" s="4" t="inlineStr">
        <is>
          <t>antelope</t>
        </is>
      </c>
      <c r="D45" s="4" t="n">
        <v>2021</v>
      </c>
      <c r="E45" s="15" t="inlineStr">
        <is>
          <t>Draw</t>
        </is>
      </c>
      <c r="F45" s="5" t="n"/>
      <c r="G45" s="5" t="n"/>
      <c r="H45" s="5" t="n">
        <v>37</v>
      </c>
      <c r="I45" s="5" t="n">
        <v>19</v>
      </c>
      <c r="J45" s="5" t="n">
        <v>18</v>
      </c>
      <c r="K45" s="10">
        <f>IF(F45&gt;0,H45/F45,"")</f>
        <v/>
      </c>
      <c r="L45" s="16">
        <f>IF(AND(G45&gt;0,H45&gt;0),G45/H45,"")</f>
        <v/>
      </c>
    </row>
    <row r="46">
      <c r="A46" s="4" t="inlineStr">
        <is>
          <t>319</t>
        </is>
      </c>
      <c r="B46" s="4" t="n">
        <v>3</v>
      </c>
      <c r="C46" s="4" t="inlineStr">
        <is>
          <t>antelope</t>
        </is>
      </c>
      <c r="D46" s="4" t="n">
        <v>2022</v>
      </c>
      <c r="E46" s="15" t="inlineStr">
        <is>
          <t>Draw</t>
        </is>
      </c>
      <c r="F46" s="5" t="n">
        <v>95</v>
      </c>
      <c r="G46" s="5" t="n">
        <v>352</v>
      </c>
      <c r="H46" s="5" t="n">
        <v>33</v>
      </c>
      <c r="I46" s="5" t="n">
        <v>18</v>
      </c>
      <c r="J46" s="5" t="n">
        <v>14</v>
      </c>
      <c r="K46" s="10">
        <f>IF(F46&gt;0,H46/F46,"")</f>
        <v/>
      </c>
      <c r="L46" s="16">
        <f>IF(AND(G46&gt;0,H46&gt;0),G46/H46,"")</f>
        <v/>
      </c>
    </row>
    <row r="47">
      <c r="A47" s="4" t="inlineStr">
        <is>
          <t>319</t>
        </is>
      </c>
      <c r="B47" s="4" t="n">
        <v>3</v>
      </c>
      <c r="C47" s="4" t="inlineStr">
        <is>
          <t>antelope</t>
        </is>
      </c>
      <c r="D47" s="4" t="n">
        <v>2023</v>
      </c>
      <c r="E47" s="15" t="inlineStr">
        <is>
          <t>Draw</t>
        </is>
      </c>
      <c r="F47" s="5" t="n"/>
      <c r="G47" s="5" t="n"/>
      <c r="H47" s="5" t="n">
        <v>37</v>
      </c>
      <c r="I47" s="5" t="n">
        <v>10</v>
      </c>
      <c r="J47" s="5" t="n">
        <v>27</v>
      </c>
      <c r="K47" s="10">
        <f>IF(F47&gt;0,H47/F47,"")</f>
        <v/>
      </c>
      <c r="L47" s="16">
        <f>IF(AND(G47&gt;0,H47&gt;0),G47/H47,"")</f>
        <v/>
      </c>
    </row>
    <row r="48">
      <c r="A48" s="4" t="inlineStr">
        <is>
          <t>319</t>
        </is>
      </c>
      <c r="B48" s="4" t="n">
        <v>3</v>
      </c>
      <c r="C48" s="4" t="inlineStr">
        <is>
          <t>antelope</t>
        </is>
      </c>
      <c r="D48" s="4" t="n">
        <v>2024</v>
      </c>
      <c r="E48" s="15" t="inlineStr">
        <is>
          <t>Draw</t>
        </is>
      </c>
      <c r="F48" s="5" t="n">
        <v>76</v>
      </c>
      <c r="G48" s="5" t="n">
        <v>516</v>
      </c>
      <c r="H48" s="5" t="n">
        <v>18</v>
      </c>
      <c r="I48" s="5" t="n">
        <v>9</v>
      </c>
      <c r="J48" s="5" t="n">
        <v>9</v>
      </c>
      <c r="K48" s="10">
        <f>IF(F48&gt;0,H48/F48,"")</f>
        <v/>
      </c>
      <c r="L48" s="16">
        <f>IF(AND(G48&gt;0,H48&gt;0),G48/H48,"")</f>
        <v/>
      </c>
    </row>
    <row r="49">
      <c r="A49" s="4" t="inlineStr">
        <is>
          <t>319</t>
        </is>
      </c>
      <c r="B49" s="4" t="n">
        <v>3</v>
      </c>
      <c r="C49" s="4" t="inlineStr">
        <is>
          <t>antelope</t>
        </is>
      </c>
      <c r="D49" s="4" t="n">
        <v>2025</v>
      </c>
      <c r="E49" s="15" t="inlineStr">
        <is>
          <t>Draw</t>
        </is>
      </c>
      <c r="F49" s="5" t="n"/>
      <c r="G49" s="5" t="n"/>
      <c r="H49" s="5" t="n">
        <v>33</v>
      </c>
      <c r="I49" s="5" t="n">
        <v>13</v>
      </c>
      <c r="J49" s="5" t="n">
        <v>17</v>
      </c>
      <c r="K49" s="10">
        <f>IF(F49&gt;0,H49/F49,"")</f>
        <v/>
      </c>
      <c r="L49" s="16">
        <f>IF(AND(G49&gt;0,H49&gt;0),G49/H49,"")</f>
        <v/>
      </c>
    </row>
    <row r="50">
      <c r="A50" s="4" t="inlineStr">
        <is>
          <t>320</t>
        </is>
      </c>
      <c r="B50" s="4" t="n">
        <v>3</v>
      </c>
      <c r="C50" s="4" t="inlineStr">
        <is>
          <t>antelope</t>
        </is>
      </c>
      <c r="D50" s="4" t="n">
        <v>2021</v>
      </c>
      <c r="E50" s="15" t="inlineStr">
        <is>
          <t>Draw</t>
        </is>
      </c>
      <c r="F50" s="5" t="n"/>
      <c r="G50" s="5" t="n"/>
      <c r="H50" s="5" t="n">
        <v>52</v>
      </c>
      <c r="I50" s="5" t="n">
        <v>35</v>
      </c>
      <c r="J50" s="5" t="n">
        <v>17</v>
      </c>
      <c r="K50" s="10">
        <f>IF(F50&gt;0,H50/F50,"")</f>
        <v/>
      </c>
      <c r="L50" s="16">
        <f>IF(AND(G50&gt;0,H50&gt;0),G50/H50,"")</f>
        <v/>
      </c>
    </row>
    <row r="51">
      <c r="A51" s="4" t="inlineStr">
        <is>
          <t>320</t>
        </is>
      </c>
      <c r="B51" s="4" t="n">
        <v>3</v>
      </c>
      <c r="C51" s="4" t="inlineStr">
        <is>
          <t>antelope</t>
        </is>
      </c>
      <c r="D51" s="4" t="n">
        <v>2022</v>
      </c>
      <c r="E51" s="15" t="inlineStr">
        <is>
          <t>Draw</t>
        </is>
      </c>
      <c r="F51" s="5" t="n">
        <v>95</v>
      </c>
      <c r="G51" s="5" t="n">
        <v>496</v>
      </c>
      <c r="H51" s="5" t="n">
        <v>45</v>
      </c>
      <c r="I51" s="5" t="n">
        <v>25</v>
      </c>
      <c r="J51" s="5" t="n">
        <v>21</v>
      </c>
      <c r="K51" s="10">
        <f>IF(F51&gt;0,H51/F51,"")</f>
        <v/>
      </c>
      <c r="L51" s="16">
        <f>IF(AND(G51&gt;0,H51&gt;0),G51/H51,"")</f>
        <v/>
      </c>
    </row>
    <row r="52">
      <c r="A52" s="4" t="inlineStr">
        <is>
          <t>320</t>
        </is>
      </c>
      <c r="B52" s="4" t="n">
        <v>3</v>
      </c>
      <c r="C52" s="4" t="inlineStr">
        <is>
          <t>antelope</t>
        </is>
      </c>
      <c r="D52" s="4" t="n">
        <v>2023</v>
      </c>
      <c r="E52" s="15" t="inlineStr">
        <is>
          <t>Draw</t>
        </is>
      </c>
      <c r="F52" s="5" t="n"/>
      <c r="G52" s="5" t="n"/>
      <c r="H52" s="5" t="n">
        <v>81</v>
      </c>
      <c r="I52" s="5" t="n">
        <v>53</v>
      </c>
      <c r="J52" s="5" t="n">
        <v>28</v>
      </c>
      <c r="K52" s="10">
        <f>IF(F52&gt;0,H52/F52,"")</f>
        <v/>
      </c>
      <c r="L52" s="16">
        <f>IF(AND(G52&gt;0,H52&gt;0),G52/H52,"")</f>
        <v/>
      </c>
    </row>
    <row r="53">
      <c r="A53" s="4" t="inlineStr">
        <is>
          <t>320</t>
        </is>
      </c>
      <c r="B53" s="4" t="n">
        <v>3</v>
      </c>
      <c r="C53" s="4" t="inlineStr">
        <is>
          <t>antelope</t>
        </is>
      </c>
      <c r="D53" s="4" t="n">
        <v>2024</v>
      </c>
      <c r="E53" s="15" t="inlineStr">
        <is>
          <t>Draw</t>
        </is>
      </c>
      <c r="F53" s="5" t="n">
        <v>138</v>
      </c>
      <c r="G53" s="5" t="n">
        <v>644</v>
      </c>
      <c r="H53" s="5" t="n">
        <v>75</v>
      </c>
      <c r="I53" s="5" t="n">
        <v>50</v>
      </c>
      <c r="J53" s="5" t="n">
        <v>24</v>
      </c>
      <c r="K53" s="10">
        <f>IF(F53&gt;0,H53/F53,"")</f>
        <v/>
      </c>
      <c r="L53" s="16">
        <f>IF(AND(G53&gt;0,H53&gt;0),G53/H53,"")</f>
        <v/>
      </c>
    </row>
    <row r="54">
      <c r="A54" s="4" t="inlineStr">
        <is>
          <t>320</t>
        </is>
      </c>
      <c r="B54" s="4" t="n">
        <v>3</v>
      </c>
      <c r="C54" s="4" t="inlineStr">
        <is>
          <t>antelope</t>
        </is>
      </c>
      <c r="D54" s="4" t="n">
        <v>2025</v>
      </c>
      <c r="E54" s="15" t="inlineStr">
        <is>
          <t>Draw</t>
        </is>
      </c>
      <c r="F54" s="5" t="n"/>
      <c r="G54" s="5" t="n"/>
      <c r="H54" s="5" t="n">
        <v>95</v>
      </c>
      <c r="I54" s="5" t="n">
        <v>63</v>
      </c>
      <c r="J54" s="5" t="n">
        <v>32</v>
      </c>
      <c r="K54" s="10">
        <f>IF(F54&gt;0,H54/F54,"")</f>
        <v/>
      </c>
      <c r="L54" s="16">
        <f>IF(AND(G54&gt;0,H54&gt;0),G54/H54,"")</f>
        <v/>
      </c>
    </row>
    <row r="55">
      <c r="A55" s="4" t="inlineStr">
        <is>
          <t>321</t>
        </is>
      </c>
      <c r="B55" s="4" t="n">
        <v>3</v>
      </c>
      <c r="C55" s="4" t="inlineStr">
        <is>
          <t>antelope</t>
        </is>
      </c>
      <c r="D55" s="4" t="n">
        <v>2021</v>
      </c>
      <c r="E55" s="4" t="inlineStr"/>
      <c r="F55" s="5" t="n"/>
      <c r="G55" s="5" t="n"/>
      <c r="H55" s="5" t="n">
        <v>194</v>
      </c>
      <c r="I55" s="5" t="n">
        <v>143</v>
      </c>
      <c r="J55" s="5" t="n">
        <v>51</v>
      </c>
      <c r="K55" s="10">
        <f>IF(F55&gt;0,H55/F55,"")</f>
        <v/>
      </c>
      <c r="L55" s="16">
        <f>IF(AND(G55&gt;0,H55&gt;0),G55/H55,"")</f>
        <v/>
      </c>
    </row>
    <row r="56">
      <c r="A56" s="4" t="inlineStr">
        <is>
          <t>322</t>
        </is>
      </c>
      <c r="B56" s="4" t="n">
        <v>3</v>
      </c>
      <c r="C56" s="4" t="inlineStr">
        <is>
          <t>antelope</t>
        </is>
      </c>
      <c r="D56" s="4" t="n">
        <v>2022</v>
      </c>
      <c r="E56" s="15" t="inlineStr">
        <is>
          <t>Draw</t>
        </is>
      </c>
      <c r="F56" s="5" t="n">
        <v>1129</v>
      </c>
      <c r="G56" s="5" t="n">
        <v>4180</v>
      </c>
      <c r="H56" s="5" t="n">
        <v>808</v>
      </c>
      <c r="I56" s="5" t="n">
        <v>477</v>
      </c>
      <c r="J56" s="5" t="n">
        <v>328</v>
      </c>
      <c r="K56" s="10">
        <f>IF(F56&gt;0,H56/F56,"")</f>
        <v/>
      </c>
      <c r="L56" s="16">
        <f>IF(AND(G56&gt;0,H56&gt;0),G56/H56,"")</f>
        <v/>
      </c>
    </row>
    <row r="57">
      <c r="A57" s="4" t="inlineStr">
        <is>
          <t>322</t>
        </is>
      </c>
      <c r="B57" s="4" t="n">
        <v>3</v>
      </c>
      <c r="C57" s="4" t="inlineStr">
        <is>
          <t>antelope</t>
        </is>
      </c>
      <c r="D57" s="4" t="n">
        <v>2023</v>
      </c>
      <c r="E57" s="15" t="inlineStr">
        <is>
          <t>Draw</t>
        </is>
      </c>
      <c r="F57" s="5" t="n"/>
      <c r="G57" s="5" t="n"/>
      <c r="H57" s="5" t="n">
        <v>432</v>
      </c>
      <c r="I57" s="5" t="n">
        <v>271</v>
      </c>
      <c r="J57" s="5" t="n">
        <v>159</v>
      </c>
      <c r="K57" s="10">
        <f>IF(F57&gt;0,H57/F57,"")</f>
        <v/>
      </c>
      <c r="L57" s="16">
        <f>IF(AND(G57&gt;0,H57&gt;0),G57/H57,"")</f>
        <v/>
      </c>
    </row>
    <row r="58">
      <c r="A58" s="4" t="inlineStr">
        <is>
          <t>322</t>
        </is>
      </c>
      <c r="B58" s="4" t="n">
        <v>3</v>
      </c>
      <c r="C58" s="4" t="inlineStr">
        <is>
          <t>antelope</t>
        </is>
      </c>
      <c r="D58" s="4" t="n">
        <v>2024</v>
      </c>
      <c r="E58" s="15" t="inlineStr">
        <is>
          <t>Draw</t>
        </is>
      </c>
      <c r="F58" s="5" t="n">
        <v>753</v>
      </c>
      <c r="G58" s="5" t="n">
        <v>3101</v>
      </c>
      <c r="H58" s="5" t="n">
        <v>433</v>
      </c>
      <c r="I58" s="5" t="n">
        <v>241</v>
      </c>
      <c r="J58" s="5" t="n">
        <v>182</v>
      </c>
      <c r="K58" s="10">
        <f>IF(F58&gt;0,H58/F58,"")</f>
        <v/>
      </c>
      <c r="L58" s="16">
        <f>IF(AND(G58&gt;0,H58&gt;0),G58/H58,"")</f>
        <v/>
      </c>
    </row>
    <row r="59">
      <c r="A59" s="4" t="inlineStr">
        <is>
          <t>322</t>
        </is>
      </c>
      <c r="B59" s="4" t="n">
        <v>3</v>
      </c>
      <c r="C59" s="4" t="inlineStr">
        <is>
          <t>antelope</t>
        </is>
      </c>
      <c r="D59" s="4" t="n">
        <v>2025</v>
      </c>
      <c r="E59" s="15" t="inlineStr">
        <is>
          <t>Draw</t>
        </is>
      </c>
      <c r="F59" s="5" t="n"/>
      <c r="G59" s="5" t="n"/>
      <c r="H59" s="5" t="n">
        <v>408</v>
      </c>
      <c r="I59" s="5" t="n">
        <v>231</v>
      </c>
      <c r="J59" s="5" t="n">
        <v>168</v>
      </c>
      <c r="K59" s="10">
        <f>IF(F59&gt;0,H59/F59,"")</f>
        <v/>
      </c>
      <c r="L59" s="16">
        <f>IF(AND(G59&gt;0,H59&gt;0),G59/H59,"")</f>
        <v/>
      </c>
    </row>
    <row r="60">
      <c r="A60" s="4" t="inlineStr">
        <is>
          <t>329</t>
        </is>
      </c>
      <c r="B60" s="4" t="n">
        <v>3</v>
      </c>
      <c r="C60" s="4" t="inlineStr">
        <is>
          <t>antelope</t>
        </is>
      </c>
      <c r="D60" s="4" t="n">
        <v>2021</v>
      </c>
      <c r="E60" s="15" t="inlineStr">
        <is>
          <t>Draw</t>
        </is>
      </c>
      <c r="F60" s="5" t="n"/>
      <c r="G60" s="5" t="n"/>
      <c r="H60" s="5" t="n">
        <v>34</v>
      </c>
      <c r="I60" s="5" t="n">
        <v>28</v>
      </c>
      <c r="J60" s="5" t="n">
        <v>6</v>
      </c>
      <c r="K60" s="10">
        <f>IF(F60&gt;0,H60/F60,"")</f>
        <v/>
      </c>
      <c r="L60" s="16">
        <f>IF(AND(G60&gt;0,H60&gt;0),G60/H60,"")</f>
        <v/>
      </c>
    </row>
    <row r="61">
      <c r="A61" s="4" t="inlineStr">
        <is>
          <t>329</t>
        </is>
      </c>
      <c r="B61" s="4" t="n">
        <v>3</v>
      </c>
      <c r="C61" s="4" t="inlineStr">
        <is>
          <t>antelope</t>
        </is>
      </c>
      <c r="D61" s="4" t="n">
        <v>2022</v>
      </c>
      <c r="E61" s="15" t="inlineStr">
        <is>
          <t>Draw</t>
        </is>
      </c>
      <c r="F61" s="5" t="n">
        <v>112</v>
      </c>
      <c r="G61" s="5" t="n">
        <v>319</v>
      </c>
      <c r="H61" s="5" t="n">
        <v>53</v>
      </c>
      <c r="I61" s="5" t="n">
        <v>45</v>
      </c>
      <c r="J61" s="5" t="n">
        <v>8</v>
      </c>
      <c r="K61" s="10">
        <f>IF(F61&gt;0,H61/F61,"")</f>
        <v/>
      </c>
      <c r="L61" s="16">
        <f>IF(AND(G61&gt;0,H61&gt;0),G61/H61,"")</f>
        <v/>
      </c>
    </row>
    <row r="62">
      <c r="A62" s="4" t="inlineStr">
        <is>
          <t>329</t>
        </is>
      </c>
      <c r="B62" s="4" t="n">
        <v>3</v>
      </c>
      <c r="C62" s="4" t="inlineStr">
        <is>
          <t>antelope</t>
        </is>
      </c>
      <c r="D62" s="4" t="n">
        <v>2023</v>
      </c>
      <c r="E62" s="15" t="inlineStr">
        <is>
          <t>Draw</t>
        </is>
      </c>
      <c r="F62" s="5" t="n"/>
      <c r="G62" s="5" t="n"/>
      <c r="H62" s="5" t="n">
        <v>51</v>
      </c>
      <c r="I62" s="5" t="n">
        <v>40</v>
      </c>
      <c r="J62" s="5" t="n">
        <v>10</v>
      </c>
      <c r="K62" s="10">
        <f>IF(F62&gt;0,H62/F62,"")</f>
        <v/>
      </c>
      <c r="L62" s="16">
        <f>IF(AND(G62&gt;0,H62&gt;0),G62/H62,"")</f>
        <v/>
      </c>
    </row>
    <row r="63">
      <c r="A63" s="4" t="inlineStr">
        <is>
          <t>329</t>
        </is>
      </c>
      <c r="B63" s="4" t="n">
        <v>3</v>
      </c>
      <c r="C63" s="4" t="inlineStr">
        <is>
          <t>antelope</t>
        </is>
      </c>
      <c r="D63" s="4" t="n">
        <v>2024</v>
      </c>
      <c r="E63" s="15" t="inlineStr">
        <is>
          <t>Draw</t>
        </is>
      </c>
      <c r="F63" s="5" t="n">
        <v>111</v>
      </c>
      <c r="G63" s="5" t="n">
        <v>391</v>
      </c>
      <c r="H63" s="5" t="n">
        <v>52</v>
      </c>
      <c r="I63" s="5" t="n">
        <v>41</v>
      </c>
      <c r="J63" s="5" t="n">
        <v>10</v>
      </c>
      <c r="K63" s="10">
        <f>IF(F63&gt;0,H63/F63,"")</f>
        <v/>
      </c>
      <c r="L63" s="16">
        <f>IF(AND(G63&gt;0,H63&gt;0),G63/H63,"")</f>
        <v/>
      </c>
    </row>
    <row r="64">
      <c r="A64" s="4" t="inlineStr">
        <is>
          <t>329</t>
        </is>
      </c>
      <c r="B64" s="4" t="n">
        <v>3</v>
      </c>
      <c r="C64" s="4" t="inlineStr">
        <is>
          <t>antelope</t>
        </is>
      </c>
      <c r="D64" s="4" t="n">
        <v>2025</v>
      </c>
      <c r="E64" s="15" t="inlineStr">
        <is>
          <t>Draw</t>
        </is>
      </c>
      <c r="F64" s="5" t="n"/>
      <c r="G64" s="5" t="n"/>
      <c r="H64" s="5" t="n">
        <v>48</v>
      </c>
      <c r="I64" s="5" t="n">
        <v>32</v>
      </c>
      <c r="J64" s="5" t="n">
        <v>16</v>
      </c>
      <c r="K64" s="10">
        <f>IF(F64&gt;0,H64/F64,"")</f>
        <v/>
      </c>
      <c r="L64" s="16">
        <f>IF(AND(G64&gt;0,H64&gt;0),G64/H64,"")</f>
        <v/>
      </c>
    </row>
    <row r="65">
      <c r="A65" s="4" t="inlineStr">
        <is>
          <t>330</t>
        </is>
      </c>
      <c r="B65" s="4" t="n">
        <v>3</v>
      </c>
      <c r="C65" s="4" t="inlineStr">
        <is>
          <t>antelope</t>
        </is>
      </c>
      <c r="D65" s="4" t="n">
        <v>2021</v>
      </c>
      <c r="E65" s="4" t="inlineStr"/>
      <c r="F65" s="5" t="n"/>
      <c r="G65" s="5" t="n"/>
      <c r="H65" s="5" t="n">
        <v>468</v>
      </c>
      <c r="I65" s="5" t="n">
        <v>257</v>
      </c>
      <c r="J65" s="5" t="n">
        <v>197</v>
      </c>
      <c r="K65" s="10">
        <f>IF(F65&gt;0,H65/F65,"")</f>
        <v/>
      </c>
      <c r="L65" s="16">
        <f>IF(AND(G65&gt;0,H65&gt;0),G65/H65,"")</f>
        <v/>
      </c>
    </row>
    <row r="66">
      <c r="A66" s="4" t="inlineStr">
        <is>
          <t>338</t>
        </is>
      </c>
      <c r="B66" s="4" t="n">
        <v>3</v>
      </c>
      <c r="C66" s="4" t="inlineStr">
        <is>
          <t>antelope</t>
        </is>
      </c>
      <c r="D66" s="4" t="n">
        <v>2021</v>
      </c>
      <c r="E66" s="15" t="inlineStr">
        <is>
          <t>Draw</t>
        </is>
      </c>
      <c r="F66" s="5" t="n"/>
      <c r="G66" s="5" t="n"/>
      <c r="H66" s="5" t="n">
        <v>68</v>
      </c>
      <c r="I66" s="5" t="n">
        <v>47</v>
      </c>
      <c r="J66" s="5" t="n">
        <v>19</v>
      </c>
      <c r="K66" s="10">
        <f>IF(F66&gt;0,H66/F66,"")</f>
        <v/>
      </c>
      <c r="L66" s="16">
        <f>IF(AND(G66&gt;0,H66&gt;0),G66/H66,"")</f>
        <v/>
      </c>
    </row>
    <row r="67">
      <c r="A67" s="4" t="inlineStr">
        <is>
          <t>338</t>
        </is>
      </c>
      <c r="B67" s="4" t="n">
        <v>3</v>
      </c>
      <c r="C67" s="4" t="inlineStr">
        <is>
          <t>antelope</t>
        </is>
      </c>
      <c r="D67" s="4" t="n">
        <v>2022</v>
      </c>
      <c r="E67" s="15" t="inlineStr">
        <is>
          <t>Draw</t>
        </is>
      </c>
      <c r="F67" s="5" t="n">
        <v>116</v>
      </c>
      <c r="G67" s="5" t="n">
        <v>586</v>
      </c>
      <c r="H67" s="5" t="n">
        <v>50</v>
      </c>
      <c r="I67" s="5" t="n">
        <v>38</v>
      </c>
      <c r="J67" s="5" t="n">
        <v>13</v>
      </c>
      <c r="K67" s="10">
        <f>IF(F67&gt;0,H67/F67,"")</f>
        <v/>
      </c>
      <c r="L67" s="16">
        <f>IF(AND(G67&gt;0,H67&gt;0),G67/H67,"")</f>
        <v/>
      </c>
    </row>
    <row r="68">
      <c r="A68" s="4" t="inlineStr">
        <is>
          <t>338</t>
        </is>
      </c>
      <c r="B68" s="4" t="n">
        <v>3</v>
      </c>
      <c r="C68" s="4" t="inlineStr">
        <is>
          <t>antelope</t>
        </is>
      </c>
      <c r="D68" s="4" t="n">
        <v>2023</v>
      </c>
      <c r="E68" s="15" t="inlineStr">
        <is>
          <t>Draw</t>
        </is>
      </c>
      <c r="F68" s="5" t="n"/>
      <c r="G68" s="5" t="n"/>
      <c r="H68" s="5" t="n">
        <v>79</v>
      </c>
      <c r="I68" s="5" t="n">
        <v>59</v>
      </c>
      <c r="J68" s="5" t="n">
        <v>21</v>
      </c>
      <c r="K68" s="10">
        <f>IF(F68&gt;0,H68/F68,"")</f>
        <v/>
      </c>
      <c r="L68" s="16">
        <f>IF(AND(G68&gt;0,H68&gt;0),G68/H68,"")</f>
        <v/>
      </c>
    </row>
    <row r="69">
      <c r="A69" s="4" t="inlineStr">
        <is>
          <t>338</t>
        </is>
      </c>
      <c r="B69" s="4" t="n">
        <v>3</v>
      </c>
      <c r="C69" s="4" t="inlineStr">
        <is>
          <t>antelope</t>
        </is>
      </c>
      <c r="D69" s="4" t="n">
        <v>2024</v>
      </c>
      <c r="E69" s="15" t="inlineStr">
        <is>
          <t>Draw</t>
        </is>
      </c>
      <c r="F69" s="5" t="n">
        <v>139</v>
      </c>
      <c r="G69" s="5" t="n">
        <v>721</v>
      </c>
      <c r="H69" s="5" t="n">
        <v>56</v>
      </c>
      <c r="I69" s="5" t="n">
        <v>51</v>
      </c>
      <c r="J69" s="5" t="n">
        <v>5</v>
      </c>
      <c r="K69" s="10">
        <f>IF(F69&gt;0,H69/F69,"")</f>
        <v/>
      </c>
      <c r="L69" s="16">
        <f>IF(AND(G69&gt;0,H69&gt;0),G69/H69,"")</f>
        <v/>
      </c>
    </row>
    <row r="70">
      <c r="A70" s="4" t="inlineStr">
        <is>
          <t>338</t>
        </is>
      </c>
      <c r="B70" s="4" t="n">
        <v>3</v>
      </c>
      <c r="C70" s="4" t="inlineStr">
        <is>
          <t>antelope</t>
        </is>
      </c>
      <c r="D70" s="4" t="n">
        <v>2025</v>
      </c>
      <c r="E70" s="15" t="inlineStr">
        <is>
          <t>Draw</t>
        </is>
      </c>
      <c r="F70" s="5" t="n"/>
      <c r="G70" s="5" t="n"/>
      <c r="H70" s="5" t="n">
        <v>87</v>
      </c>
      <c r="I70" s="5" t="n">
        <v>85</v>
      </c>
      <c r="J70" s="5" t="n">
        <v>2</v>
      </c>
      <c r="K70" s="10">
        <f>IF(F70&gt;0,H70/F70,"")</f>
        <v/>
      </c>
      <c r="L70" s="16">
        <f>IF(AND(G70&gt;0,H70&gt;0),G70/H70,"")</f>
        <v/>
      </c>
    </row>
    <row r="71">
      <c r="A71" s="4" t="inlineStr">
        <is>
          <t>339</t>
        </is>
      </c>
      <c r="B71" s="4" t="n">
        <v>3</v>
      </c>
      <c r="C71" s="4" t="inlineStr">
        <is>
          <t>antelope</t>
        </is>
      </c>
      <c r="D71" s="4" t="n">
        <v>2021</v>
      </c>
      <c r="E71" s="15" t="inlineStr">
        <is>
          <t>Draw</t>
        </is>
      </c>
      <c r="F71" s="5" t="n"/>
      <c r="G71" s="5" t="n"/>
      <c r="H71" s="5" t="n">
        <v>69</v>
      </c>
      <c r="I71" s="5" t="n">
        <v>47</v>
      </c>
      <c r="J71" s="5" t="n">
        <v>22</v>
      </c>
      <c r="K71" s="10">
        <f>IF(F71&gt;0,H71/F71,"")</f>
        <v/>
      </c>
      <c r="L71" s="16">
        <f>IF(AND(G71&gt;0,H71&gt;0),G71/H71,"")</f>
        <v/>
      </c>
    </row>
    <row r="72">
      <c r="A72" s="4" t="inlineStr">
        <is>
          <t>339</t>
        </is>
      </c>
      <c r="B72" s="4" t="n">
        <v>3</v>
      </c>
      <c r="C72" s="4" t="inlineStr">
        <is>
          <t>antelope</t>
        </is>
      </c>
      <c r="D72" s="4" t="n">
        <v>2022</v>
      </c>
      <c r="E72" s="15" t="inlineStr">
        <is>
          <t>Draw</t>
        </is>
      </c>
      <c r="F72" s="5" t="n">
        <v>92</v>
      </c>
      <c r="G72" s="5" t="n">
        <v>551</v>
      </c>
      <c r="H72" s="5" t="n">
        <v>47</v>
      </c>
      <c r="I72" s="5" t="n">
        <v>24</v>
      </c>
      <c r="J72" s="5" t="n">
        <v>23</v>
      </c>
      <c r="K72" s="10">
        <f>IF(F72&gt;0,H72/F72,"")</f>
        <v/>
      </c>
      <c r="L72" s="16">
        <f>IF(AND(G72&gt;0,H72&gt;0),G72/H72,"")</f>
        <v/>
      </c>
    </row>
    <row r="73">
      <c r="A73" s="4" t="inlineStr">
        <is>
          <t>339</t>
        </is>
      </c>
      <c r="B73" s="4" t="n">
        <v>3</v>
      </c>
      <c r="C73" s="4" t="inlineStr">
        <is>
          <t>antelope</t>
        </is>
      </c>
      <c r="D73" s="4" t="n">
        <v>2023</v>
      </c>
      <c r="E73" s="15" t="inlineStr">
        <is>
          <t>Draw</t>
        </is>
      </c>
      <c r="F73" s="5" t="n"/>
      <c r="G73" s="5" t="n"/>
      <c r="H73" s="5" t="n">
        <v>44</v>
      </c>
      <c r="I73" s="5" t="n">
        <v>37</v>
      </c>
      <c r="J73" s="5" t="n">
        <v>7</v>
      </c>
      <c r="K73" s="10">
        <f>IF(F73&gt;0,H73/F73,"")</f>
        <v/>
      </c>
      <c r="L73" s="16">
        <f>IF(AND(G73&gt;0,H73&gt;0),G73/H73,"")</f>
        <v/>
      </c>
    </row>
    <row r="74">
      <c r="A74" s="4" t="inlineStr">
        <is>
          <t>339</t>
        </is>
      </c>
      <c r="B74" s="4" t="n">
        <v>3</v>
      </c>
      <c r="C74" s="4" t="inlineStr">
        <is>
          <t>antelope</t>
        </is>
      </c>
      <c r="D74" s="4" t="n">
        <v>2024</v>
      </c>
      <c r="E74" s="15" t="inlineStr">
        <is>
          <t>Draw</t>
        </is>
      </c>
      <c r="F74" s="5" t="n">
        <v>67</v>
      </c>
      <c r="G74" s="5" t="n">
        <v>253</v>
      </c>
      <c r="H74" s="5" t="n">
        <v>37</v>
      </c>
      <c r="I74" s="5" t="n">
        <v>30</v>
      </c>
      <c r="J74" s="5" t="n">
        <v>7</v>
      </c>
      <c r="K74" s="10">
        <f>IF(F74&gt;0,H74/F74,"")</f>
        <v/>
      </c>
      <c r="L74" s="16">
        <f>IF(AND(G74&gt;0,H74&gt;0),G74/H74,"")</f>
        <v/>
      </c>
    </row>
    <row r="75">
      <c r="A75" s="4" t="inlineStr">
        <is>
          <t>339</t>
        </is>
      </c>
      <c r="B75" s="4" t="n">
        <v>3</v>
      </c>
      <c r="C75" s="4" t="inlineStr">
        <is>
          <t>antelope</t>
        </is>
      </c>
      <c r="D75" s="4" t="n">
        <v>2025</v>
      </c>
      <c r="E75" s="15" t="inlineStr">
        <is>
          <t>Draw</t>
        </is>
      </c>
      <c r="F75" s="5" t="n"/>
      <c r="G75" s="5" t="n"/>
      <c r="H75" s="5" t="n">
        <v>42</v>
      </c>
      <c r="I75" s="5" t="n">
        <v>41</v>
      </c>
      <c r="J75" s="5" t="n">
        <v>2</v>
      </c>
      <c r="K75" s="10">
        <f>IF(F75&gt;0,H75/F75,"")</f>
        <v/>
      </c>
      <c r="L75" s="16">
        <f>IF(AND(G75&gt;0,H75&gt;0),G75/H75,"")</f>
        <v/>
      </c>
    </row>
    <row r="76">
      <c r="A76" s="4" t="inlineStr">
        <is>
          <t>340</t>
        </is>
      </c>
      <c r="B76" s="4" t="n">
        <v>3</v>
      </c>
      <c r="C76" s="4" t="inlineStr">
        <is>
          <t>antelope</t>
        </is>
      </c>
      <c r="D76" s="4" t="n">
        <v>2021</v>
      </c>
      <c r="E76" s="15" t="inlineStr">
        <is>
          <t>Draw</t>
        </is>
      </c>
      <c r="F76" s="5" t="n"/>
      <c r="G76" s="5" t="n"/>
      <c r="H76" s="5" t="n">
        <v>92</v>
      </c>
      <c r="I76" s="5" t="n">
        <v>52</v>
      </c>
      <c r="J76" s="5" t="n">
        <v>40</v>
      </c>
      <c r="K76" s="10">
        <f>IF(F76&gt;0,H76/F76,"")</f>
        <v/>
      </c>
      <c r="L76" s="16">
        <f>IF(AND(G76&gt;0,H76&gt;0),G76/H76,"")</f>
        <v/>
      </c>
    </row>
    <row r="77">
      <c r="A77" s="4" t="inlineStr">
        <is>
          <t>340</t>
        </is>
      </c>
      <c r="B77" s="4" t="n">
        <v>3</v>
      </c>
      <c r="C77" s="4" t="inlineStr">
        <is>
          <t>antelope</t>
        </is>
      </c>
      <c r="D77" s="4" t="n">
        <v>2022</v>
      </c>
      <c r="E77" s="15" t="inlineStr">
        <is>
          <t>Draw</t>
        </is>
      </c>
      <c r="F77" s="5" t="n">
        <v>396</v>
      </c>
      <c r="G77" s="5" t="n">
        <v>1733</v>
      </c>
      <c r="H77" s="5" t="n">
        <v>252</v>
      </c>
      <c r="I77" s="5" t="n">
        <v>205</v>
      </c>
      <c r="J77" s="5" t="n">
        <v>48</v>
      </c>
      <c r="K77" s="10">
        <f>IF(F77&gt;0,H77/F77,"")</f>
        <v/>
      </c>
      <c r="L77" s="16">
        <f>IF(AND(G77&gt;0,H77&gt;0),G77/H77,"")</f>
        <v/>
      </c>
    </row>
    <row r="78">
      <c r="A78" s="4" t="inlineStr">
        <is>
          <t>340</t>
        </is>
      </c>
      <c r="B78" s="4" t="n">
        <v>3</v>
      </c>
      <c r="C78" s="4" t="inlineStr">
        <is>
          <t>antelope</t>
        </is>
      </c>
      <c r="D78" s="4" t="n">
        <v>2023</v>
      </c>
      <c r="E78" s="15" t="inlineStr">
        <is>
          <t>Draw</t>
        </is>
      </c>
      <c r="F78" s="5" t="n"/>
      <c r="G78" s="5" t="n"/>
      <c r="H78" s="5" t="n">
        <v>247</v>
      </c>
      <c r="I78" s="5" t="n">
        <v>150</v>
      </c>
      <c r="J78" s="5" t="n">
        <v>92</v>
      </c>
      <c r="K78" s="10">
        <f>IF(F78&gt;0,H78/F78,"")</f>
        <v/>
      </c>
      <c r="L78" s="16">
        <f>IF(AND(G78&gt;0,H78&gt;0),G78/H78,"")</f>
        <v/>
      </c>
    </row>
    <row r="79">
      <c r="A79" s="4" t="inlineStr">
        <is>
          <t>340</t>
        </is>
      </c>
      <c r="B79" s="4" t="n">
        <v>3</v>
      </c>
      <c r="C79" s="4" t="inlineStr">
        <is>
          <t>antelope</t>
        </is>
      </c>
      <c r="D79" s="4" t="n">
        <v>2024</v>
      </c>
      <c r="E79" s="15" t="inlineStr">
        <is>
          <t>Draw</t>
        </is>
      </c>
      <c r="F79" s="5" t="n">
        <v>417</v>
      </c>
      <c r="G79" s="5" t="n">
        <v>1998</v>
      </c>
      <c r="H79" s="5" t="n">
        <v>335</v>
      </c>
      <c r="I79" s="5" t="n">
        <v>174</v>
      </c>
      <c r="J79" s="5" t="n">
        <v>152</v>
      </c>
      <c r="K79" s="10">
        <f>IF(F79&gt;0,H79/F79,"")</f>
        <v/>
      </c>
      <c r="L79" s="16">
        <f>IF(AND(G79&gt;0,H79&gt;0),G79/H79,"")</f>
        <v/>
      </c>
    </row>
    <row r="80">
      <c r="A80" s="4" t="inlineStr">
        <is>
          <t>340</t>
        </is>
      </c>
      <c r="B80" s="4" t="n">
        <v>3</v>
      </c>
      <c r="C80" s="4" t="inlineStr">
        <is>
          <t>antelope</t>
        </is>
      </c>
      <c r="D80" s="4" t="n">
        <v>2025</v>
      </c>
      <c r="E80" s="15" t="inlineStr">
        <is>
          <t>Draw</t>
        </is>
      </c>
      <c r="F80" s="5" t="n"/>
      <c r="G80" s="5" t="n"/>
      <c r="H80" s="5" t="n">
        <v>320</v>
      </c>
      <c r="I80" s="5" t="n">
        <v>179</v>
      </c>
      <c r="J80" s="5" t="n">
        <v>137</v>
      </c>
      <c r="K80" s="10">
        <f>IF(F80&gt;0,H80/F80,"")</f>
        <v/>
      </c>
      <c r="L80" s="16">
        <f>IF(AND(G80&gt;0,H80&gt;0),G80/H80,"")</f>
        <v/>
      </c>
    </row>
    <row r="81">
      <c r="A81" s="4" t="inlineStr">
        <is>
          <t>341</t>
        </is>
      </c>
      <c r="B81" s="4" t="n">
        <v>3</v>
      </c>
      <c r="C81" s="4" t="inlineStr">
        <is>
          <t>antelope</t>
        </is>
      </c>
      <c r="D81" s="4" t="n">
        <v>2021</v>
      </c>
      <c r="E81" s="4" t="inlineStr"/>
      <c r="F81" s="5" t="n"/>
      <c r="G81" s="5" t="n"/>
      <c r="H81" s="5" t="n">
        <v>200</v>
      </c>
      <c r="I81" s="5" t="n">
        <v>121</v>
      </c>
      <c r="J81" s="5" t="n">
        <v>76</v>
      </c>
      <c r="K81" s="10">
        <f>IF(F81&gt;0,H81/F81,"")</f>
        <v/>
      </c>
      <c r="L81" s="16">
        <f>IF(AND(G81&gt;0,H81&gt;0),G81/H81,"")</f>
        <v/>
      </c>
    </row>
    <row r="82">
      <c r="A82" s="4" t="inlineStr">
        <is>
          <t>350</t>
        </is>
      </c>
      <c r="B82" s="4" t="n">
        <v>3</v>
      </c>
      <c r="C82" s="4" t="inlineStr">
        <is>
          <t>antelope</t>
        </is>
      </c>
      <c r="D82" s="4" t="n">
        <v>2021</v>
      </c>
      <c r="E82" s="15" t="inlineStr">
        <is>
          <t>Draw</t>
        </is>
      </c>
      <c r="F82" s="5" t="n"/>
      <c r="G82" s="5" t="n"/>
      <c r="H82" s="5" t="n">
        <v>59</v>
      </c>
      <c r="I82" s="5" t="n">
        <v>26</v>
      </c>
      <c r="J82" s="5" t="n">
        <v>29</v>
      </c>
      <c r="K82" s="10">
        <f>IF(F82&gt;0,H82/F82,"")</f>
        <v/>
      </c>
      <c r="L82" s="16">
        <f>IF(AND(G82&gt;0,H82&gt;0),G82/H82,"")</f>
        <v/>
      </c>
    </row>
    <row r="83">
      <c r="A83" s="4" t="inlineStr">
        <is>
          <t>350</t>
        </is>
      </c>
      <c r="B83" s="4" t="n">
        <v>3</v>
      </c>
      <c r="C83" s="4" t="inlineStr">
        <is>
          <t>antelope</t>
        </is>
      </c>
      <c r="D83" s="4" t="n">
        <v>2022</v>
      </c>
      <c r="E83" s="15" t="inlineStr">
        <is>
          <t>Draw</t>
        </is>
      </c>
      <c r="F83" s="5" t="n">
        <v>105</v>
      </c>
      <c r="G83" s="5" t="n">
        <v>691</v>
      </c>
      <c r="H83" s="5" t="n">
        <v>77</v>
      </c>
      <c r="I83" s="5" t="n">
        <v>41</v>
      </c>
      <c r="J83" s="5" t="n">
        <v>36</v>
      </c>
      <c r="K83" s="10">
        <f>IF(F83&gt;0,H83/F83,"")</f>
        <v/>
      </c>
      <c r="L83" s="16">
        <f>IF(AND(G83&gt;0,H83&gt;0),G83/H83,"")</f>
        <v/>
      </c>
    </row>
    <row r="84">
      <c r="A84" s="4" t="inlineStr">
        <is>
          <t>350</t>
        </is>
      </c>
      <c r="B84" s="4" t="n">
        <v>3</v>
      </c>
      <c r="C84" s="4" t="inlineStr">
        <is>
          <t>antelope</t>
        </is>
      </c>
      <c r="D84" s="4" t="n">
        <v>2023</v>
      </c>
      <c r="E84" s="15" t="inlineStr">
        <is>
          <t>Draw</t>
        </is>
      </c>
      <c r="F84" s="5" t="n"/>
      <c r="G84" s="5" t="n"/>
      <c r="H84" s="5" t="n">
        <v>70</v>
      </c>
      <c r="I84" s="5" t="n">
        <v>39</v>
      </c>
      <c r="J84" s="5" t="n">
        <v>32</v>
      </c>
      <c r="K84" s="10">
        <f>IF(F84&gt;0,H84/F84,"")</f>
        <v/>
      </c>
      <c r="L84" s="16">
        <f>IF(AND(G84&gt;0,H84&gt;0),G84/H84,"")</f>
        <v/>
      </c>
    </row>
    <row r="85">
      <c r="A85" s="4" t="inlineStr">
        <is>
          <t>350</t>
        </is>
      </c>
      <c r="B85" s="4" t="n">
        <v>3</v>
      </c>
      <c r="C85" s="4" t="inlineStr">
        <is>
          <t>antelope</t>
        </is>
      </c>
      <c r="D85" s="4" t="n">
        <v>2024</v>
      </c>
      <c r="E85" s="15" t="inlineStr">
        <is>
          <t>Draw</t>
        </is>
      </c>
      <c r="F85" s="5" t="n">
        <v>85</v>
      </c>
      <c r="G85" s="5" t="n">
        <v>420</v>
      </c>
      <c r="H85" s="5" t="n">
        <v>66</v>
      </c>
      <c r="I85" s="5" t="n">
        <v>33</v>
      </c>
      <c r="J85" s="5" t="n">
        <v>34</v>
      </c>
      <c r="K85" s="10">
        <f>IF(F85&gt;0,H85/F85,"")</f>
        <v/>
      </c>
      <c r="L85" s="16">
        <f>IF(AND(G85&gt;0,H85&gt;0),G85/H85,"")</f>
        <v/>
      </c>
    </row>
    <row r="86">
      <c r="A86" s="4" t="inlineStr">
        <is>
          <t>350</t>
        </is>
      </c>
      <c r="B86" s="4" t="n">
        <v>3</v>
      </c>
      <c r="C86" s="4" t="inlineStr">
        <is>
          <t>antelope</t>
        </is>
      </c>
      <c r="D86" s="4" t="n">
        <v>2025</v>
      </c>
      <c r="E86" s="15" t="inlineStr">
        <is>
          <t>Draw</t>
        </is>
      </c>
      <c r="F86" s="5" t="n"/>
      <c r="G86" s="5" t="n"/>
      <c r="H86" s="5" t="n">
        <v>107</v>
      </c>
      <c r="I86" s="5" t="n">
        <v>43</v>
      </c>
      <c r="J86" s="5" t="n">
        <v>64</v>
      </c>
      <c r="K86" s="10">
        <f>IF(F86&gt;0,H86/F86,"")</f>
        <v/>
      </c>
      <c r="L86" s="16">
        <f>IF(AND(G86&gt;0,H86&gt;0),G86/H86,"")</f>
        <v/>
      </c>
    </row>
    <row r="87">
      <c r="A87" s="4" t="inlineStr">
        <is>
          <t>360</t>
        </is>
      </c>
      <c r="B87" s="4" t="n">
        <v>3</v>
      </c>
      <c r="C87" s="4" t="inlineStr">
        <is>
          <t>antelope</t>
        </is>
      </c>
      <c r="D87" s="4" t="n">
        <v>2021</v>
      </c>
      <c r="E87" s="15" t="inlineStr">
        <is>
          <t>Draw</t>
        </is>
      </c>
      <c r="F87" s="5" t="n"/>
      <c r="G87" s="5" t="n"/>
      <c r="H87" s="5" t="n">
        <v>161</v>
      </c>
      <c r="I87" s="5" t="n">
        <v>101</v>
      </c>
      <c r="J87" s="5" t="n">
        <v>60</v>
      </c>
      <c r="K87" s="10">
        <f>IF(F87&gt;0,H87/F87,"")</f>
        <v/>
      </c>
      <c r="L87" s="16">
        <f>IF(AND(G87&gt;0,H87&gt;0),G87/H87,"")</f>
        <v/>
      </c>
    </row>
    <row r="88">
      <c r="A88" s="4" t="inlineStr">
        <is>
          <t>360</t>
        </is>
      </c>
      <c r="B88" s="4" t="n">
        <v>3</v>
      </c>
      <c r="C88" s="4" t="inlineStr">
        <is>
          <t>antelope</t>
        </is>
      </c>
      <c r="D88" s="4" t="n">
        <v>2022</v>
      </c>
      <c r="E88" s="15" t="inlineStr">
        <is>
          <t>Draw</t>
        </is>
      </c>
      <c r="F88" s="5" t="n">
        <v>438</v>
      </c>
      <c r="G88" s="5" t="n">
        <v>1575</v>
      </c>
      <c r="H88" s="5" t="n">
        <v>246</v>
      </c>
      <c r="I88" s="5" t="n">
        <v>155</v>
      </c>
      <c r="J88" s="5" t="n">
        <v>90</v>
      </c>
      <c r="K88" s="10">
        <f>IF(F88&gt;0,H88/F88,"")</f>
        <v/>
      </c>
      <c r="L88" s="16">
        <f>IF(AND(G88&gt;0,H88&gt;0),G88/H88,"")</f>
        <v/>
      </c>
    </row>
    <row r="89">
      <c r="A89" s="4" t="inlineStr">
        <is>
          <t>360</t>
        </is>
      </c>
      <c r="B89" s="4" t="n">
        <v>3</v>
      </c>
      <c r="C89" s="4" t="inlineStr">
        <is>
          <t>antelope</t>
        </is>
      </c>
      <c r="D89" s="4" t="n">
        <v>2023</v>
      </c>
      <c r="E89" s="15" t="inlineStr">
        <is>
          <t>Draw</t>
        </is>
      </c>
      <c r="F89" s="5" t="n"/>
      <c r="G89" s="5" t="n"/>
      <c r="H89" s="5" t="n">
        <v>160</v>
      </c>
      <c r="I89" s="5" t="n">
        <v>119</v>
      </c>
      <c r="J89" s="5" t="n">
        <v>41</v>
      </c>
      <c r="K89" s="10">
        <f>IF(F89&gt;0,H89/F89,"")</f>
        <v/>
      </c>
      <c r="L89" s="16">
        <f>IF(AND(G89&gt;0,H89&gt;0),G89/H89,"")</f>
        <v/>
      </c>
    </row>
    <row r="90">
      <c r="A90" s="4" t="inlineStr">
        <is>
          <t>360</t>
        </is>
      </c>
      <c r="B90" s="4" t="n">
        <v>3</v>
      </c>
      <c r="C90" s="4" t="inlineStr">
        <is>
          <t>antelope</t>
        </is>
      </c>
      <c r="D90" s="4" t="n">
        <v>2024</v>
      </c>
      <c r="E90" s="15" t="inlineStr">
        <is>
          <t>Draw</t>
        </is>
      </c>
      <c r="F90" s="5" t="n">
        <v>333</v>
      </c>
      <c r="G90" s="5" t="n">
        <v>1411</v>
      </c>
      <c r="H90" s="5" t="n">
        <v>180</v>
      </c>
      <c r="I90" s="5" t="n">
        <v>126</v>
      </c>
      <c r="J90" s="5" t="n">
        <v>54</v>
      </c>
      <c r="K90" s="10">
        <f>IF(F90&gt;0,H90/F90,"")</f>
        <v/>
      </c>
      <c r="L90" s="16">
        <f>IF(AND(G90&gt;0,H90&gt;0),G90/H90,"")</f>
        <v/>
      </c>
    </row>
    <row r="91">
      <c r="A91" s="4" t="inlineStr">
        <is>
          <t>360</t>
        </is>
      </c>
      <c r="B91" s="4" t="n">
        <v>3</v>
      </c>
      <c r="C91" s="4" t="inlineStr">
        <is>
          <t>antelope</t>
        </is>
      </c>
      <c r="D91" s="4" t="n">
        <v>2025</v>
      </c>
      <c r="E91" s="15" t="inlineStr">
        <is>
          <t>Draw</t>
        </is>
      </c>
      <c r="F91" s="5" t="n"/>
      <c r="G91" s="5" t="n"/>
      <c r="H91" s="5" t="n">
        <v>158</v>
      </c>
      <c r="I91" s="5" t="n">
        <v>117</v>
      </c>
      <c r="J91" s="5" t="n">
        <v>41</v>
      </c>
      <c r="K91" s="10">
        <f>IF(F91&gt;0,H91/F91,"")</f>
        <v/>
      </c>
      <c r="L91" s="16">
        <f>IF(AND(G91&gt;0,H91&gt;0),G91/H91,"")</f>
        <v/>
      </c>
    </row>
    <row r="92">
      <c r="A92" s="4" t="inlineStr">
        <is>
          <t>370</t>
        </is>
      </c>
      <c r="B92" s="4" t="n">
        <v>3</v>
      </c>
      <c r="C92" s="4" t="inlineStr">
        <is>
          <t>antelope</t>
        </is>
      </c>
      <c r="D92" s="4" t="n">
        <v>2021</v>
      </c>
      <c r="E92" s="15" t="inlineStr">
        <is>
          <t>Draw</t>
        </is>
      </c>
      <c r="F92" s="5" t="n"/>
      <c r="G92" s="5" t="n"/>
      <c r="H92" s="5" t="n">
        <v>38</v>
      </c>
      <c r="I92" s="5" t="n">
        <v>32</v>
      </c>
      <c r="J92" s="5" t="n">
        <v>6</v>
      </c>
      <c r="K92" s="10">
        <f>IF(F92&gt;0,H92/F92,"")</f>
        <v/>
      </c>
      <c r="L92" s="16">
        <f>IF(AND(G92&gt;0,H92&gt;0),G92/H92,"")</f>
        <v/>
      </c>
    </row>
    <row r="93">
      <c r="A93" s="4" t="inlineStr">
        <is>
          <t>370</t>
        </is>
      </c>
      <c r="B93" s="4" t="n">
        <v>3</v>
      </c>
      <c r="C93" s="4" t="inlineStr">
        <is>
          <t>antelope</t>
        </is>
      </c>
      <c r="D93" s="4" t="n">
        <v>2022</v>
      </c>
      <c r="E93" s="15" t="inlineStr">
        <is>
          <t>Draw</t>
        </is>
      </c>
      <c r="F93" s="5" t="n">
        <v>72</v>
      </c>
      <c r="G93" s="5" t="n">
        <v>410</v>
      </c>
      <c r="H93" s="5" t="n">
        <v>42</v>
      </c>
      <c r="I93" s="5" t="n">
        <v>34</v>
      </c>
      <c r="J93" s="5" t="n">
        <v>9</v>
      </c>
      <c r="K93" s="10">
        <f>IF(F93&gt;0,H93/F93,"")</f>
        <v/>
      </c>
      <c r="L93" s="16">
        <f>IF(AND(G93&gt;0,H93&gt;0),G93/H93,"")</f>
        <v/>
      </c>
    </row>
    <row r="94">
      <c r="A94" s="4" t="inlineStr">
        <is>
          <t>370</t>
        </is>
      </c>
      <c r="B94" s="4" t="n">
        <v>3</v>
      </c>
      <c r="C94" s="4" t="inlineStr">
        <is>
          <t>antelope</t>
        </is>
      </c>
      <c r="D94" s="4" t="n">
        <v>2023</v>
      </c>
      <c r="E94" s="15" t="inlineStr">
        <is>
          <t>Draw</t>
        </is>
      </c>
      <c r="F94" s="5" t="n"/>
      <c r="G94" s="5" t="n"/>
      <c r="H94" s="5" t="n">
        <v>61</v>
      </c>
      <c r="I94" s="5" t="n">
        <v>41</v>
      </c>
      <c r="J94" s="5" t="n">
        <v>18</v>
      </c>
      <c r="K94" s="10">
        <f>IF(F94&gt;0,H94/F94,"")</f>
        <v/>
      </c>
      <c r="L94" s="16">
        <f>IF(AND(G94&gt;0,H94&gt;0),G94/H94,"")</f>
        <v/>
      </c>
    </row>
    <row r="95">
      <c r="A95" s="4" t="inlineStr">
        <is>
          <t>370</t>
        </is>
      </c>
      <c r="B95" s="4" t="n">
        <v>3</v>
      </c>
      <c r="C95" s="4" t="inlineStr">
        <is>
          <t>antelope</t>
        </is>
      </c>
      <c r="D95" s="4" t="n">
        <v>2024</v>
      </c>
      <c r="E95" s="15" t="inlineStr">
        <is>
          <t>Draw</t>
        </is>
      </c>
      <c r="F95" s="5" t="n">
        <v>90</v>
      </c>
      <c r="G95" s="5" t="n">
        <v>490</v>
      </c>
      <c r="H95" s="5" t="n">
        <v>69</v>
      </c>
      <c r="I95" s="5" t="n">
        <v>49</v>
      </c>
      <c r="J95" s="5" t="n">
        <v>20</v>
      </c>
      <c r="K95" s="10">
        <f>IF(F95&gt;0,H95/F95,"")</f>
        <v/>
      </c>
      <c r="L95" s="16">
        <f>IF(AND(G95&gt;0,H95&gt;0),G95/H95,"")</f>
        <v/>
      </c>
    </row>
    <row r="96">
      <c r="A96" s="4" t="inlineStr">
        <is>
          <t>370</t>
        </is>
      </c>
      <c r="B96" s="4" t="n">
        <v>3</v>
      </c>
      <c r="C96" s="4" t="inlineStr">
        <is>
          <t>antelope</t>
        </is>
      </c>
      <c r="D96" s="4" t="n">
        <v>2025</v>
      </c>
      <c r="E96" s="15" t="inlineStr">
        <is>
          <t>Draw</t>
        </is>
      </c>
      <c r="F96" s="5" t="n"/>
      <c r="G96" s="5" t="n"/>
      <c r="H96" s="5" t="n">
        <v>68</v>
      </c>
      <c r="I96" s="5" t="n">
        <v>41</v>
      </c>
      <c r="J96" s="5" t="n">
        <v>27</v>
      </c>
      <c r="K96" s="10">
        <f>IF(F96&gt;0,H96/F96,"")</f>
        <v/>
      </c>
      <c r="L96" s="16">
        <f>IF(AND(G96&gt;0,H96&gt;0),G96/H96,"")</f>
        <v/>
      </c>
    </row>
    <row r="97">
      <c r="A97" s="4" t="inlineStr">
        <is>
          <t>371</t>
        </is>
      </c>
      <c r="B97" s="4" t="n">
        <v>3</v>
      </c>
      <c r="C97" s="4" t="inlineStr">
        <is>
          <t>antelope</t>
        </is>
      </c>
      <c r="D97" s="4" t="n">
        <v>2021</v>
      </c>
      <c r="E97" s="15" t="inlineStr">
        <is>
          <t>Draw</t>
        </is>
      </c>
      <c r="F97" s="5" t="n"/>
      <c r="G97" s="5" t="n"/>
      <c r="H97" s="5" t="n">
        <v>29</v>
      </c>
      <c r="I97" s="5" t="n">
        <v>23</v>
      </c>
      <c r="J97" s="5" t="n">
        <v>6</v>
      </c>
      <c r="K97" s="10">
        <f>IF(F97&gt;0,H97/F97,"")</f>
        <v/>
      </c>
      <c r="L97" s="16">
        <f>IF(AND(G97&gt;0,H97&gt;0),G97/H97,"")</f>
        <v/>
      </c>
    </row>
    <row r="98">
      <c r="A98" s="4" t="inlineStr">
        <is>
          <t>371</t>
        </is>
      </c>
      <c r="B98" s="4" t="n">
        <v>3</v>
      </c>
      <c r="C98" s="4" t="inlineStr">
        <is>
          <t>antelope</t>
        </is>
      </c>
      <c r="D98" s="4" t="n">
        <v>2022</v>
      </c>
      <c r="E98" s="15" t="inlineStr">
        <is>
          <t>Draw</t>
        </is>
      </c>
      <c r="F98" s="5" t="n">
        <v>67</v>
      </c>
      <c r="G98" s="5" t="n">
        <v>316</v>
      </c>
      <c r="H98" s="5" t="n">
        <v>32</v>
      </c>
      <c r="I98" s="5" t="n">
        <v>23</v>
      </c>
      <c r="J98" s="5" t="n">
        <v>9</v>
      </c>
      <c r="K98" s="10">
        <f>IF(F98&gt;0,H98/F98,"")</f>
        <v/>
      </c>
      <c r="L98" s="16">
        <f>IF(AND(G98&gt;0,H98&gt;0),G98/H98,"")</f>
        <v/>
      </c>
    </row>
    <row r="99">
      <c r="A99" s="4" t="inlineStr">
        <is>
          <t>371</t>
        </is>
      </c>
      <c r="B99" s="4" t="n">
        <v>3</v>
      </c>
      <c r="C99" s="4" t="inlineStr">
        <is>
          <t>antelope</t>
        </is>
      </c>
      <c r="D99" s="4" t="n">
        <v>2023</v>
      </c>
      <c r="E99" s="15" t="inlineStr">
        <is>
          <t>Draw</t>
        </is>
      </c>
      <c r="F99" s="5" t="n"/>
      <c r="G99" s="5" t="n"/>
      <c r="H99" s="5" t="n">
        <v>18</v>
      </c>
      <c r="I99" s="5" t="n">
        <v>12</v>
      </c>
      <c r="J99" s="5" t="n">
        <v>6</v>
      </c>
      <c r="K99" s="10">
        <f>IF(F99&gt;0,H99/F99,"")</f>
        <v/>
      </c>
      <c r="L99" s="16">
        <f>IF(AND(G99&gt;0,H99&gt;0),G99/H99,"")</f>
        <v/>
      </c>
    </row>
    <row r="100">
      <c r="A100" s="4" t="inlineStr">
        <is>
          <t>371</t>
        </is>
      </c>
      <c r="B100" s="4" t="n">
        <v>3</v>
      </c>
      <c r="C100" s="4" t="inlineStr">
        <is>
          <t>antelope</t>
        </is>
      </c>
      <c r="D100" s="4" t="n">
        <v>2024</v>
      </c>
      <c r="E100" s="15" t="inlineStr">
        <is>
          <t>Draw</t>
        </is>
      </c>
      <c r="F100" s="5" t="n">
        <v>66</v>
      </c>
      <c r="G100" s="5" t="n">
        <v>395</v>
      </c>
      <c r="H100" s="5" t="n">
        <v>23</v>
      </c>
      <c r="I100" s="5" t="n">
        <v>15</v>
      </c>
      <c r="J100" s="5" t="n">
        <v>8</v>
      </c>
      <c r="K100" s="10">
        <f>IF(F100&gt;0,H100/F100,"")</f>
        <v/>
      </c>
      <c r="L100" s="16">
        <f>IF(AND(G100&gt;0,H100&gt;0),G100/H100,"")</f>
        <v/>
      </c>
    </row>
    <row r="101">
      <c r="A101" s="4" t="inlineStr">
        <is>
          <t>371</t>
        </is>
      </c>
      <c r="B101" s="4" t="n">
        <v>3</v>
      </c>
      <c r="C101" s="4" t="inlineStr">
        <is>
          <t>antelope</t>
        </is>
      </c>
      <c r="D101" s="4" t="n">
        <v>2025</v>
      </c>
      <c r="E101" s="15" t="inlineStr">
        <is>
          <t>Draw</t>
        </is>
      </c>
      <c r="F101" s="5" t="n"/>
      <c r="G101" s="5" t="n"/>
      <c r="H101" s="5" t="n">
        <v>38</v>
      </c>
      <c r="I101" s="5" t="n">
        <v>33</v>
      </c>
      <c r="J101" s="5" t="n">
        <v>5</v>
      </c>
      <c r="K101" s="10">
        <f>IF(F101&gt;0,H101/F101,"")</f>
        <v/>
      </c>
      <c r="L101" s="16">
        <f>IF(AND(G101&gt;0,H101&gt;0),G101/H101,"")</f>
        <v/>
      </c>
    </row>
    <row r="102">
      <c r="A102" s="4" t="inlineStr">
        <is>
          <t>380</t>
        </is>
      </c>
      <c r="B102" s="4" t="n">
        <v>3</v>
      </c>
      <c r="C102" s="4" t="inlineStr">
        <is>
          <t>antelope</t>
        </is>
      </c>
      <c r="D102" s="4" t="n">
        <v>2021</v>
      </c>
      <c r="E102" s="15" t="inlineStr">
        <is>
          <t>Draw</t>
        </is>
      </c>
      <c r="F102" s="5" t="n"/>
      <c r="G102" s="5" t="n"/>
      <c r="H102" s="5" t="n">
        <v>25</v>
      </c>
      <c r="I102" s="5" t="n">
        <v>8</v>
      </c>
      <c r="J102" s="5" t="n">
        <v>17</v>
      </c>
      <c r="K102" s="10">
        <f>IF(F102&gt;0,H102/F102,"")</f>
        <v/>
      </c>
      <c r="L102" s="16">
        <f>IF(AND(G102&gt;0,H102&gt;0),G102/H102,"")</f>
        <v/>
      </c>
    </row>
    <row r="103">
      <c r="A103" s="4" t="inlineStr">
        <is>
          <t>380</t>
        </is>
      </c>
      <c r="B103" s="4" t="n">
        <v>3</v>
      </c>
      <c r="C103" s="4" t="inlineStr">
        <is>
          <t>antelope</t>
        </is>
      </c>
      <c r="D103" s="4" t="n">
        <v>2022</v>
      </c>
      <c r="E103" s="15" t="inlineStr">
        <is>
          <t>Draw</t>
        </is>
      </c>
      <c r="F103" s="5" t="n">
        <v>119</v>
      </c>
      <c r="G103" s="5" t="n">
        <v>762</v>
      </c>
      <c r="H103" s="5" t="n">
        <v>14</v>
      </c>
      <c r="I103" s="5" t="n">
        <v>12</v>
      </c>
      <c r="J103" s="5" t="n">
        <v>2</v>
      </c>
      <c r="K103" s="10">
        <f>IF(F103&gt;0,H103/F103,"")</f>
        <v/>
      </c>
      <c r="L103" s="16">
        <f>IF(AND(G103&gt;0,H103&gt;0),G103/H103,"")</f>
        <v/>
      </c>
    </row>
    <row r="104">
      <c r="A104" s="4" t="inlineStr">
        <is>
          <t>380</t>
        </is>
      </c>
      <c r="B104" s="4" t="n">
        <v>3</v>
      </c>
      <c r="C104" s="4" t="inlineStr">
        <is>
          <t>antelope</t>
        </is>
      </c>
      <c r="D104" s="4" t="n">
        <v>2023</v>
      </c>
      <c r="E104" s="15" t="inlineStr">
        <is>
          <t>Draw</t>
        </is>
      </c>
      <c r="F104" s="5" t="n"/>
      <c r="G104" s="5" t="n"/>
      <c r="H104" s="5" t="n">
        <v>29</v>
      </c>
      <c r="I104" s="5" t="n">
        <v>19</v>
      </c>
      <c r="J104" s="5" t="n">
        <v>10</v>
      </c>
      <c r="K104" s="10">
        <f>IF(F104&gt;0,H104/F104,"")</f>
        <v/>
      </c>
      <c r="L104" s="16">
        <f>IF(AND(G104&gt;0,H104&gt;0),G104/H104,"")</f>
        <v/>
      </c>
    </row>
    <row r="105">
      <c r="A105" s="4" t="inlineStr">
        <is>
          <t>380</t>
        </is>
      </c>
      <c r="B105" s="4" t="n">
        <v>3</v>
      </c>
      <c r="C105" s="4" t="inlineStr">
        <is>
          <t>antelope</t>
        </is>
      </c>
      <c r="D105" s="4" t="n">
        <v>2024</v>
      </c>
      <c r="E105" s="15" t="inlineStr">
        <is>
          <t>Draw</t>
        </is>
      </c>
      <c r="F105" s="5" t="n">
        <v>107</v>
      </c>
      <c r="G105" s="5" t="n">
        <v>731</v>
      </c>
      <c r="H105" s="5" t="n">
        <v>30</v>
      </c>
      <c r="I105" s="5" t="n">
        <v>22</v>
      </c>
      <c r="J105" s="5" t="n">
        <v>8</v>
      </c>
      <c r="K105" s="10">
        <f>IF(F105&gt;0,H105/F105,"")</f>
        <v/>
      </c>
      <c r="L105" s="16">
        <f>IF(AND(G105&gt;0,H105&gt;0),G105/H105,"")</f>
        <v/>
      </c>
    </row>
    <row r="106">
      <c r="A106" s="4" t="inlineStr">
        <is>
          <t>380</t>
        </is>
      </c>
      <c r="B106" s="4" t="n">
        <v>3</v>
      </c>
      <c r="C106" s="4" t="inlineStr">
        <is>
          <t>antelope</t>
        </is>
      </c>
      <c r="D106" s="4" t="n">
        <v>2025</v>
      </c>
      <c r="E106" s="15" t="inlineStr">
        <is>
          <t>Draw</t>
        </is>
      </c>
      <c r="F106" s="5" t="n"/>
      <c r="G106" s="5" t="n"/>
      <c r="H106" s="5" t="n">
        <v>19</v>
      </c>
      <c r="I106" s="5" t="n">
        <v>19</v>
      </c>
      <c r="J106" s="5" t="n">
        <v>0</v>
      </c>
      <c r="K106" s="10">
        <f>IF(F106&gt;0,H106/F106,"")</f>
        <v/>
      </c>
      <c r="L106" s="16">
        <f>IF(AND(G106&gt;0,H106&gt;0),G106/H106,"")</f>
        <v/>
      </c>
    </row>
    <row r="107">
      <c r="A107" s="4" t="inlineStr">
        <is>
          <t>381</t>
        </is>
      </c>
      <c r="B107" s="4" t="n">
        <v>3</v>
      </c>
      <c r="C107" s="4" t="inlineStr">
        <is>
          <t>antelope</t>
        </is>
      </c>
      <c r="D107" s="4" t="n">
        <v>2021</v>
      </c>
      <c r="E107" s="15" t="inlineStr">
        <is>
          <t>Draw</t>
        </is>
      </c>
      <c r="F107" s="5" t="n"/>
      <c r="G107" s="5" t="n"/>
      <c r="H107" s="5" t="n">
        <v>7</v>
      </c>
      <c r="I107" s="5" t="n">
        <v>6</v>
      </c>
      <c r="J107" s="5" t="n">
        <v>2</v>
      </c>
      <c r="K107" s="10">
        <f>IF(F107&gt;0,H107/F107,"")</f>
        <v/>
      </c>
      <c r="L107" s="16">
        <f>IF(AND(G107&gt;0,H107&gt;0),G107/H107,"")</f>
        <v/>
      </c>
    </row>
    <row r="108">
      <c r="A108" s="4" t="inlineStr">
        <is>
          <t>381</t>
        </is>
      </c>
      <c r="B108" s="4" t="n">
        <v>3</v>
      </c>
      <c r="C108" s="4" t="inlineStr">
        <is>
          <t>antelope</t>
        </is>
      </c>
      <c r="D108" s="4" t="n">
        <v>2022</v>
      </c>
      <c r="E108" s="15" t="inlineStr">
        <is>
          <t>Draw</t>
        </is>
      </c>
      <c r="F108" s="5" t="n">
        <v>7</v>
      </c>
      <c r="G108" s="5" t="n">
        <v>33</v>
      </c>
      <c r="H108" s="5" t="n">
        <v>3</v>
      </c>
      <c r="I108" s="5" t="n">
        <v>3</v>
      </c>
      <c r="J108" s="5" t="n">
        <v>0</v>
      </c>
      <c r="K108" s="10">
        <f>IF(F108&gt;0,H108/F108,"")</f>
        <v/>
      </c>
      <c r="L108" s="16">
        <f>IF(AND(G108&gt;0,H108&gt;0),G108/H108,"")</f>
        <v/>
      </c>
    </row>
    <row r="109">
      <c r="A109" s="4" t="inlineStr">
        <is>
          <t>381</t>
        </is>
      </c>
      <c r="B109" s="4" t="n">
        <v>3</v>
      </c>
      <c r="C109" s="4" t="inlineStr">
        <is>
          <t>antelope</t>
        </is>
      </c>
      <c r="D109" s="4" t="n">
        <v>2023</v>
      </c>
      <c r="E109" s="15" t="inlineStr">
        <is>
          <t>Draw</t>
        </is>
      </c>
      <c r="F109" s="5" t="n"/>
      <c r="G109" s="5" t="n"/>
      <c r="H109" s="5" t="n">
        <v>3</v>
      </c>
      <c r="I109" s="5" t="n">
        <v>3</v>
      </c>
      <c r="J109" s="5" t="n">
        <v>0</v>
      </c>
      <c r="K109" s="10">
        <f>IF(F109&gt;0,H109/F109,"")</f>
        <v/>
      </c>
      <c r="L109" s="16">
        <f>IF(AND(G109&gt;0,H109&gt;0),G109/H109,"")</f>
        <v/>
      </c>
    </row>
    <row r="110">
      <c r="A110" s="4" t="inlineStr">
        <is>
          <t>381</t>
        </is>
      </c>
      <c r="B110" s="4" t="n">
        <v>3</v>
      </c>
      <c r="C110" s="4" t="inlineStr">
        <is>
          <t>antelope</t>
        </is>
      </c>
      <c r="D110" s="4" t="n">
        <v>2024</v>
      </c>
      <c r="E110" s="15" t="inlineStr">
        <is>
          <t>Draw</t>
        </is>
      </c>
      <c r="F110" s="5" t="n">
        <v>18</v>
      </c>
      <c r="G110" s="5" t="n">
        <v>197</v>
      </c>
      <c r="H110" s="5" t="n">
        <v>6</v>
      </c>
      <c r="I110" s="5" t="n">
        <v>3</v>
      </c>
      <c r="J110" s="5" t="n">
        <v>3</v>
      </c>
      <c r="K110" s="10">
        <f>IF(F110&gt;0,H110/F110,"")</f>
        <v/>
      </c>
      <c r="L110" s="16">
        <f>IF(AND(G110&gt;0,H110&gt;0),G110/H110,"")</f>
        <v/>
      </c>
    </row>
    <row r="111">
      <c r="A111" s="4" t="inlineStr">
        <is>
          <t>381</t>
        </is>
      </c>
      <c r="B111" s="4" t="n">
        <v>3</v>
      </c>
      <c r="C111" s="4" t="inlineStr">
        <is>
          <t>antelope</t>
        </is>
      </c>
      <c r="D111" s="4" t="n">
        <v>2025</v>
      </c>
      <c r="E111" s="15" t="inlineStr">
        <is>
          <t>Draw</t>
        </is>
      </c>
      <c r="F111" s="5" t="n"/>
      <c r="G111" s="5" t="n"/>
      <c r="H111" s="5" t="n">
        <v>6</v>
      </c>
      <c r="I111" s="5" t="n">
        <v>6</v>
      </c>
      <c r="J111" s="5" t="n">
        <v>0</v>
      </c>
      <c r="K111" s="10">
        <f>IF(F111&gt;0,H111/F111,"")</f>
        <v/>
      </c>
      <c r="L111" s="16">
        <f>IF(AND(G111&gt;0,H111&gt;0),G111/H111,"")</f>
        <v/>
      </c>
    </row>
    <row r="112">
      <c r="A112" s="4" t="inlineStr">
        <is>
          <t>388</t>
        </is>
      </c>
      <c r="B112" s="4" t="n">
        <v>3</v>
      </c>
      <c r="C112" s="4" t="inlineStr">
        <is>
          <t>antelope</t>
        </is>
      </c>
      <c r="D112" s="4" t="n">
        <v>2021</v>
      </c>
      <c r="E112" s="15" t="inlineStr">
        <is>
          <t>Draw</t>
        </is>
      </c>
      <c r="F112" s="5" t="n"/>
      <c r="G112" s="5" t="n"/>
      <c r="H112" s="5" t="n">
        <v>33</v>
      </c>
      <c r="I112" s="5" t="n">
        <v>11</v>
      </c>
      <c r="J112" s="5" t="n">
        <v>19</v>
      </c>
      <c r="K112" s="10">
        <f>IF(F112&gt;0,H112/F112,"")</f>
        <v/>
      </c>
      <c r="L112" s="16">
        <f>IF(AND(G112&gt;0,H112&gt;0),G112/H112,"")</f>
        <v/>
      </c>
    </row>
    <row r="113">
      <c r="A113" s="4" t="inlineStr">
        <is>
          <t>388</t>
        </is>
      </c>
      <c r="B113" s="4" t="n">
        <v>3</v>
      </c>
      <c r="C113" s="4" t="inlineStr">
        <is>
          <t>antelope</t>
        </is>
      </c>
      <c r="D113" s="4" t="n">
        <v>2022</v>
      </c>
      <c r="E113" s="15" t="inlineStr">
        <is>
          <t>Draw</t>
        </is>
      </c>
      <c r="F113" s="5" t="n">
        <v>39</v>
      </c>
      <c r="G113" s="5" t="n">
        <v>274</v>
      </c>
      <c r="H113" s="5" t="n">
        <v>18</v>
      </c>
      <c r="I113" s="5" t="n">
        <v>11</v>
      </c>
      <c r="J113" s="5" t="n">
        <v>7</v>
      </c>
      <c r="K113" s="10">
        <f>IF(F113&gt;0,H113/F113,"")</f>
        <v/>
      </c>
      <c r="L113" s="16">
        <f>IF(AND(G113&gt;0,H113&gt;0),G113/H113,"")</f>
        <v/>
      </c>
    </row>
    <row r="114">
      <c r="A114" s="4" t="inlineStr">
        <is>
          <t>388</t>
        </is>
      </c>
      <c r="B114" s="4" t="n">
        <v>3</v>
      </c>
      <c r="C114" s="4" t="inlineStr">
        <is>
          <t>antelope</t>
        </is>
      </c>
      <c r="D114" s="4" t="n">
        <v>2023</v>
      </c>
      <c r="E114" s="15" t="inlineStr">
        <is>
          <t>Draw</t>
        </is>
      </c>
      <c r="F114" s="5" t="n"/>
      <c r="G114" s="5" t="n"/>
      <c r="H114" s="5" t="n">
        <v>8</v>
      </c>
      <c r="I114" s="5" t="n">
        <v>7</v>
      </c>
      <c r="J114" s="5" t="n">
        <v>2</v>
      </c>
      <c r="K114" s="10">
        <f>IF(F114&gt;0,H114/F114,"")</f>
        <v/>
      </c>
      <c r="L114" s="16">
        <f>IF(AND(G114&gt;0,H114&gt;0),G114/H114,"")</f>
        <v/>
      </c>
    </row>
    <row r="115">
      <c r="A115" s="4" t="inlineStr">
        <is>
          <t>388</t>
        </is>
      </c>
      <c r="B115" s="4" t="n">
        <v>3</v>
      </c>
      <c r="C115" s="4" t="inlineStr">
        <is>
          <t>antelope</t>
        </is>
      </c>
      <c r="D115" s="4" t="n">
        <v>2024</v>
      </c>
      <c r="E115" s="15" t="inlineStr">
        <is>
          <t>Draw</t>
        </is>
      </c>
      <c r="F115" s="5" t="n">
        <v>19</v>
      </c>
      <c r="G115" s="5" t="n">
        <v>137</v>
      </c>
      <c r="H115" s="5" t="n">
        <v>8</v>
      </c>
      <c r="I115" s="5" t="n">
        <v>6</v>
      </c>
      <c r="J115" s="5" t="n">
        <v>2</v>
      </c>
      <c r="K115" s="10">
        <f>IF(F115&gt;0,H115/F115,"")</f>
        <v/>
      </c>
      <c r="L115" s="16">
        <f>IF(AND(G115&gt;0,H115&gt;0),G115/H115,"")</f>
        <v/>
      </c>
    </row>
    <row r="116">
      <c r="A116" s="4" t="inlineStr">
        <is>
          <t>388</t>
        </is>
      </c>
      <c r="B116" s="4" t="n">
        <v>3</v>
      </c>
      <c r="C116" s="4" t="inlineStr">
        <is>
          <t>antelope</t>
        </is>
      </c>
      <c r="D116" s="4" t="n">
        <v>2025</v>
      </c>
      <c r="E116" s="15" t="inlineStr">
        <is>
          <t>Draw</t>
        </is>
      </c>
      <c r="F116" s="5" t="n"/>
      <c r="G116" s="5" t="n"/>
      <c r="H116" s="5" t="n">
        <v>10</v>
      </c>
      <c r="I116" s="5" t="n">
        <v>10</v>
      </c>
      <c r="J116" s="5" t="n">
        <v>0</v>
      </c>
      <c r="K116" s="10">
        <f>IF(F116&gt;0,H116/F116,"")</f>
        <v/>
      </c>
      <c r="L116" s="16">
        <f>IF(AND(G116&gt;0,H116&gt;0),G116/H116,"")</f>
        <v/>
      </c>
    </row>
    <row r="117">
      <c r="A117" s="4" t="inlineStr">
        <is>
          <t>390</t>
        </is>
      </c>
      <c r="B117" s="4" t="n">
        <v>3</v>
      </c>
      <c r="C117" s="4" t="inlineStr">
        <is>
          <t>antelope</t>
        </is>
      </c>
      <c r="D117" s="4" t="n">
        <v>2021</v>
      </c>
      <c r="E117" s="15" t="inlineStr">
        <is>
          <t>Draw</t>
        </is>
      </c>
      <c r="F117" s="5" t="n"/>
      <c r="G117" s="5" t="n"/>
      <c r="H117" s="5" t="n">
        <v>40</v>
      </c>
      <c r="I117" s="5" t="n">
        <v>21</v>
      </c>
      <c r="J117" s="5" t="n">
        <v>18</v>
      </c>
      <c r="K117" s="10">
        <f>IF(F117&gt;0,H117/F117,"")</f>
        <v/>
      </c>
      <c r="L117" s="16">
        <f>IF(AND(G117&gt;0,H117&gt;0),G117/H117,"")</f>
        <v/>
      </c>
    </row>
    <row r="118">
      <c r="A118" s="4" t="inlineStr">
        <is>
          <t>390</t>
        </is>
      </c>
      <c r="B118" s="4" t="n">
        <v>3</v>
      </c>
      <c r="C118" s="4" t="inlineStr">
        <is>
          <t>antelope</t>
        </is>
      </c>
      <c r="D118" s="4" t="n">
        <v>2022</v>
      </c>
      <c r="E118" s="15" t="inlineStr">
        <is>
          <t>Draw</t>
        </is>
      </c>
      <c r="F118" s="5" t="n">
        <v>118</v>
      </c>
      <c r="G118" s="5" t="n">
        <v>737</v>
      </c>
      <c r="H118" s="5" t="n">
        <v>46</v>
      </c>
      <c r="I118" s="5" t="n">
        <v>41</v>
      </c>
      <c r="J118" s="5" t="n">
        <v>6</v>
      </c>
      <c r="K118" s="10">
        <f>IF(F118&gt;0,H118/F118,"")</f>
        <v/>
      </c>
      <c r="L118" s="16">
        <f>IF(AND(G118&gt;0,H118&gt;0),G118/H118,"")</f>
        <v/>
      </c>
    </row>
    <row r="119">
      <c r="A119" s="4" t="inlineStr">
        <is>
          <t>390</t>
        </is>
      </c>
      <c r="B119" s="4" t="n">
        <v>3</v>
      </c>
      <c r="C119" s="4" t="inlineStr">
        <is>
          <t>antelope</t>
        </is>
      </c>
      <c r="D119" s="4" t="n">
        <v>2023</v>
      </c>
      <c r="E119" s="15" t="inlineStr">
        <is>
          <t>Draw</t>
        </is>
      </c>
      <c r="F119" s="5" t="n"/>
      <c r="G119" s="5" t="n"/>
      <c r="H119" s="5" t="n">
        <v>49</v>
      </c>
      <c r="I119" s="5" t="n">
        <v>30</v>
      </c>
      <c r="J119" s="5" t="n">
        <v>19</v>
      </c>
      <c r="K119" s="10">
        <f>IF(F119&gt;0,H119/F119,"")</f>
        <v/>
      </c>
      <c r="L119" s="16">
        <f>IF(AND(G119&gt;0,H119&gt;0),G119/H119,"")</f>
        <v/>
      </c>
    </row>
    <row r="120">
      <c r="A120" s="4" t="inlineStr">
        <is>
          <t>390</t>
        </is>
      </c>
      <c r="B120" s="4" t="n">
        <v>3</v>
      </c>
      <c r="C120" s="4" t="inlineStr">
        <is>
          <t>antelope</t>
        </is>
      </c>
      <c r="D120" s="4" t="n">
        <v>2024</v>
      </c>
      <c r="E120" s="15" t="inlineStr">
        <is>
          <t>Draw</t>
        </is>
      </c>
      <c r="F120" s="5" t="n">
        <v>158</v>
      </c>
      <c r="G120" s="5" t="n">
        <v>1072</v>
      </c>
      <c r="H120" s="5" t="n">
        <v>58</v>
      </c>
      <c r="I120" s="5" t="n">
        <v>42</v>
      </c>
      <c r="J120" s="5" t="n">
        <v>16</v>
      </c>
      <c r="K120" s="10">
        <f>IF(F120&gt;0,H120/F120,"")</f>
        <v/>
      </c>
      <c r="L120" s="16">
        <f>IF(AND(G120&gt;0,H120&gt;0),G120/H120,"")</f>
        <v/>
      </c>
    </row>
    <row r="121">
      <c r="A121" s="4" t="inlineStr">
        <is>
          <t>390</t>
        </is>
      </c>
      <c r="B121" s="4" t="n">
        <v>3</v>
      </c>
      <c r="C121" s="4" t="inlineStr">
        <is>
          <t>antelope</t>
        </is>
      </c>
      <c r="D121" s="4" t="n">
        <v>2025</v>
      </c>
      <c r="E121" s="15" t="inlineStr">
        <is>
          <t>Draw</t>
        </is>
      </c>
      <c r="F121" s="5" t="n"/>
      <c r="G121" s="5" t="n"/>
      <c r="H121" s="5" t="n">
        <v>61</v>
      </c>
      <c r="I121" s="5" t="n">
        <v>27</v>
      </c>
      <c r="J121" s="5" t="n">
        <v>35</v>
      </c>
      <c r="K121" s="10">
        <f>IF(F121&gt;0,H121/F121,"")</f>
        <v/>
      </c>
      <c r="L121" s="16">
        <f>IF(AND(G121&gt;0,H121&gt;0),G121/H121,"")</f>
        <v/>
      </c>
    </row>
    <row r="122">
      <c r="A122" s="4" t="inlineStr">
        <is>
          <t>401</t>
        </is>
      </c>
      <c r="B122" s="4" t="n">
        <v>4</v>
      </c>
      <c r="C122" s="4" t="inlineStr">
        <is>
          <t>antelope</t>
        </is>
      </c>
      <c r="D122" s="4" t="n">
        <v>2021</v>
      </c>
      <c r="E122" s="15" t="inlineStr">
        <is>
          <t>Draw</t>
        </is>
      </c>
      <c r="F122" s="5" t="n"/>
      <c r="G122" s="5" t="n"/>
      <c r="H122" s="5" t="n">
        <v>181</v>
      </c>
      <c r="I122" s="5" t="n">
        <v>155</v>
      </c>
      <c r="J122" s="5" t="n">
        <v>26</v>
      </c>
      <c r="K122" s="10">
        <f>IF(F122&gt;0,H122/F122,"")</f>
        <v/>
      </c>
      <c r="L122" s="16">
        <f>IF(AND(G122&gt;0,H122&gt;0),G122/H122,"")</f>
        <v/>
      </c>
    </row>
    <row r="123">
      <c r="A123" s="4" t="inlineStr">
        <is>
          <t>401</t>
        </is>
      </c>
      <c r="B123" s="4" t="n">
        <v>4</v>
      </c>
      <c r="C123" s="4" t="inlineStr">
        <is>
          <t>antelope</t>
        </is>
      </c>
      <c r="D123" s="4" t="n">
        <v>2022</v>
      </c>
      <c r="E123" s="15" t="inlineStr">
        <is>
          <t>Draw</t>
        </is>
      </c>
      <c r="F123" s="5" t="n">
        <v>368</v>
      </c>
      <c r="G123" s="5" t="n">
        <v>1227</v>
      </c>
      <c r="H123" s="5" t="n">
        <v>275</v>
      </c>
      <c r="I123" s="5" t="n">
        <v>215</v>
      </c>
      <c r="J123" s="5" t="n">
        <v>59</v>
      </c>
      <c r="K123" s="10">
        <f>IF(F123&gt;0,H123/F123,"")</f>
        <v/>
      </c>
      <c r="L123" s="16">
        <f>IF(AND(G123&gt;0,H123&gt;0),G123/H123,"")</f>
        <v/>
      </c>
    </row>
    <row r="124">
      <c r="A124" s="4" t="inlineStr">
        <is>
          <t>401</t>
        </is>
      </c>
      <c r="B124" s="4" t="n">
        <v>4</v>
      </c>
      <c r="C124" s="4" t="inlineStr">
        <is>
          <t>antelope</t>
        </is>
      </c>
      <c r="D124" s="4" t="n">
        <v>2023</v>
      </c>
      <c r="E124" s="15" t="inlineStr">
        <is>
          <t>Draw</t>
        </is>
      </c>
      <c r="F124" s="5" t="n"/>
      <c r="G124" s="5" t="n"/>
      <c r="H124" s="5" t="n">
        <v>207</v>
      </c>
      <c r="I124" s="5" t="n">
        <v>174</v>
      </c>
      <c r="J124" s="5" t="n">
        <v>33</v>
      </c>
      <c r="K124" s="10">
        <f>IF(F124&gt;0,H124/F124,"")</f>
        <v/>
      </c>
      <c r="L124" s="16">
        <f>IF(AND(G124&gt;0,H124&gt;0),G124/H124,"")</f>
        <v/>
      </c>
    </row>
    <row r="125">
      <c r="A125" s="4" t="inlineStr">
        <is>
          <t>401</t>
        </is>
      </c>
      <c r="B125" s="4" t="n">
        <v>4</v>
      </c>
      <c r="C125" s="4" t="inlineStr">
        <is>
          <t>antelope</t>
        </is>
      </c>
      <c r="D125" s="4" t="n">
        <v>2024</v>
      </c>
      <c r="E125" s="15" t="inlineStr">
        <is>
          <t>Draw</t>
        </is>
      </c>
      <c r="F125" s="5" t="n">
        <v>304</v>
      </c>
      <c r="G125" s="5" t="n">
        <v>1245</v>
      </c>
      <c r="H125" s="5" t="n">
        <v>168</v>
      </c>
      <c r="I125" s="5" t="n">
        <v>135</v>
      </c>
      <c r="J125" s="5" t="n">
        <v>33</v>
      </c>
      <c r="K125" s="10">
        <f>IF(F125&gt;0,H125/F125,"")</f>
        <v/>
      </c>
      <c r="L125" s="16">
        <f>IF(AND(G125&gt;0,H125&gt;0),G125/H125,"")</f>
        <v/>
      </c>
    </row>
    <row r="126">
      <c r="A126" s="4" t="inlineStr">
        <is>
          <t>401</t>
        </is>
      </c>
      <c r="B126" s="4" t="n">
        <v>4</v>
      </c>
      <c r="C126" s="4" t="inlineStr">
        <is>
          <t>antelope</t>
        </is>
      </c>
      <c r="D126" s="4" t="n">
        <v>2025</v>
      </c>
      <c r="E126" s="15" t="inlineStr">
        <is>
          <t>Draw</t>
        </is>
      </c>
      <c r="F126" s="5" t="n"/>
      <c r="G126" s="5" t="n"/>
      <c r="H126" s="5" t="n">
        <v>204</v>
      </c>
      <c r="I126" s="5" t="n">
        <v>165</v>
      </c>
      <c r="J126" s="5" t="n">
        <v>39</v>
      </c>
      <c r="K126" s="10">
        <f>IF(F126&gt;0,H126/F126,"")</f>
        <v/>
      </c>
      <c r="L126" s="16">
        <f>IF(AND(G126&gt;0,H126&gt;0),G126/H126,"")</f>
        <v/>
      </c>
    </row>
    <row r="127">
      <c r="A127" s="4" t="inlineStr">
        <is>
          <t>404</t>
        </is>
      </c>
      <c r="B127" s="4" t="n">
        <v>4</v>
      </c>
      <c r="C127" s="4" t="inlineStr">
        <is>
          <t>antelope</t>
        </is>
      </c>
      <c r="D127" s="4" t="n">
        <v>2021</v>
      </c>
      <c r="E127" s="15" t="inlineStr">
        <is>
          <t>Draw</t>
        </is>
      </c>
      <c r="F127" s="5" t="n"/>
      <c r="G127" s="5" t="n"/>
      <c r="H127" s="5" t="n">
        <v>371</v>
      </c>
      <c r="I127" s="5" t="n">
        <v>212</v>
      </c>
      <c r="J127" s="5" t="n">
        <v>156</v>
      </c>
      <c r="K127" s="10">
        <f>IF(F127&gt;0,H127/F127,"")</f>
        <v/>
      </c>
      <c r="L127" s="16">
        <f>IF(AND(G127&gt;0,H127&gt;0),G127/H127,"")</f>
        <v/>
      </c>
    </row>
    <row r="128">
      <c r="A128" s="4" t="inlineStr">
        <is>
          <t>404</t>
        </is>
      </c>
      <c r="B128" s="4" t="n">
        <v>4</v>
      </c>
      <c r="C128" s="4" t="inlineStr">
        <is>
          <t>antelope</t>
        </is>
      </c>
      <c r="D128" s="4" t="n">
        <v>2022</v>
      </c>
      <c r="E128" s="15" t="inlineStr">
        <is>
          <t>Draw</t>
        </is>
      </c>
      <c r="F128" s="5" t="n">
        <v>448</v>
      </c>
      <c r="G128" s="5" t="n">
        <v>2809</v>
      </c>
      <c r="H128" s="5" t="n">
        <v>265</v>
      </c>
      <c r="I128" s="5" t="n">
        <v>194</v>
      </c>
      <c r="J128" s="5" t="n">
        <v>71</v>
      </c>
      <c r="K128" s="10">
        <f>IF(F128&gt;0,H128/F128,"")</f>
        <v/>
      </c>
      <c r="L128" s="16">
        <f>IF(AND(G128&gt;0,H128&gt;0),G128/H128,"")</f>
        <v/>
      </c>
    </row>
    <row r="129">
      <c r="A129" s="4" t="inlineStr">
        <is>
          <t>404</t>
        </is>
      </c>
      <c r="B129" s="4" t="n">
        <v>4</v>
      </c>
      <c r="C129" s="4" t="inlineStr">
        <is>
          <t>antelope</t>
        </is>
      </c>
      <c r="D129" s="4" t="n">
        <v>2023</v>
      </c>
      <c r="E129" s="15" t="inlineStr">
        <is>
          <t>Draw</t>
        </is>
      </c>
      <c r="F129" s="5" t="n"/>
      <c r="G129" s="5" t="n"/>
      <c r="H129" s="5" t="n">
        <v>216</v>
      </c>
      <c r="I129" s="5" t="n">
        <v>160</v>
      </c>
      <c r="J129" s="5" t="n">
        <v>55</v>
      </c>
      <c r="K129" s="10">
        <f>IF(F129&gt;0,H129/F129,"")</f>
        <v/>
      </c>
      <c r="L129" s="16">
        <f>IF(AND(G129&gt;0,H129&gt;0),G129/H129,"")</f>
        <v/>
      </c>
    </row>
    <row r="130">
      <c r="A130" s="4" t="inlineStr">
        <is>
          <t>404</t>
        </is>
      </c>
      <c r="B130" s="4" t="n">
        <v>4</v>
      </c>
      <c r="C130" s="4" t="inlineStr">
        <is>
          <t>antelope</t>
        </is>
      </c>
      <c r="D130" s="4" t="n">
        <v>2024</v>
      </c>
      <c r="E130" s="15" t="inlineStr">
        <is>
          <t>Draw</t>
        </is>
      </c>
      <c r="F130" s="5" t="n">
        <v>430</v>
      </c>
      <c r="G130" s="5" t="n">
        <v>1741</v>
      </c>
      <c r="H130" s="5" t="n">
        <v>278</v>
      </c>
      <c r="I130" s="5" t="n">
        <v>207</v>
      </c>
      <c r="J130" s="5" t="n">
        <v>69</v>
      </c>
      <c r="K130" s="10">
        <f>IF(F130&gt;0,H130/F130,"")</f>
        <v/>
      </c>
      <c r="L130" s="16">
        <f>IF(AND(G130&gt;0,H130&gt;0),G130/H130,"")</f>
        <v/>
      </c>
    </row>
    <row r="131">
      <c r="A131" s="4" t="inlineStr">
        <is>
          <t>404</t>
        </is>
      </c>
      <c r="B131" s="4" t="n">
        <v>4</v>
      </c>
      <c r="C131" s="4" t="inlineStr">
        <is>
          <t>antelope</t>
        </is>
      </c>
      <c r="D131" s="4" t="n">
        <v>2025</v>
      </c>
      <c r="E131" s="15" t="inlineStr">
        <is>
          <t>Draw</t>
        </is>
      </c>
      <c r="F131" s="5" t="n"/>
      <c r="G131" s="5" t="n"/>
      <c r="H131" s="5" t="n">
        <v>232</v>
      </c>
      <c r="I131" s="5" t="n">
        <v>175</v>
      </c>
      <c r="J131" s="5" t="n">
        <v>58</v>
      </c>
      <c r="K131" s="10">
        <f>IF(F131&gt;0,H131/F131,"")</f>
        <v/>
      </c>
      <c r="L131" s="16">
        <f>IF(AND(G131&gt;0,H131&gt;0),G131/H131,"")</f>
        <v/>
      </c>
    </row>
    <row r="132">
      <c r="A132" s="4" t="inlineStr">
        <is>
          <t>413</t>
        </is>
      </c>
      <c r="B132" s="4" t="n">
        <v>4</v>
      </c>
      <c r="C132" s="4" t="inlineStr">
        <is>
          <t>antelope</t>
        </is>
      </c>
      <c r="D132" s="4" t="n">
        <v>2021</v>
      </c>
      <c r="E132" s="15" t="inlineStr">
        <is>
          <t>Draw</t>
        </is>
      </c>
      <c r="F132" s="5" t="n"/>
      <c r="G132" s="5" t="n"/>
      <c r="H132" s="5" t="n">
        <v>54</v>
      </c>
      <c r="I132" s="5" t="n">
        <v>35</v>
      </c>
      <c r="J132" s="5" t="n">
        <v>17</v>
      </c>
      <c r="K132" s="10">
        <f>IF(F132&gt;0,H132/F132,"")</f>
        <v/>
      </c>
      <c r="L132" s="16">
        <f>IF(AND(G132&gt;0,H132&gt;0),G132/H132,"")</f>
        <v/>
      </c>
    </row>
    <row r="133">
      <c r="A133" s="4" t="inlineStr">
        <is>
          <t>420</t>
        </is>
      </c>
      <c r="B133" s="4" t="n">
        <v>4</v>
      </c>
      <c r="C133" s="4" t="inlineStr">
        <is>
          <t>antelope</t>
        </is>
      </c>
      <c r="D133" s="4" t="n">
        <v>2021</v>
      </c>
      <c r="E133" s="15" t="inlineStr">
        <is>
          <t>Draw</t>
        </is>
      </c>
      <c r="F133" s="5" t="n"/>
      <c r="G133" s="5" t="n"/>
      <c r="H133" s="5" t="n">
        <v>83</v>
      </c>
      <c r="I133" s="5" t="n">
        <v>71</v>
      </c>
      <c r="J133" s="5" t="n">
        <v>8</v>
      </c>
      <c r="K133" s="10">
        <f>IF(F133&gt;0,H133/F133,"")</f>
        <v/>
      </c>
      <c r="L133" s="16">
        <f>IF(AND(G133&gt;0,H133&gt;0),G133/H133,"")</f>
        <v/>
      </c>
    </row>
    <row r="134">
      <c r="A134" s="4" t="inlineStr">
        <is>
          <t>420</t>
        </is>
      </c>
      <c r="B134" s="4" t="n">
        <v>4</v>
      </c>
      <c r="C134" s="4" t="inlineStr">
        <is>
          <t>antelope</t>
        </is>
      </c>
      <c r="D134" s="4" t="n">
        <v>2022</v>
      </c>
      <c r="E134" s="15" t="inlineStr">
        <is>
          <t>Draw</t>
        </is>
      </c>
      <c r="F134" s="5" t="n">
        <v>117</v>
      </c>
      <c r="G134" s="5" t="n">
        <v>627</v>
      </c>
      <c r="H134" s="5" t="n">
        <v>57</v>
      </c>
      <c r="I134" s="5" t="n">
        <v>35</v>
      </c>
      <c r="J134" s="5" t="n">
        <v>22</v>
      </c>
      <c r="K134" s="10">
        <f>IF(F134&gt;0,H134/F134,"")</f>
        <v/>
      </c>
      <c r="L134" s="16">
        <f>IF(AND(G134&gt;0,H134&gt;0),G134/H134,"")</f>
        <v/>
      </c>
    </row>
    <row r="135">
      <c r="A135" s="4" t="inlineStr">
        <is>
          <t>420</t>
        </is>
      </c>
      <c r="B135" s="4" t="n">
        <v>4</v>
      </c>
      <c r="C135" s="4" t="inlineStr">
        <is>
          <t>antelope</t>
        </is>
      </c>
      <c r="D135" s="4" t="n">
        <v>2023</v>
      </c>
      <c r="E135" s="15" t="inlineStr">
        <is>
          <t>Draw</t>
        </is>
      </c>
      <c r="F135" s="5" t="n"/>
      <c r="G135" s="5" t="n"/>
      <c r="H135" s="5" t="n">
        <v>33</v>
      </c>
      <c r="I135" s="5" t="n">
        <v>32</v>
      </c>
      <c r="J135" s="5" t="n">
        <v>1</v>
      </c>
      <c r="K135" s="10">
        <f>IF(F135&gt;0,H135/F135,"")</f>
        <v/>
      </c>
      <c r="L135" s="16">
        <f>IF(AND(G135&gt;0,H135&gt;0),G135/H135,"")</f>
        <v/>
      </c>
    </row>
    <row r="136">
      <c r="A136" s="4" t="inlineStr">
        <is>
          <t>420</t>
        </is>
      </c>
      <c r="B136" s="4" t="n">
        <v>4</v>
      </c>
      <c r="C136" s="4" t="inlineStr">
        <is>
          <t>antelope</t>
        </is>
      </c>
      <c r="D136" s="4" t="n">
        <v>2024</v>
      </c>
      <c r="E136" s="15" t="inlineStr">
        <is>
          <t>Draw</t>
        </is>
      </c>
      <c r="F136" s="5" t="n">
        <v>178</v>
      </c>
      <c r="G136" s="5" t="n">
        <v>692</v>
      </c>
      <c r="H136" s="5" t="n">
        <v>103</v>
      </c>
      <c r="I136" s="5" t="n">
        <v>81</v>
      </c>
      <c r="J136" s="5" t="n">
        <v>22</v>
      </c>
      <c r="K136" s="10">
        <f>IF(F136&gt;0,H136/F136,"")</f>
        <v/>
      </c>
      <c r="L136" s="16">
        <f>IF(AND(G136&gt;0,H136&gt;0),G136/H136,"")</f>
        <v/>
      </c>
    </row>
    <row r="137">
      <c r="A137" s="4" t="inlineStr">
        <is>
          <t>420</t>
        </is>
      </c>
      <c r="B137" s="4" t="n">
        <v>4</v>
      </c>
      <c r="C137" s="4" t="inlineStr">
        <is>
          <t>antelope</t>
        </is>
      </c>
      <c r="D137" s="4" t="n">
        <v>2025</v>
      </c>
      <c r="E137" s="15" t="inlineStr">
        <is>
          <t>Draw</t>
        </is>
      </c>
      <c r="F137" s="5" t="n"/>
      <c r="G137" s="5" t="n"/>
      <c r="H137" s="5" t="n">
        <v>78</v>
      </c>
      <c r="I137" s="5" t="n">
        <v>66</v>
      </c>
      <c r="J137" s="5" t="n">
        <v>12</v>
      </c>
      <c r="K137" s="10">
        <f>IF(F137&gt;0,H137/F137,"")</f>
        <v/>
      </c>
      <c r="L137" s="16">
        <f>IF(AND(G137&gt;0,H137&gt;0),G137/H137,"")</f>
        <v/>
      </c>
    </row>
    <row r="138">
      <c r="A138" s="4" t="inlineStr">
        <is>
          <t>430</t>
        </is>
      </c>
      <c r="B138" s="4" t="n">
        <v>4</v>
      </c>
      <c r="C138" s="4" t="inlineStr">
        <is>
          <t>antelope</t>
        </is>
      </c>
      <c r="D138" s="4" t="n">
        <v>2021</v>
      </c>
      <c r="E138" s="15" t="inlineStr">
        <is>
          <t>Draw</t>
        </is>
      </c>
      <c r="F138" s="5" t="n"/>
      <c r="G138" s="5" t="n"/>
      <c r="H138" s="5" t="n">
        <v>73</v>
      </c>
      <c r="I138" s="5" t="n">
        <v>45</v>
      </c>
      <c r="J138" s="5" t="n">
        <v>23</v>
      </c>
      <c r="K138" s="10">
        <f>IF(F138&gt;0,H138/F138,"")</f>
        <v/>
      </c>
      <c r="L138" s="16">
        <f>IF(AND(G138&gt;0,H138&gt;0),G138/H138,"")</f>
        <v/>
      </c>
    </row>
    <row r="139">
      <c r="A139" s="4" t="inlineStr">
        <is>
          <t>430</t>
        </is>
      </c>
      <c r="B139" s="4" t="n">
        <v>4</v>
      </c>
      <c r="C139" s="4" t="inlineStr">
        <is>
          <t>antelope</t>
        </is>
      </c>
      <c r="D139" s="4" t="n">
        <v>2022</v>
      </c>
      <c r="E139" s="15" t="inlineStr">
        <is>
          <t>Draw</t>
        </is>
      </c>
      <c r="F139" s="5" t="n">
        <v>171</v>
      </c>
      <c r="G139" s="5" t="n">
        <v>580</v>
      </c>
      <c r="H139" s="5" t="n">
        <v>135</v>
      </c>
      <c r="I139" s="5" t="n">
        <v>90</v>
      </c>
      <c r="J139" s="5" t="n">
        <v>42</v>
      </c>
      <c r="K139" s="10">
        <f>IF(F139&gt;0,H139/F139,"")</f>
        <v/>
      </c>
      <c r="L139" s="16">
        <f>IF(AND(G139&gt;0,H139&gt;0),G139/H139,"")</f>
        <v/>
      </c>
    </row>
    <row r="140">
      <c r="A140" s="4" t="inlineStr">
        <is>
          <t>430</t>
        </is>
      </c>
      <c r="B140" s="4" t="n">
        <v>4</v>
      </c>
      <c r="C140" s="4" t="inlineStr">
        <is>
          <t>antelope</t>
        </is>
      </c>
      <c r="D140" s="4" t="n">
        <v>2023</v>
      </c>
      <c r="E140" s="15" t="inlineStr">
        <is>
          <t>Draw</t>
        </is>
      </c>
      <c r="F140" s="5" t="n"/>
      <c r="G140" s="5" t="n"/>
      <c r="H140" s="5" t="n">
        <v>126</v>
      </c>
      <c r="I140" s="5" t="n">
        <v>84</v>
      </c>
      <c r="J140" s="5" t="n">
        <v>42</v>
      </c>
      <c r="K140" s="10">
        <f>IF(F140&gt;0,H140/F140,"")</f>
        <v/>
      </c>
      <c r="L140" s="16">
        <f>IF(AND(G140&gt;0,H140&gt;0),G140/H140,"")</f>
        <v/>
      </c>
    </row>
    <row r="141">
      <c r="A141" s="4" t="inlineStr">
        <is>
          <t>430</t>
        </is>
      </c>
      <c r="B141" s="4" t="n">
        <v>4</v>
      </c>
      <c r="C141" s="4" t="inlineStr">
        <is>
          <t>antelope</t>
        </is>
      </c>
      <c r="D141" s="4" t="n">
        <v>2024</v>
      </c>
      <c r="E141" s="15" t="inlineStr">
        <is>
          <t>Draw</t>
        </is>
      </c>
      <c r="F141" s="5" t="n">
        <v>214</v>
      </c>
      <c r="G141" s="5" t="n">
        <v>1065</v>
      </c>
      <c r="H141" s="5" t="n">
        <v>148</v>
      </c>
      <c r="I141" s="5" t="n">
        <v>112</v>
      </c>
      <c r="J141" s="5" t="n">
        <v>34</v>
      </c>
      <c r="K141" s="10">
        <f>IF(F141&gt;0,H141/F141,"")</f>
        <v/>
      </c>
      <c r="L141" s="16">
        <f>IF(AND(G141&gt;0,H141&gt;0),G141/H141,"")</f>
        <v/>
      </c>
    </row>
    <row r="142">
      <c r="A142" s="4" t="inlineStr">
        <is>
          <t>430</t>
        </is>
      </c>
      <c r="B142" s="4" t="n">
        <v>4</v>
      </c>
      <c r="C142" s="4" t="inlineStr">
        <is>
          <t>antelope</t>
        </is>
      </c>
      <c r="D142" s="4" t="n">
        <v>2025</v>
      </c>
      <c r="E142" s="15" t="inlineStr">
        <is>
          <t>Draw</t>
        </is>
      </c>
      <c r="F142" s="5" t="n"/>
      <c r="G142" s="5" t="n"/>
      <c r="H142" s="5" t="n">
        <v>192</v>
      </c>
      <c r="I142" s="5" t="n">
        <v>118</v>
      </c>
      <c r="J142" s="5" t="n">
        <v>72</v>
      </c>
      <c r="K142" s="10">
        <f>IF(F142&gt;0,H142/F142,"")</f>
        <v/>
      </c>
      <c r="L142" s="16">
        <f>IF(AND(G142&gt;0,H142&gt;0),G142/H142,"")</f>
        <v/>
      </c>
    </row>
    <row r="143">
      <c r="A143" s="4" t="inlineStr">
        <is>
          <t>440</t>
        </is>
      </c>
      <c r="B143" s="4" t="n">
        <v>4</v>
      </c>
      <c r="C143" s="4" t="inlineStr">
        <is>
          <t>antelope</t>
        </is>
      </c>
      <c r="D143" s="4" t="n">
        <v>2021</v>
      </c>
      <c r="E143" s="15" t="inlineStr">
        <is>
          <t>Draw</t>
        </is>
      </c>
      <c r="F143" s="5" t="n"/>
      <c r="G143" s="5" t="n"/>
      <c r="H143" s="5" t="n">
        <v>85</v>
      </c>
      <c r="I143" s="5" t="n">
        <v>49</v>
      </c>
      <c r="J143" s="5" t="n">
        <v>37</v>
      </c>
      <c r="K143" s="10">
        <f>IF(F143&gt;0,H143/F143,"")</f>
        <v/>
      </c>
      <c r="L143" s="16">
        <f>IF(AND(G143&gt;0,H143&gt;0),G143/H143,"")</f>
        <v/>
      </c>
    </row>
    <row r="144">
      <c r="A144" s="4" t="inlineStr">
        <is>
          <t>440</t>
        </is>
      </c>
      <c r="B144" s="4" t="n">
        <v>4</v>
      </c>
      <c r="C144" s="4" t="inlineStr">
        <is>
          <t>antelope</t>
        </is>
      </c>
      <c r="D144" s="4" t="n">
        <v>2022</v>
      </c>
      <c r="E144" s="15" t="inlineStr">
        <is>
          <t>Draw</t>
        </is>
      </c>
      <c r="F144" s="5" t="n">
        <v>150</v>
      </c>
      <c r="G144" s="5" t="n">
        <v>554</v>
      </c>
      <c r="H144" s="5" t="n">
        <v>82</v>
      </c>
      <c r="I144" s="5" t="n">
        <v>47</v>
      </c>
      <c r="J144" s="5" t="n">
        <v>35</v>
      </c>
      <c r="K144" s="10">
        <f>IF(F144&gt;0,H144/F144,"")</f>
        <v/>
      </c>
      <c r="L144" s="16">
        <f>IF(AND(G144&gt;0,H144&gt;0),G144/H144,"")</f>
        <v/>
      </c>
    </row>
    <row r="145">
      <c r="A145" s="4" t="inlineStr">
        <is>
          <t>440</t>
        </is>
      </c>
      <c r="B145" s="4" t="n">
        <v>4</v>
      </c>
      <c r="C145" s="4" t="inlineStr">
        <is>
          <t>antelope</t>
        </is>
      </c>
      <c r="D145" s="4" t="n">
        <v>2023</v>
      </c>
      <c r="E145" s="15" t="inlineStr">
        <is>
          <t>Draw</t>
        </is>
      </c>
      <c r="F145" s="5" t="n"/>
      <c r="G145" s="5" t="n"/>
      <c r="H145" s="5" t="n">
        <v>91</v>
      </c>
      <c r="I145" s="5" t="n">
        <v>57</v>
      </c>
      <c r="J145" s="5" t="n">
        <v>32</v>
      </c>
      <c r="K145" s="10">
        <f>IF(F145&gt;0,H145/F145,"")</f>
        <v/>
      </c>
      <c r="L145" s="16">
        <f>IF(AND(G145&gt;0,H145&gt;0),G145/H145,"")</f>
        <v/>
      </c>
    </row>
    <row r="146">
      <c r="A146" s="4" t="inlineStr">
        <is>
          <t>440</t>
        </is>
      </c>
      <c r="B146" s="4" t="n">
        <v>4</v>
      </c>
      <c r="C146" s="4" t="inlineStr">
        <is>
          <t>antelope</t>
        </is>
      </c>
      <c r="D146" s="4" t="n">
        <v>2024</v>
      </c>
      <c r="E146" s="15" t="inlineStr">
        <is>
          <t>Draw</t>
        </is>
      </c>
      <c r="F146" s="5" t="n">
        <v>176</v>
      </c>
      <c r="G146" s="5" t="n">
        <v>777</v>
      </c>
      <c r="H146" s="5" t="n">
        <v>143</v>
      </c>
      <c r="I146" s="5" t="n">
        <v>71</v>
      </c>
      <c r="J146" s="5" t="n">
        <v>70</v>
      </c>
      <c r="K146" s="10">
        <f>IF(F146&gt;0,H146/F146,"")</f>
        <v/>
      </c>
      <c r="L146" s="16">
        <f>IF(AND(G146&gt;0,H146&gt;0),G146/H146,"")</f>
        <v/>
      </c>
    </row>
    <row r="147">
      <c r="A147" s="4" t="inlineStr">
        <is>
          <t>440</t>
        </is>
      </c>
      <c r="B147" s="4" t="n">
        <v>4</v>
      </c>
      <c r="C147" s="4" t="inlineStr">
        <is>
          <t>antelope</t>
        </is>
      </c>
      <c r="D147" s="4" t="n">
        <v>2025</v>
      </c>
      <c r="E147" s="15" t="inlineStr">
        <is>
          <t>Draw</t>
        </is>
      </c>
      <c r="F147" s="5" t="n"/>
      <c r="G147" s="5" t="n"/>
      <c r="H147" s="5" t="n">
        <v>132</v>
      </c>
      <c r="I147" s="5" t="n">
        <v>82</v>
      </c>
      <c r="J147" s="5" t="n">
        <v>47</v>
      </c>
      <c r="K147" s="10">
        <f>IF(F147&gt;0,H147/F147,"")</f>
        <v/>
      </c>
      <c r="L147" s="16">
        <f>IF(AND(G147&gt;0,H147&gt;0),G147/H147,"")</f>
        <v/>
      </c>
    </row>
    <row r="148">
      <c r="A148" s="4" t="inlineStr">
        <is>
          <t>441</t>
        </is>
      </c>
      <c r="B148" s="4" t="n">
        <v>4</v>
      </c>
      <c r="C148" s="4" t="inlineStr">
        <is>
          <t>antelope</t>
        </is>
      </c>
      <c r="D148" s="4" t="n">
        <v>2021</v>
      </c>
      <c r="E148" s="15" t="inlineStr">
        <is>
          <t>Draw</t>
        </is>
      </c>
      <c r="F148" s="5" t="n"/>
      <c r="G148" s="5" t="n"/>
      <c r="H148" s="5" t="n">
        <v>11</v>
      </c>
      <c r="I148" s="5" t="n">
        <v>6</v>
      </c>
      <c r="J148" s="5" t="n">
        <v>5</v>
      </c>
      <c r="K148" s="10">
        <f>IF(F148&gt;0,H148/F148,"")</f>
        <v/>
      </c>
      <c r="L148" s="16">
        <f>IF(AND(G148&gt;0,H148&gt;0),G148/H148,"")</f>
        <v/>
      </c>
    </row>
    <row r="149">
      <c r="A149" s="4" t="inlineStr">
        <is>
          <t>441</t>
        </is>
      </c>
      <c r="B149" s="4" t="n">
        <v>4</v>
      </c>
      <c r="C149" s="4" t="inlineStr">
        <is>
          <t>antelope</t>
        </is>
      </c>
      <c r="D149" s="4" t="n">
        <v>2022</v>
      </c>
      <c r="E149" s="15" t="inlineStr">
        <is>
          <t>Draw</t>
        </is>
      </c>
      <c r="F149" s="5" t="n">
        <v>10</v>
      </c>
      <c r="G149" s="5" t="n">
        <v>23</v>
      </c>
      <c r="H149" s="5" t="n">
        <v>7</v>
      </c>
      <c r="I149" s="5" t="n">
        <v>7</v>
      </c>
      <c r="J149" s="5" t="n">
        <v>0</v>
      </c>
      <c r="K149" s="10">
        <f>IF(F149&gt;0,H149/F149,"")</f>
        <v/>
      </c>
      <c r="L149" s="16">
        <f>IF(AND(G149&gt;0,H149&gt;0),G149/H149,"")</f>
        <v/>
      </c>
    </row>
    <row r="150">
      <c r="A150" s="4" t="inlineStr">
        <is>
          <t>441</t>
        </is>
      </c>
      <c r="B150" s="4" t="n">
        <v>4</v>
      </c>
      <c r="C150" s="4" t="inlineStr">
        <is>
          <t>antelope</t>
        </is>
      </c>
      <c r="D150" s="4" t="n">
        <v>2023</v>
      </c>
      <c r="E150" s="15" t="inlineStr">
        <is>
          <t>Draw</t>
        </is>
      </c>
      <c r="F150" s="5" t="n"/>
      <c r="G150" s="5" t="n"/>
      <c r="H150" s="5" t="n">
        <v>9</v>
      </c>
      <c r="I150" s="5" t="n">
        <v>7</v>
      </c>
      <c r="J150" s="5" t="n">
        <v>2</v>
      </c>
      <c r="K150" s="10">
        <f>IF(F150&gt;0,H150/F150,"")</f>
        <v/>
      </c>
      <c r="L150" s="16">
        <f>IF(AND(G150&gt;0,H150&gt;0),G150/H150,"")</f>
        <v/>
      </c>
    </row>
    <row r="151">
      <c r="A151" s="4" t="inlineStr">
        <is>
          <t>441</t>
        </is>
      </c>
      <c r="B151" s="4" t="n">
        <v>4</v>
      </c>
      <c r="C151" s="4" t="inlineStr">
        <is>
          <t>antelope</t>
        </is>
      </c>
      <c r="D151" s="4" t="n">
        <v>2024</v>
      </c>
      <c r="E151" s="15" t="inlineStr">
        <is>
          <t>Draw</t>
        </is>
      </c>
      <c r="F151" s="5" t="n">
        <v>29</v>
      </c>
      <c r="G151" s="5" t="n">
        <v>155</v>
      </c>
      <c r="H151" s="5" t="n">
        <v>10</v>
      </c>
      <c r="I151" s="5" t="n">
        <v>7</v>
      </c>
      <c r="J151" s="5" t="n">
        <v>3</v>
      </c>
      <c r="K151" s="10">
        <f>IF(F151&gt;0,H151/F151,"")</f>
        <v/>
      </c>
      <c r="L151" s="16">
        <f>IF(AND(G151&gt;0,H151&gt;0),G151/H151,"")</f>
        <v/>
      </c>
    </row>
    <row r="152">
      <c r="A152" s="4" t="inlineStr">
        <is>
          <t>441</t>
        </is>
      </c>
      <c r="B152" s="4" t="n">
        <v>4</v>
      </c>
      <c r="C152" s="4" t="inlineStr">
        <is>
          <t>antelope</t>
        </is>
      </c>
      <c r="D152" s="4" t="n">
        <v>2025</v>
      </c>
      <c r="E152" s="15" t="inlineStr">
        <is>
          <t>Draw</t>
        </is>
      </c>
      <c r="F152" s="5" t="n"/>
      <c r="G152" s="5" t="n"/>
      <c r="H152" s="5" t="n">
        <v>10</v>
      </c>
      <c r="I152" s="5" t="n">
        <v>10</v>
      </c>
      <c r="J152" s="5" t="n">
        <v>0</v>
      </c>
      <c r="K152" s="10">
        <f>IF(F152&gt;0,H152/F152,"")</f>
        <v/>
      </c>
      <c r="L152" s="16">
        <f>IF(AND(G152&gt;0,H152&gt;0),G152/H152,"")</f>
        <v/>
      </c>
    </row>
    <row r="153">
      <c r="A153" s="4" t="inlineStr">
        <is>
          <t>444</t>
        </is>
      </c>
      <c r="B153" s="4" t="n">
        <v>4</v>
      </c>
      <c r="C153" s="4" t="inlineStr">
        <is>
          <t>antelope</t>
        </is>
      </c>
      <c r="D153" s="4" t="n">
        <v>2021</v>
      </c>
      <c r="E153" s="15" t="inlineStr">
        <is>
          <t>Draw</t>
        </is>
      </c>
      <c r="F153" s="5" t="n"/>
      <c r="G153" s="5" t="n"/>
      <c r="H153" s="5" t="n">
        <v>106</v>
      </c>
      <c r="I153" s="5" t="n">
        <v>75</v>
      </c>
      <c r="J153" s="5" t="n">
        <v>29</v>
      </c>
      <c r="K153" s="10">
        <f>IF(F153&gt;0,H153/F153,"")</f>
        <v/>
      </c>
      <c r="L153" s="16">
        <f>IF(AND(G153&gt;0,H153&gt;0),G153/H153,"")</f>
        <v/>
      </c>
    </row>
    <row r="154">
      <c r="A154" s="4" t="inlineStr">
        <is>
          <t>444</t>
        </is>
      </c>
      <c r="B154" s="4" t="n">
        <v>4</v>
      </c>
      <c r="C154" s="4" t="inlineStr">
        <is>
          <t>antelope</t>
        </is>
      </c>
      <c r="D154" s="4" t="n">
        <v>2022</v>
      </c>
      <c r="E154" s="15" t="inlineStr">
        <is>
          <t>Draw</t>
        </is>
      </c>
      <c r="F154" s="5" t="n">
        <v>161</v>
      </c>
      <c r="G154" s="5" t="n">
        <v>698</v>
      </c>
      <c r="H154" s="5" t="n">
        <v>61</v>
      </c>
      <c r="I154" s="5" t="n">
        <v>38</v>
      </c>
      <c r="J154" s="5" t="n">
        <v>23</v>
      </c>
      <c r="K154" s="10">
        <f>IF(F154&gt;0,H154/F154,"")</f>
        <v/>
      </c>
      <c r="L154" s="16">
        <f>IF(AND(G154&gt;0,H154&gt;0),G154/H154,"")</f>
        <v/>
      </c>
    </row>
    <row r="155">
      <c r="A155" s="4" t="inlineStr">
        <is>
          <t>444</t>
        </is>
      </c>
      <c r="B155" s="4" t="n">
        <v>4</v>
      </c>
      <c r="C155" s="4" t="inlineStr">
        <is>
          <t>antelope</t>
        </is>
      </c>
      <c r="D155" s="4" t="n">
        <v>2023</v>
      </c>
      <c r="E155" s="15" t="inlineStr">
        <is>
          <t>Draw</t>
        </is>
      </c>
      <c r="F155" s="5" t="n"/>
      <c r="G155" s="5" t="n"/>
      <c r="H155" s="5" t="n">
        <v>94</v>
      </c>
      <c r="I155" s="5" t="n">
        <v>60</v>
      </c>
      <c r="J155" s="5" t="n">
        <v>31</v>
      </c>
      <c r="K155" s="10">
        <f>IF(F155&gt;0,H155/F155,"")</f>
        <v/>
      </c>
      <c r="L155" s="16">
        <f>IF(AND(G155&gt;0,H155&gt;0),G155/H155,"")</f>
        <v/>
      </c>
    </row>
    <row r="156">
      <c r="A156" s="4" t="inlineStr">
        <is>
          <t>444</t>
        </is>
      </c>
      <c r="B156" s="4" t="n">
        <v>4</v>
      </c>
      <c r="C156" s="4" t="inlineStr">
        <is>
          <t>antelope</t>
        </is>
      </c>
      <c r="D156" s="4" t="n">
        <v>2024</v>
      </c>
      <c r="E156" s="15" t="inlineStr">
        <is>
          <t>Draw</t>
        </is>
      </c>
      <c r="F156" s="5" t="n">
        <v>214</v>
      </c>
      <c r="G156" s="5" t="n">
        <v>937</v>
      </c>
      <c r="H156" s="5" t="n">
        <v>102</v>
      </c>
      <c r="I156" s="5" t="n">
        <v>66</v>
      </c>
      <c r="J156" s="5" t="n">
        <v>36</v>
      </c>
      <c r="K156" s="10">
        <f>IF(F156&gt;0,H156/F156,"")</f>
        <v/>
      </c>
      <c r="L156" s="16">
        <f>IF(AND(G156&gt;0,H156&gt;0),G156/H156,"")</f>
        <v/>
      </c>
    </row>
    <row r="157">
      <c r="A157" s="4" t="inlineStr">
        <is>
          <t>444</t>
        </is>
      </c>
      <c r="B157" s="4" t="n">
        <v>4</v>
      </c>
      <c r="C157" s="4" t="inlineStr">
        <is>
          <t>antelope</t>
        </is>
      </c>
      <c r="D157" s="4" t="n">
        <v>2025</v>
      </c>
      <c r="E157" s="15" t="inlineStr">
        <is>
          <t>Draw</t>
        </is>
      </c>
      <c r="F157" s="5" t="n"/>
      <c r="G157" s="5" t="n"/>
      <c r="H157" s="5" t="n">
        <v>92</v>
      </c>
      <c r="I157" s="5" t="n">
        <v>65</v>
      </c>
      <c r="J157" s="5" t="n">
        <v>27</v>
      </c>
      <c r="K157" s="10">
        <f>IF(F157&gt;0,H157/F157,"")</f>
        <v/>
      </c>
      <c r="L157" s="16">
        <f>IF(AND(G157&gt;0,H157&gt;0),G157/H157,"")</f>
        <v/>
      </c>
    </row>
    <row r="158">
      <c r="A158" s="4" t="inlineStr">
        <is>
          <t>450</t>
        </is>
      </c>
      <c r="B158" s="4" t="n">
        <v>4</v>
      </c>
      <c r="C158" s="4" t="inlineStr">
        <is>
          <t>antelope</t>
        </is>
      </c>
      <c r="D158" s="4" t="n">
        <v>2021</v>
      </c>
      <c r="E158" s="15" t="inlineStr">
        <is>
          <t>Draw</t>
        </is>
      </c>
      <c r="F158" s="5" t="n"/>
      <c r="G158" s="5" t="n"/>
      <c r="H158" s="5" t="n">
        <v>49</v>
      </c>
      <c r="I158" s="5" t="n">
        <v>25</v>
      </c>
      <c r="J158" s="5" t="n">
        <v>20</v>
      </c>
      <c r="K158" s="10">
        <f>IF(F158&gt;0,H158/F158,"")</f>
        <v/>
      </c>
      <c r="L158" s="16">
        <f>IF(AND(G158&gt;0,H158&gt;0),G158/H158,"")</f>
        <v/>
      </c>
    </row>
    <row r="159">
      <c r="A159" s="4" t="inlineStr">
        <is>
          <t>450</t>
        </is>
      </c>
      <c r="B159" s="4" t="n">
        <v>4</v>
      </c>
      <c r="C159" s="4" t="inlineStr">
        <is>
          <t>antelope</t>
        </is>
      </c>
      <c r="D159" s="4" t="n">
        <v>2022</v>
      </c>
      <c r="E159" s="15" t="inlineStr">
        <is>
          <t>Draw</t>
        </is>
      </c>
      <c r="F159" s="5" t="n">
        <v>83</v>
      </c>
      <c r="G159" s="5" t="n">
        <v>249</v>
      </c>
      <c r="H159" s="5" t="n">
        <v>51</v>
      </c>
      <c r="I159" s="5" t="n">
        <v>28</v>
      </c>
      <c r="J159" s="5" t="n">
        <v>21</v>
      </c>
      <c r="K159" s="10">
        <f>IF(F159&gt;0,H159/F159,"")</f>
        <v/>
      </c>
      <c r="L159" s="16">
        <f>IF(AND(G159&gt;0,H159&gt;0),G159/H159,"")</f>
        <v/>
      </c>
    </row>
    <row r="160">
      <c r="A160" s="4" t="inlineStr">
        <is>
          <t>450</t>
        </is>
      </c>
      <c r="B160" s="4" t="n">
        <v>4</v>
      </c>
      <c r="C160" s="4" t="inlineStr">
        <is>
          <t>antelope</t>
        </is>
      </c>
      <c r="D160" s="4" t="n">
        <v>2023</v>
      </c>
      <c r="E160" s="15" t="inlineStr">
        <is>
          <t>Draw</t>
        </is>
      </c>
      <c r="F160" s="5" t="n"/>
      <c r="G160" s="5" t="n"/>
      <c r="H160" s="5" t="n">
        <v>58</v>
      </c>
      <c r="I160" s="5" t="n">
        <v>34</v>
      </c>
      <c r="J160" s="5" t="n">
        <v>22</v>
      </c>
      <c r="K160" s="10">
        <f>IF(F160&gt;0,H160/F160,"")</f>
        <v/>
      </c>
      <c r="L160" s="16">
        <f>IF(AND(G160&gt;0,H160&gt;0),G160/H160,"")</f>
        <v/>
      </c>
    </row>
    <row r="161">
      <c r="A161" s="4" t="inlineStr">
        <is>
          <t>450</t>
        </is>
      </c>
      <c r="B161" s="4" t="n">
        <v>4</v>
      </c>
      <c r="C161" s="4" t="inlineStr">
        <is>
          <t>antelope</t>
        </is>
      </c>
      <c r="D161" s="4" t="n">
        <v>2024</v>
      </c>
      <c r="E161" s="15" t="inlineStr">
        <is>
          <t>Draw</t>
        </is>
      </c>
      <c r="F161" s="5" t="n">
        <v>130</v>
      </c>
      <c r="G161" s="5" t="n">
        <v>454</v>
      </c>
      <c r="H161" s="5" t="n">
        <v>72</v>
      </c>
      <c r="I161" s="5" t="n">
        <v>42</v>
      </c>
      <c r="J161" s="5" t="n">
        <v>28</v>
      </c>
      <c r="K161" s="10">
        <f>IF(F161&gt;0,H161/F161,"")</f>
        <v/>
      </c>
      <c r="L161" s="16">
        <f>IF(AND(G161&gt;0,H161&gt;0),G161/H161,"")</f>
        <v/>
      </c>
    </row>
    <row r="162">
      <c r="A162" s="4" t="inlineStr">
        <is>
          <t>450</t>
        </is>
      </c>
      <c r="B162" s="4" t="n">
        <v>4</v>
      </c>
      <c r="C162" s="4" t="inlineStr">
        <is>
          <t>antelope</t>
        </is>
      </c>
      <c r="D162" s="4" t="n">
        <v>2025</v>
      </c>
      <c r="E162" s="15" t="inlineStr">
        <is>
          <t>Draw</t>
        </is>
      </c>
      <c r="F162" s="5" t="n"/>
      <c r="G162" s="5" t="n"/>
      <c r="H162" s="5" t="n">
        <v>98</v>
      </c>
      <c r="I162" s="5" t="n">
        <v>58</v>
      </c>
      <c r="J162" s="5" t="n">
        <v>40</v>
      </c>
      <c r="K162" s="10">
        <f>IF(F162&gt;0,H162/F162,"")</f>
        <v/>
      </c>
      <c r="L162" s="16">
        <f>IF(AND(G162&gt;0,H162&gt;0),G162/H162,"")</f>
        <v/>
      </c>
    </row>
    <row r="163">
      <c r="A163" s="4" t="inlineStr">
        <is>
          <t>455</t>
        </is>
      </c>
      <c r="B163" s="4" t="n">
        <v>4</v>
      </c>
      <c r="C163" s="4" t="inlineStr">
        <is>
          <t>antelope</t>
        </is>
      </c>
      <c r="D163" s="4" t="n">
        <v>2021</v>
      </c>
      <c r="E163" s="15" t="inlineStr">
        <is>
          <t>Draw</t>
        </is>
      </c>
      <c r="F163" s="5" t="n"/>
      <c r="G163" s="5" t="n"/>
      <c r="H163" s="5" t="n">
        <v>2</v>
      </c>
      <c r="I163" s="5" t="n">
        <v>2</v>
      </c>
      <c r="J163" s="5" t="n">
        <v>0</v>
      </c>
      <c r="K163" s="10">
        <f>IF(F163&gt;0,H163/F163,"")</f>
        <v/>
      </c>
      <c r="L163" s="16">
        <f>IF(AND(G163&gt;0,H163&gt;0),G163/H163,"")</f>
        <v/>
      </c>
    </row>
    <row r="164">
      <c r="A164" s="4" t="inlineStr">
        <is>
          <t>455</t>
        </is>
      </c>
      <c r="B164" s="4" t="n">
        <v>4</v>
      </c>
      <c r="C164" s="4" t="inlineStr">
        <is>
          <t>antelope</t>
        </is>
      </c>
      <c r="D164" s="4" t="n">
        <v>2022</v>
      </c>
      <c r="E164" s="15" t="inlineStr">
        <is>
          <t>Draw</t>
        </is>
      </c>
      <c r="F164" s="5" t="n">
        <v>2</v>
      </c>
      <c r="G164" s="5" t="n">
        <v>4</v>
      </c>
      <c r="H164" s="5" t="n">
        <v>2</v>
      </c>
      <c r="I164" s="5" t="n">
        <v>2</v>
      </c>
      <c r="J164" s="5" t="n">
        <v>0</v>
      </c>
      <c r="K164" s="10">
        <f>IF(F164&gt;0,H164/F164,"")</f>
        <v/>
      </c>
      <c r="L164" s="16">
        <f>IF(AND(G164&gt;0,H164&gt;0),G164/H164,"")</f>
        <v/>
      </c>
    </row>
    <row r="165">
      <c r="A165" s="4" t="inlineStr">
        <is>
          <t>455</t>
        </is>
      </c>
      <c r="B165" s="4" t="n">
        <v>4</v>
      </c>
      <c r="C165" s="4" t="inlineStr">
        <is>
          <t>antelope</t>
        </is>
      </c>
      <c r="D165" s="4" t="n">
        <v>2023</v>
      </c>
      <c r="E165" s="15" t="inlineStr">
        <is>
          <t>Draw</t>
        </is>
      </c>
      <c r="F165" s="5" t="n"/>
      <c r="G165" s="5" t="n"/>
      <c r="H165" s="5" t="n">
        <v>2</v>
      </c>
      <c r="I165" s="5" t="n">
        <v>2</v>
      </c>
      <c r="J165" s="5" t="n">
        <v>0</v>
      </c>
      <c r="K165" s="10">
        <f>IF(F165&gt;0,H165/F165,"")</f>
        <v/>
      </c>
      <c r="L165" s="16">
        <f>IF(AND(G165&gt;0,H165&gt;0),G165/H165,"")</f>
        <v/>
      </c>
    </row>
    <row r="166">
      <c r="A166" s="4" t="inlineStr">
        <is>
          <t>455</t>
        </is>
      </c>
      <c r="B166" s="4" t="n">
        <v>4</v>
      </c>
      <c r="C166" s="4" t="inlineStr">
        <is>
          <t>antelope</t>
        </is>
      </c>
      <c r="D166" s="4" t="n">
        <v>2024</v>
      </c>
      <c r="E166" s="15" t="inlineStr">
        <is>
          <t>Draw</t>
        </is>
      </c>
      <c r="F166" s="5" t="n">
        <v>3</v>
      </c>
      <c r="G166" s="5" t="n">
        <v>12</v>
      </c>
      <c r="H166" s="5" t="n">
        <v>0</v>
      </c>
      <c r="I166" s="5" t="n">
        <v>0</v>
      </c>
      <c r="J166" s="5" t="n">
        <v>0</v>
      </c>
      <c r="K166" s="10">
        <f>IF(F166&gt;0,H166/F166,"")</f>
        <v/>
      </c>
      <c r="L166" s="16">
        <f>IF(AND(G166&gt;0,H166&gt;0),G166/H166,"")</f>
        <v/>
      </c>
    </row>
    <row r="167">
      <c r="A167" s="4" t="inlineStr">
        <is>
          <t>455</t>
        </is>
      </c>
      <c r="B167" s="4" t="n">
        <v>4</v>
      </c>
      <c r="C167" s="4" t="inlineStr">
        <is>
          <t>antelope</t>
        </is>
      </c>
      <c r="D167" s="4" t="n">
        <v>2025</v>
      </c>
      <c r="E167" s="15" t="inlineStr">
        <is>
          <t>Draw</t>
        </is>
      </c>
      <c r="F167" s="5" t="n"/>
      <c r="G167" s="5" t="n"/>
      <c r="H167" s="5" t="n">
        <v>6</v>
      </c>
      <c r="I167" s="5" t="n">
        <v>2</v>
      </c>
      <c r="J167" s="5" t="n">
        <v>4</v>
      </c>
      <c r="K167" s="10">
        <f>IF(F167&gt;0,H167/F167,"")</f>
        <v/>
      </c>
      <c r="L167" s="16">
        <f>IF(AND(G167&gt;0,H167&gt;0),G167/H167,"")</f>
        <v/>
      </c>
    </row>
    <row r="168">
      <c r="A168" s="4" t="inlineStr">
        <is>
          <t>471</t>
        </is>
      </c>
      <c r="B168" s="4" t="n">
        <v>4</v>
      </c>
      <c r="C168" s="4" t="inlineStr">
        <is>
          <t>antelope</t>
        </is>
      </c>
      <c r="D168" s="4" t="n">
        <v>2021</v>
      </c>
      <c r="E168" s="15" t="inlineStr">
        <is>
          <t>Draw</t>
        </is>
      </c>
      <c r="F168" s="5" t="n"/>
      <c r="G168" s="5" t="n"/>
      <c r="H168" s="5" t="n">
        <v>337</v>
      </c>
      <c r="I168" s="5" t="n">
        <v>137</v>
      </c>
      <c r="J168" s="5" t="n">
        <v>185</v>
      </c>
      <c r="K168" s="10">
        <f>IF(F168&gt;0,H168/F168,"")</f>
        <v/>
      </c>
      <c r="L168" s="16">
        <f>IF(AND(G168&gt;0,H168&gt;0),G168/H168,"")</f>
        <v/>
      </c>
    </row>
    <row r="169">
      <c r="A169" s="4" t="inlineStr">
        <is>
          <t>471</t>
        </is>
      </c>
      <c r="B169" s="4" t="n">
        <v>4</v>
      </c>
      <c r="C169" s="4" t="inlineStr">
        <is>
          <t>antelope</t>
        </is>
      </c>
      <c r="D169" s="4" t="n">
        <v>2022</v>
      </c>
      <c r="E169" s="15" t="inlineStr">
        <is>
          <t>Draw</t>
        </is>
      </c>
      <c r="F169" s="5" t="n">
        <v>658</v>
      </c>
      <c r="G169" s="5" t="n">
        <v>2361</v>
      </c>
      <c r="H169" s="5" t="n">
        <v>485</v>
      </c>
      <c r="I169" s="5" t="n">
        <v>266</v>
      </c>
      <c r="J169" s="5" t="n">
        <v>214</v>
      </c>
      <c r="K169" s="10">
        <f>IF(F169&gt;0,H169/F169,"")</f>
        <v/>
      </c>
      <c r="L169" s="16">
        <f>IF(AND(G169&gt;0,H169&gt;0),G169/H169,"")</f>
        <v/>
      </c>
    </row>
    <row r="170">
      <c r="A170" s="4" t="inlineStr">
        <is>
          <t>471</t>
        </is>
      </c>
      <c r="B170" s="4" t="n">
        <v>4</v>
      </c>
      <c r="C170" s="4" t="inlineStr">
        <is>
          <t>antelope</t>
        </is>
      </c>
      <c r="D170" s="4" t="n">
        <v>2023</v>
      </c>
      <c r="E170" s="15" t="inlineStr">
        <is>
          <t>Draw</t>
        </is>
      </c>
      <c r="F170" s="5" t="n"/>
      <c r="G170" s="5" t="n"/>
      <c r="H170" s="5" t="n">
        <v>315</v>
      </c>
      <c r="I170" s="5" t="n">
        <v>165</v>
      </c>
      <c r="J170" s="5" t="n">
        <v>143</v>
      </c>
      <c r="K170" s="10">
        <f>IF(F170&gt;0,H170/F170,"")</f>
        <v/>
      </c>
      <c r="L170" s="16">
        <f>IF(AND(G170&gt;0,H170&gt;0),G170/H170,"")</f>
        <v/>
      </c>
    </row>
    <row r="171">
      <c r="A171" s="4" t="inlineStr">
        <is>
          <t>471</t>
        </is>
      </c>
      <c r="B171" s="4" t="n">
        <v>4</v>
      </c>
      <c r="C171" s="4" t="inlineStr">
        <is>
          <t>antelope</t>
        </is>
      </c>
      <c r="D171" s="4" t="n">
        <v>2024</v>
      </c>
      <c r="E171" s="15" t="inlineStr">
        <is>
          <t>Draw</t>
        </is>
      </c>
      <c r="F171" s="5" t="n">
        <v>433</v>
      </c>
      <c r="G171" s="5" t="n">
        <v>1917</v>
      </c>
      <c r="H171" s="5" t="n">
        <v>273</v>
      </c>
      <c r="I171" s="5" t="n">
        <v>164</v>
      </c>
      <c r="J171" s="5" t="n">
        <v>108</v>
      </c>
      <c r="K171" s="10">
        <f>IF(F171&gt;0,H171/F171,"")</f>
        <v/>
      </c>
      <c r="L171" s="16">
        <f>IF(AND(G171&gt;0,H171&gt;0),G171/H171,"")</f>
        <v/>
      </c>
    </row>
    <row r="172">
      <c r="A172" s="4" t="inlineStr">
        <is>
          <t>471</t>
        </is>
      </c>
      <c r="B172" s="4" t="n">
        <v>4</v>
      </c>
      <c r="C172" s="4" t="inlineStr">
        <is>
          <t>antelope</t>
        </is>
      </c>
      <c r="D172" s="4" t="n">
        <v>2025</v>
      </c>
      <c r="E172" s="15" t="inlineStr">
        <is>
          <t>Draw</t>
        </is>
      </c>
      <c r="F172" s="5" t="n"/>
      <c r="G172" s="5" t="n"/>
      <c r="H172" s="5" t="n">
        <v>430</v>
      </c>
      <c r="I172" s="5" t="n">
        <v>247</v>
      </c>
      <c r="J172" s="5" t="n">
        <v>181</v>
      </c>
      <c r="K172" s="10">
        <f>IF(F172&gt;0,H172/F172,"")</f>
        <v/>
      </c>
      <c r="L172" s="16">
        <f>IF(AND(G172&gt;0,H172&gt;0),G172/H172,"")</f>
        <v/>
      </c>
    </row>
    <row r="173">
      <c r="A173" s="4" t="inlineStr">
        <is>
          <t>480</t>
        </is>
      </c>
      <c r="B173" s="4" t="n">
        <v>4</v>
      </c>
      <c r="C173" s="4" t="inlineStr">
        <is>
          <t>antelope</t>
        </is>
      </c>
      <c r="D173" s="4" t="n">
        <v>2021</v>
      </c>
      <c r="E173" s="15" t="inlineStr">
        <is>
          <t>Draw</t>
        </is>
      </c>
      <c r="F173" s="5" t="n"/>
      <c r="G173" s="5" t="n"/>
      <c r="H173" s="5" t="n">
        <v>121</v>
      </c>
      <c r="I173" s="5" t="n">
        <v>93</v>
      </c>
      <c r="J173" s="5" t="n">
        <v>27</v>
      </c>
      <c r="K173" s="10">
        <f>IF(F173&gt;0,H173/F173,"")</f>
        <v/>
      </c>
      <c r="L173" s="16">
        <f>IF(AND(G173&gt;0,H173&gt;0),G173/H173,"")</f>
        <v/>
      </c>
    </row>
    <row r="174">
      <c r="A174" s="4" t="inlineStr">
        <is>
          <t>480</t>
        </is>
      </c>
      <c r="B174" s="4" t="n">
        <v>4</v>
      </c>
      <c r="C174" s="4" t="inlineStr">
        <is>
          <t>antelope</t>
        </is>
      </c>
      <c r="D174" s="4" t="n">
        <v>2022</v>
      </c>
      <c r="E174" s="15" t="inlineStr">
        <is>
          <t>Draw</t>
        </is>
      </c>
      <c r="F174" s="5" t="n">
        <v>160</v>
      </c>
      <c r="G174" s="5" t="n">
        <v>715</v>
      </c>
      <c r="H174" s="5" t="n">
        <v>94</v>
      </c>
      <c r="I174" s="5" t="n">
        <v>79</v>
      </c>
      <c r="J174" s="5" t="n">
        <v>15</v>
      </c>
      <c r="K174" s="10">
        <f>IF(F174&gt;0,H174/F174,"")</f>
        <v/>
      </c>
      <c r="L174" s="16">
        <f>IF(AND(G174&gt;0,H174&gt;0),G174/H174,"")</f>
        <v/>
      </c>
    </row>
    <row r="175">
      <c r="A175" s="4" t="inlineStr">
        <is>
          <t>480</t>
        </is>
      </c>
      <c r="B175" s="4" t="n">
        <v>4</v>
      </c>
      <c r="C175" s="4" t="inlineStr">
        <is>
          <t>antelope</t>
        </is>
      </c>
      <c r="D175" s="4" t="n">
        <v>2023</v>
      </c>
      <c r="E175" s="15" t="inlineStr">
        <is>
          <t>Draw</t>
        </is>
      </c>
      <c r="F175" s="5" t="n"/>
      <c r="G175" s="5" t="n"/>
      <c r="H175" s="5" t="n">
        <v>85</v>
      </c>
      <c r="I175" s="5" t="n">
        <v>70</v>
      </c>
      <c r="J175" s="5" t="n">
        <v>13</v>
      </c>
      <c r="K175" s="10">
        <f>IF(F175&gt;0,H175/F175,"")</f>
        <v/>
      </c>
      <c r="L175" s="16">
        <f>IF(AND(G175&gt;0,H175&gt;0),G175/H175,"")</f>
        <v/>
      </c>
    </row>
    <row r="176">
      <c r="A176" s="4" t="inlineStr">
        <is>
          <t>480</t>
        </is>
      </c>
      <c r="B176" s="4" t="n">
        <v>4</v>
      </c>
      <c r="C176" s="4" t="inlineStr">
        <is>
          <t>antelope</t>
        </is>
      </c>
      <c r="D176" s="4" t="n">
        <v>2024</v>
      </c>
      <c r="E176" s="15" t="inlineStr">
        <is>
          <t>Draw</t>
        </is>
      </c>
      <c r="F176" s="5" t="n">
        <v>173</v>
      </c>
      <c r="G176" s="5" t="n">
        <v>896</v>
      </c>
      <c r="H176" s="5" t="n">
        <v>118</v>
      </c>
      <c r="I176" s="5" t="n">
        <v>100</v>
      </c>
      <c r="J176" s="5" t="n">
        <v>18</v>
      </c>
      <c r="K176" s="10">
        <f>IF(F176&gt;0,H176/F176,"")</f>
        <v/>
      </c>
      <c r="L176" s="16">
        <f>IF(AND(G176&gt;0,H176&gt;0),G176/H176,"")</f>
        <v/>
      </c>
    </row>
    <row r="177">
      <c r="A177" s="4" t="inlineStr">
        <is>
          <t>480</t>
        </is>
      </c>
      <c r="B177" s="4" t="n">
        <v>4</v>
      </c>
      <c r="C177" s="4" t="inlineStr">
        <is>
          <t>antelope</t>
        </is>
      </c>
      <c r="D177" s="4" t="n">
        <v>2025</v>
      </c>
      <c r="E177" s="15" t="inlineStr">
        <is>
          <t>Draw</t>
        </is>
      </c>
      <c r="F177" s="5" t="n"/>
      <c r="G177" s="5" t="n"/>
      <c r="H177" s="5" t="n">
        <v>206</v>
      </c>
      <c r="I177" s="5" t="n">
        <v>142</v>
      </c>
      <c r="J177" s="5" t="n">
        <v>63</v>
      </c>
      <c r="K177" s="10">
        <f>IF(F177&gt;0,H177/F177,"")</f>
        <v/>
      </c>
      <c r="L177" s="16">
        <f>IF(AND(G177&gt;0,H177&gt;0),G177/H177,"")</f>
        <v/>
      </c>
    </row>
    <row r="178">
      <c r="A178" s="4" t="inlineStr">
        <is>
          <t>481</t>
        </is>
      </c>
      <c r="B178" s="4" t="n">
        <v>4</v>
      </c>
      <c r="C178" s="4" t="inlineStr">
        <is>
          <t>antelope</t>
        </is>
      </c>
      <c r="D178" s="4" t="n">
        <v>2021</v>
      </c>
      <c r="E178" s="15" t="inlineStr">
        <is>
          <t>Draw</t>
        </is>
      </c>
      <c r="F178" s="5" t="n"/>
      <c r="G178" s="5" t="n"/>
      <c r="H178" s="5" t="n">
        <v>225</v>
      </c>
      <c r="I178" s="5" t="n">
        <v>107</v>
      </c>
      <c r="J178" s="5" t="n">
        <v>115</v>
      </c>
      <c r="K178" s="10">
        <f>IF(F178&gt;0,H178/F178,"")</f>
        <v/>
      </c>
      <c r="L178" s="16">
        <f>IF(AND(G178&gt;0,H178&gt;0),G178/H178,"")</f>
        <v/>
      </c>
    </row>
    <row r="179">
      <c r="A179" s="4" t="inlineStr">
        <is>
          <t>481</t>
        </is>
      </c>
      <c r="B179" s="4" t="n">
        <v>4</v>
      </c>
      <c r="C179" s="4" t="inlineStr">
        <is>
          <t>antelope</t>
        </is>
      </c>
      <c r="D179" s="4" t="n">
        <v>2022</v>
      </c>
      <c r="E179" s="15" t="inlineStr">
        <is>
          <t>Draw</t>
        </is>
      </c>
      <c r="F179" s="5" t="n">
        <v>196</v>
      </c>
      <c r="G179" s="5" t="n">
        <v>1019</v>
      </c>
      <c r="H179" s="5" t="n">
        <v>78</v>
      </c>
      <c r="I179" s="5" t="n">
        <v>47</v>
      </c>
      <c r="J179" s="5" t="n">
        <v>30</v>
      </c>
      <c r="K179" s="10">
        <f>IF(F179&gt;0,H179/F179,"")</f>
        <v/>
      </c>
      <c r="L179" s="16">
        <f>IF(AND(G179&gt;0,H179&gt;0),G179/H179,"")</f>
        <v/>
      </c>
    </row>
    <row r="180">
      <c r="A180" s="4" t="inlineStr">
        <is>
          <t>481</t>
        </is>
      </c>
      <c r="B180" s="4" t="n">
        <v>4</v>
      </c>
      <c r="C180" s="4" t="inlineStr">
        <is>
          <t>antelope</t>
        </is>
      </c>
      <c r="D180" s="4" t="n">
        <v>2023</v>
      </c>
      <c r="E180" s="15" t="inlineStr">
        <is>
          <t>Draw</t>
        </is>
      </c>
      <c r="F180" s="5" t="n"/>
      <c r="G180" s="5" t="n"/>
      <c r="H180" s="5" t="n">
        <v>57</v>
      </c>
      <c r="I180" s="5" t="n">
        <v>49</v>
      </c>
      <c r="J180" s="5" t="n">
        <v>8</v>
      </c>
      <c r="K180" s="10">
        <f>IF(F180&gt;0,H180/F180,"")</f>
        <v/>
      </c>
      <c r="L180" s="16">
        <f>IF(AND(G180&gt;0,H180&gt;0),G180/H180,"")</f>
        <v/>
      </c>
    </row>
    <row r="181">
      <c r="A181" s="4" t="inlineStr">
        <is>
          <t>481</t>
        </is>
      </c>
      <c r="B181" s="4" t="n">
        <v>4</v>
      </c>
      <c r="C181" s="4" t="inlineStr">
        <is>
          <t>antelope</t>
        </is>
      </c>
      <c r="D181" s="4" t="n">
        <v>2024</v>
      </c>
      <c r="E181" s="15" t="inlineStr">
        <is>
          <t>Draw</t>
        </is>
      </c>
      <c r="F181" s="5" t="n">
        <v>198</v>
      </c>
      <c r="G181" s="5" t="n">
        <v>857</v>
      </c>
      <c r="H181" s="5" t="n">
        <v>101</v>
      </c>
      <c r="I181" s="5" t="n">
        <v>89</v>
      </c>
      <c r="J181" s="5" t="n">
        <v>11</v>
      </c>
      <c r="K181" s="10">
        <f>IF(F181&gt;0,H181/F181,"")</f>
        <v/>
      </c>
      <c r="L181" s="16">
        <f>IF(AND(G181&gt;0,H181&gt;0),G181/H181,"")</f>
        <v/>
      </c>
    </row>
    <row r="182">
      <c r="A182" s="4" t="inlineStr">
        <is>
          <t>481</t>
        </is>
      </c>
      <c r="B182" s="4" t="n">
        <v>4</v>
      </c>
      <c r="C182" s="4" t="inlineStr">
        <is>
          <t>antelope</t>
        </is>
      </c>
      <c r="D182" s="4" t="n">
        <v>2025</v>
      </c>
      <c r="E182" s="15" t="inlineStr">
        <is>
          <t>Draw</t>
        </is>
      </c>
      <c r="F182" s="5" t="n"/>
      <c r="G182" s="5" t="n"/>
      <c r="H182" s="5" t="n">
        <v>150</v>
      </c>
      <c r="I182" s="5" t="n">
        <v>101</v>
      </c>
      <c r="J182" s="5" t="n">
        <v>49</v>
      </c>
      <c r="K182" s="10">
        <f>IF(F182&gt;0,H182/F182,"")</f>
        <v/>
      </c>
      <c r="L182" s="16">
        <f>IF(AND(G182&gt;0,H182&gt;0),G182/H182,"")</f>
        <v/>
      </c>
    </row>
    <row r="183">
      <c r="A183" s="4" t="inlineStr">
        <is>
          <t>490</t>
        </is>
      </c>
      <c r="B183" s="4" t="n">
        <v>4</v>
      </c>
      <c r="C183" s="4" t="inlineStr">
        <is>
          <t>antelope</t>
        </is>
      </c>
      <c r="D183" s="4" t="n">
        <v>2021</v>
      </c>
      <c r="E183" s="15" t="inlineStr">
        <is>
          <t>Draw</t>
        </is>
      </c>
      <c r="F183" s="5" t="n"/>
      <c r="G183" s="5" t="n"/>
      <c r="H183" s="5" t="n">
        <v>285</v>
      </c>
      <c r="I183" s="5" t="n">
        <v>152</v>
      </c>
      <c r="J183" s="5" t="n">
        <v>120</v>
      </c>
      <c r="K183" s="10">
        <f>IF(F183&gt;0,H183/F183,"")</f>
        <v/>
      </c>
      <c r="L183" s="16">
        <f>IF(AND(G183&gt;0,H183&gt;0),G183/H183,"")</f>
        <v/>
      </c>
    </row>
    <row r="184">
      <c r="A184" s="4" t="inlineStr">
        <is>
          <t>490</t>
        </is>
      </c>
      <c r="B184" s="4" t="n">
        <v>4</v>
      </c>
      <c r="C184" s="4" t="inlineStr">
        <is>
          <t>antelope</t>
        </is>
      </c>
      <c r="D184" s="4" t="n">
        <v>2022</v>
      </c>
      <c r="E184" s="15" t="inlineStr">
        <is>
          <t>Draw</t>
        </is>
      </c>
      <c r="F184" s="5" t="n">
        <v>473</v>
      </c>
      <c r="G184" s="5" t="n">
        <v>1675</v>
      </c>
      <c r="H184" s="5" t="n">
        <v>316</v>
      </c>
      <c r="I184" s="5" t="n">
        <v>177</v>
      </c>
      <c r="J184" s="5" t="n">
        <v>137</v>
      </c>
      <c r="K184" s="10">
        <f>IF(F184&gt;0,H184/F184,"")</f>
        <v/>
      </c>
      <c r="L184" s="16">
        <f>IF(AND(G184&gt;0,H184&gt;0),G184/H184,"")</f>
        <v/>
      </c>
    </row>
    <row r="185">
      <c r="A185" s="4" t="inlineStr">
        <is>
          <t>490</t>
        </is>
      </c>
      <c r="B185" s="4" t="n">
        <v>4</v>
      </c>
      <c r="C185" s="4" t="inlineStr">
        <is>
          <t>antelope</t>
        </is>
      </c>
      <c r="D185" s="4" t="n">
        <v>2023</v>
      </c>
      <c r="E185" s="15" t="inlineStr">
        <is>
          <t>Draw</t>
        </is>
      </c>
      <c r="F185" s="5" t="n"/>
      <c r="G185" s="5" t="n"/>
      <c r="H185" s="5" t="n">
        <v>115</v>
      </c>
      <c r="I185" s="5" t="n">
        <v>83</v>
      </c>
      <c r="J185" s="5" t="n">
        <v>28</v>
      </c>
      <c r="K185" s="10">
        <f>IF(F185&gt;0,H185/F185,"")</f>
        <v/>
      </c>
      <c r="L185" s="16">
        <f>IF(AND(G185&gt;0,H185&gt;0),G185/H185,"")</f>
        <v/>
      </c>
    </row>
    <row r="186">
      <c r="A186" s="4" t="inlineStr">
        <is>
          <t>490</t>
        </is>
      </c>
      <c r="B186" s="4" t="n">
        <v>4</v>
      </c>
      <c r="C186" s="4" t="inlineStr">
        <is>
          <t>antelope</t>
        </is>
      </c>
      <c r="D186" s="4" t="n">
        <v>2024</v>
      </c>
      <c r="E186" s="15" t="inlineStr">
        <is>
          <t>Draw</t>
        </is>
      </c>
      <c r="F186" s="5" t="n">
        <v>256</v>
      </c>
      <c r="G186" s="5" t="n">
        <v>831</v>
      </c>
      <c r="H186" s="5" t="n">
        <v>156</v>
      </c>
      <c r="I186" s="5" t="n">
        <v>91</v>
      </c>
      <c r="J186" s="5" t="n">
        <v>64</v>
      </c>
      <c r="K186" s="10">
        <f>IF(F186&gt;0,H186/F186,"")</f>
        <v/>
      </c>
      <c r="L186" s="16">
        <f>IF(AND(G186&gt;0,H186&gt;0),G186/H186,"")</f>
        <v/>
      </c>
    </row>
    <row r="187">
      <c r="A187" s="4" t="inlineStr">
        <is>
          <t>490</t>
        </is>
      </c>
      <c r="B187" s="4" t="n">
        <v>4</v>
      </c>
      <c r="C187" s="4" t="inlineStr">
        <is>
          <t>antelope</t>
        </is>
      </c>
      <c r="D187" s="4" t="n">
        <v>2025</v>
      </c>
      <c r="E187" s="15" t="inlineStr">
        <is>
          <t>Draw</t>
        </is>
      </c>
      <c r="F187" s="5" t="n"/>
      <c r="G187" s="5" t="n"/>
      <c r="H187" s="5" t="n">
        <v>174</v>
      </c>
      <c r="I187" s="5" t="n">
        <v>103</v>
      </c>
      <c r="J187" s="5" t="n">
        <v>71</v>
      </c>
      <c r="K187" s="10">
        <f>IF(F187&gt;0,H187/F187,"")</f>
        <v/>
      </c>
      <c r="L187" s="16">
        <f>IF(AND(G187&gt;0,H187&gt;0),G187/H187,"")</f>
        <v/>
      </c>
    </row>
    <row r="188">
      <c r="A188" s="4" t="inlineStr">
        <is>
          <t>491</t>
        </is>
      </c>
      <c r="B188" s="4" t="n">
        <v>4</v>
      </c>
      <c r="C188" s="4" t="inlineStr">
        <is>
          <t>antelope</t>
        </is>
      </c>
      <c r="D188" s="4" t="n">
        <v>2021</v>
      </c>
      <c r="E188" s="4" t="inlineStr"/>
      <c r="F188" s="5" t="n"/>
      <c r="G188" s="5" t="n"/>
      <c r="H188" s="5" t="n">
        <v>48</v>
      </c>
      <c r="I188" s="5" t="n">
        <v>32</v>
      </c>
      <c r="J188" s="5" t="n">
        <v>16</v>
      </c>
      <c r="K188" s="10">
        <f>IF(F188&gt;0,H188/F188,"")</f>
        <v/>
      </c>
      <c r="L188" s="16">
        <f>IF(AND(G188&gt;0,H188&gt;0),G188/H188,"")</f>
        <v/>
      </c>
    </row>
    <row r="189">
      <c r="A189" s="4" t="inlineStr">
        <is>
          <t>500</t>
        </is>
      </c>
      <c r="B189" s="4" t="n">
        <v>5</v>
      </c>
      <c r="C189" s="4" t="inlineStr">
        <is>
          <t>antelope</t>
        </is>
      </c>
      <c r="D189" s="4" t="n">
        <v>2021</v>
      </c>
      <c r="E189" s="4" t="inlineStr"/>
      <c r="F189" s="5" t="n"/>
      <c r="G189" s="5" t="n"/>
      <c r="H189" s="5" t="n">
        <v>146</v>
      </c>
      <c r="I189" s="5" t="n">
        <v>120</v>
      </c>
      <c r="J189" s="5" t="n">
        <v>26</v>
      </c>
      <c r="K189" s="10">
        <f>IF(F189&gt;0,H189/F189,"")</f>
        <v/>
      </c>
      <c r="L189" s="16">
        <f>IF(AND(G189&gt;0,H189&gt;0),G189/H189,"")</f>
        <v/>
      </c>
    </row>
    <row r="190">
      <c r="A190" s="4" t="inlineStr">
        <is>
          <t>501</t>
        </is>
      </c>
      <c r="B190" s="4" t="n">
        <v>5</v>
      </c>
      <c r="C190" s="4" t="inlineStr">
        <is>
          <t>antelope</t>
        </is>
      </c>
      <c r="D190" s="4" t="n">
        <v>2021</v>
      </c>
      <c r="E190" s="4" t="inlineStr"/>
      <c r="F190" s="5" t="n"/>
      <c r="G190" s="5" t="n"/>
      <c r="H190" s="5" t="n">
        <v>150</v>
      </c>
      <c r="I190" s="5" t="n">
        <v>94</v>
      </c>
      <c r="J190" s="5" t="n">
        <v>56</v>
      </c>
      <c r="K190" s="10">
        <f>IF(F190&gt;0,H190/F190,"")</f>
        <v/>
      </c>
      <c r="L190" s="16">
        <f>IF(AND(G190&gt;0,H190&gt;0),G190/H190,"")</f>
        <v/>
      </c>
    </row>
    <row r="191">
      <c r="A191" s="4" t="inlineStr">
        <is>
          <t>506</t>
        </is>
      </c>
      <c r="B191" s="4" t="n">
        <v>5</v>
      </c>
      <c r="C191" s="4" t="inlineStr">
        <is>
          <t>antelope</t>
        </is>
      </c>
      <c r="D191" s="4" t="n">
        <v>2022</v>
      </c>
      <c r="E191" s="15" t="inlineStr">
        <is>
          <t>Draw</t>
        </is>
      </c>
      <c r="F191" s="5" t="n">
        <v>230</v>
      </c>
      <c r="G191" s="5" t="n">
        <v>716</v>
      </c>
      <c r="H191" s="5" t="n">
        <v>130</v>
      </c>
      <c r="I191" s="5" t="n">
        <v>99</v>
      </c>
      <c r="J191" s="5" t="n">
        <v>31</v>
      </c>
      <c r="K191" s="10">
        <f>IF(F191&gt;0,H191/F191,"")</f>
        <v/>
      </c>
      <c r="L191" s="16">
        <f>IF(AND(G191&gt;0,H191&gt;0),G191/H191,"")</f>
        <v/>
      </c>
    </row>
    <row r="192">
      <c r="A192" s="4" t="inlineStr">
        <is>
          <t>506</t>
        </is>
      </c>
      <c r="B192" s="4" t="n">
        <v>5</v>
      </c>
      <c r="C192" s="4" t="inlineStr">
        <is>
          <t>antelope</t>
        </is>
      </c>
      <c r="D192" s="4" t="n">
        <v>2023</v>
      </c>
      <c r="E192" s="15" t="inlineStr">
        <is>
          <t>Draw</t>
        </is>
      </c>
      <c r="F192" s="5" t="n"/>
      <c r="G192" s="5" t="n"/>
      <c r="H192" s="5" t="n">
        <v>110</v>
      </c>
      <c r="I192" s="5" t="n">
        <v>76</v>
      </c>
      <c r="J192" s="5" t="n">
        <v>30</v>
      </c>
      <c r="K192" s="10">
        <f>IF(F192&gt;0,H192/F192,"")</f>
        <v/>
      </c>
      <c r="L192" s="16">
        <f>IF(AND(G192&gt;0,H192&gt;0),G192/H192,"")</f>
        <v/>
      </c>
    </row>
    <row r="193">
      <c r="A193" s="4" t="inlineStr">
        <is>
          <t>506</t>
        </is>
      </c>
      <c r="B193" s="4" t="n">
        <v>5</v>
      </c>
      <c r="C193" s="4" t="inlineStr">
        <is>
          <t>antelope</t>
        </is>
      </c>
      <c r="D193" s="4" t="n">
        <v>2024</v>
      </c>
      <c r="E193" s="15" t="inlineStr">
        <is>
          <t>Draw</t>
        </is>
      </c>
      <c r="F193" s="5" t="n">
        <v>222</v>
      </c>
      <c r="G193" s="5" t="n">
        <v>686</v>
      </c>
      <c r="H193" s="5" t="n">
        <v>136</v>
      </c>
      <c r="I193" s="5" t="n">
        <v>115</v>
      </c>
      <c r="J193" s="5" t="n">
        <v>21</v>
      </c>
      <c r="K193" s="10">
        <f>IF(F193&gt;0,H193/F193,"")</f>
        <v/>
      </c>
      <c r="L193" s="16">
        <f>IF(AND(G193&gt;0,H193&gt;0),G193/H193,"")</f>
        <v/>
      </c>
    </row>
    <row r="194">
      <c r="A194" s="4" t="inlineStr">
        <is>
          <t>506</t>
        </is>
      </c>
      <c r="B194" s="4" t="n">
        <v>5</v>
      </c>
      <c r="C194" s="4" t="inlineStr">
        <is>
          <t>antelope</t>
        </is>
      </c>
      <c r="D194" s="4" t="n">
        <v>2025</v>
      </c>
      <c r="E194" s="15" t="inlineStr">
        <is>
          <t>Draw</t>
        </is>
      </c>
      <c r="F194" s="5" t="n"/>
      <c r="G194" s="5" t="n"/>
      <c r="H194" s="5" t="n">
        <v>64</v>
      </c>
      <c r="I194" s="5" t="n">
        <v>49</v>
      </c>
      <c r="J194" s="5" t="n">
        <v>12</v>
      </c>
      <c r="K194" s="10">
        <f>IF(F194&gt;0,H194/F194,"")</f>
        <v/>
      </c>
      <c r="L194" s="16">
        <f>IF(AND(G194&gt;0,H194&gt;0),G194/H194,"")</f>
        <v/>
      </c>
    </row>
    <row r="195">
      <c r="A195" s="4" t="inlineStr">
        <is>
          <t>510</t>
        </is>
      </c>
      <c r="B195" s="4" t="n">
        <v>5</v>
      </c>
      <c r="C195" s="4" t="inlineStr">
        <is>
          <t>antelope</t>
        </is>
      </c>
      <c r="D195" s="4" t="n">
        <v>2021</v>
      </c>
      <c r="E195" s="4" t="inlineStr"/>
      <c r="F195" s="5" t="n"/>
      <c r="G195" s="5" t="n"/>
      <c r="H195" s="5" t="n">
        <v>157</v>
      </c>
      <c r="I195" s="5" t="n">
        <v>114</v>
      </c>
      <c r="J195" s="5" t="n">
        <v>41</v>
      </c>
      <c r="K195" s="10">
        <f>IF(F195&gt;0,H195/F195,"")</f>
        <v/>
      </c>
      <c r="L195" s="16">
        <f>IF(AND(G195&gt;0,H195&gt;0),G195/H195,"")</f>
        <v/>
      </c>
    </row>
    <row r="196">
      <c r="A196" s="4" t="inlineStr">
        <is>
          <t>511</t>
        </is>
      </c>
      <c r="B196" s="4" t="n">
        <v>5</v>
      </c>
      <c r="C196" s="4" t="inlineStr">
        <is>
          <t>antelope</t>
        </is>
      </c>
      <c r="D196" s="4" t="n">
        <v>2021</v>
      </c>
      <c r="E196" s="4" t="inlineStr"/>
      <c r="F196" s="5" t="n"/>
      <c r="G196" s="5" t="n"/>
      <c r="H196" s="5" t="n">
        <v>101</v>
      </c>
      <c r="I196" s="5" t="n">
        <v>78</v>
      </c>
      <c r="J196" s="5" t="n">
        <v>23</v>
      </c>
      <c r="K196" s="10">
        <f>IF(F196&gt;0,H196/F196,"")</f>
        <v/>
      </c>
      <c r="L196" s="16">
        <f>IF(AND(G196&gt;0,H196&gt;0),G196/H196,"")</f>
        <v/>
      </c>
    </row>
    <row r="197">
      <c r="A197" s="4" t="inlineStr">
        <is>
          <t>512</t>
        </is>
      </c>
      <c r="B197" s="4" t="n">
        <v>5</v>
      </c>
      <c r="C197" s="4" t="inlineStr">
        <is>
          <t>antelope</t>
        </is>
      </c>
      <c r="D197" s="4" t="n">
        <v>2021</v>
      </c>
      <c r="E197" s="4" t="inlineStr"/>
      <c r="F197" s="5" t="n"/>
      <c r="G197" s="5" t="n"/>
      <c r="H197" s="5" t="n">
        <v>26</v>
      </c>
      <c r="I197" s="5" t="n">
        <v>20</v>
      </c>
      <c r="J197" s="5" t="n">
        <v>6</v>
      </c>
      <c r="K197" s="10">
        <f>IF(F197&gt;0,H197/F197,"")</f>
        <v/>
      </c>
      <c r="L197" s="16">
        <f>IF(AND(G197&gt;0,H197&gt;0),G197/H197,"")</f>
        <v/>
      </c>
    </row>
    <row r="198">
      <c r="A198" s="4" t="inlineStr">
        <is>
          <t>513</t>
        </is>
      </c>
      <c r="B198" s="4" t="n">
        <v>5</v>
      </c>
      <c r="C198" s="4" t="inlineStr">
        <is>
          <t>antelope</t>
        </is>
      </c>
      <c r="D198" s="4" t="n">
        <v>2021</v>
      </c>
      <c r="E198" s="4" t="inlineStr"/>
      <c r="F198" s="5" t="n"/>
      <c r="G198" s="5" t="n"/>
      <c r="H198" s="5" t="n">
        <v>145</v>
      </c>
      <c r="I198" s="5" t="n">
        <v>121</v>
      </c>
      <c r="J198" s="5" t="n">
        <v>24</v>
      </c>
      <c r="K198" s="10">
        <f>IF(F198&gt;0,H198/F198,"")</f>
        <v/>
      </c>
      <c r="L198" s="16">
        <f>IF(AND(G198&gt;0,H198&gt;0),G198/H198,"")</f>
        <v/>
      </c>
    </row>
    <row r="199">
      <c r="A199" s="4" t="inlineStr">
        <is>
          <t>514</t>
        </is>
      </c>
      <c r="B199" s="4" t="n">
        <v>5</v>
      </c>
      <c r="C199" s="4" t="inlineStr">
        <is>
          <t>antelope</t>
        </is>
      </c>
      <c r="D199" s="4" t="n">
        <v>2021</v>
      </c>
      <c r="E199" s="4" t="inlineStr"/>
      <c r="F199" s="5" t="n"/>
      <c r="G199" s="5" t="n"/>
      <c r="H199" s="5" t="n">
        <v>41</v>
      </c>
      <c r="I199" s="5" t="n">
        <v>38</v>
      </c>
      <c r="J199" s="5" t="n">
        <v>4</v>
      </c>
      <c r="K199" s="10">
        <f>IF(F199&gt;0,H199/F199,"")</f>
        <v/>
      </c>
      <c r="L199" s="16">
        <f>IF(AND(G199&gt;0,H199&gt;0),G199/H199,"")</f>
        <v/>
      </c>
    </row>
    <row r="200">
      <c r="A200" s="4" t="inlineStr">
        <is>
          <t>516</t>
        </is>
      </c>
      <c r="B200" s="4" t="n">
        <v>5</v>
      </c>
      <c r="C200" s="4" t="inlineStr">
        <is>
          <t>antelope</t>
        </is>
      </c>
      <c r="D200" s="4" t="n">
        <v>2022</v>
      </c>
      <c r="E200" s="15" t="inlineStr">
        <is>
          <t>Draw</t>
        </is>
      </c>
      <c r="F200" s="5" t="n">
        <v>625</v>
      </c>
      <c r="G200" s="5" t="n">
        <v>2396</v>
      </c>
      <c r="H200" s="5" t="n">
        <v>400</v>
      </c>
      <c r="I200" s="5" t="n">
        <v>299</v>
      </c>
      <c r="J200" s="5" t="n">
        <v>98</v>
      </c>
      <c r="K200" s="10">
        <f>IF(F200&gt;0,H200/F200,"")</f>
        <v/>
      </c>
      <c r="L200" s="16">
        <f>IF(AND(G200&gt;0,H200&gt;0),G200/H200,"")</f>
        <v/>
      </c>
    </row>
    <row r="201">
      <c r="A201" s="4" t="inlineStr">
        <is>
          <t>516</t>
        </is>
      </c>
      <c r="B201" s="4" t="n">
        <v>5</v>
      </c>
      <c r="C201" s="4" t="inlineStr">
        <is>
          <t>antelope</t>
        </is>
      </c>
      <c r="D201" s="4" t="n">
        <v>2023</v>
      </c>
      <c r="E201" s="15" t="inlineStr">
        <is>
          <t>Draw</t>
        </is>
      </c>
      <c r="F201" s="5" t="n"/>
      <c r="G201" s="5" t="n"/>
      <c r="H201" s="5" t="n">
        <v>395</v>
      </c>
      <c r="I201" s="5" t="n">
        <v>307</v>
      </c>
      <c r="J201" s="5" t="n">
        <v>80</v>
      </c>
      <c r="K201" s="10">
        <f>IF(F201&gt;0,H201/F201,"")</f>
        <v/>
      </c>
      <c r="L201" s="16">
        <f>IF(AND(G201&gt;0,H201&gt;0),G201/H201,"")</f>
        <v/>
      </c>
    </row>
    <row r="202">
      <c r="A202" s="4" t="inlineStr">
        <is>
          <t>516</t>
        </is>
      </c>
      <c r="B202" s="4" t="n">
        <v>5</v>
      </c>
      <c r="C202" s="4" t="inlineStr">
        <is>
          <t>antelope</t>
        </is>
      </c>
      <c r="D202" s="4" t="n">
        <v>2024</v>
      </c>
      <c r="E202" s="15" t="inlineStr">
        <is>
          <t>Draw</t>
        </is>
      </c>
      <c r="F202" s="5" t="n">
        <v>700</v>
      </c>
      <c r="G202" s="5" t="n">
        <v>2709</v>
      </c>
      <c r="H202" s="5" t="n">
        <v>424</v>
      </c>
      <c r="I202" s="5" t="n">
        <v>335</v>
      </c>
      <c r="J202" s="5" t="n">
        <v>80</v>
      </c>
      <c r="K202" s="10">
        <f>IF(F202&gt;0,H202/F202,"")</f>
        <v/>
      </c>
      <c r="L202" s="16">
        <f>IF(AND(G202&gt;0,H202&gt;0),G202/H202,"")</f>
        <v/>
      </c>
    </row>
    <row r="203">
      <c r="A203" s="4" t="inlineStr">
        <is>
          <t>516</t>
        </is>
      </c>
      <c r="B203" s="4" t="n">
        <v>5</v>
      </c>
      <c r="C203" s="4" t="inlineStr">
        <is>
          <t>antelope</t>
        </is>
      </c>
      <c r="D203" s="4" t="n">
        <v>2025</v>
      </c>
      <c r="E203" s="15" t="inlineStr">
        <is>
          <t>Draw</t>
        </is>
      </c>
      <c r="F203" s="5" t="n"/>
      <c r="G203" s="5" t="n"/>
      <c r="H203" s="5" t="n">
        <v>332</v>
      </c>
      <c r="I203" s="5" t="n">
        <v>261</v>
      </c>
      <c r="J203" s="5" t="n">
        <v>71</v>
      </c>
      <c r="K203" s="10">
        <f>IF(F203&gt;0,H203/F203,"")</f>
        <v/>
      </c>
      <c r="L203" s="16">
        <f>IF(AND(G203&gt;0,H203&gt;0),G203/H203,"")</f>
        <v/>
      </c>
    </row>
    <row r="204">
      <c r="A204" s="4" t="inlineStr">
        <is>
          <t>526</t>
        </is>
      </c>
      <c r="B204" s="4" t="n">
        <v>5</v>
      </c>
      <c r="C204" s="4" t="inlineStr">
        <is>
          <t>antelope</t>
        </is>
      </c>
      <c r="D204" s="4" t="n">
        <v>2022</v>
      </c>
      <c r="E204" s="15" t="inlineStr">
        <is>
          <t>Draw</t>
        </is>
      </c>
      <c r="F204" s="5" t="n">
        <v>182</v>
      </c>
      <c r="G204" s="5" t="n">
        <v>609</v>
      </c>
      <c r="H204" s="5" t="n">
        <v>84</v>
      </c>
      <c r="I204" s="5" t="n">
        <v>69</v>
      </c>
      <c r="J204" s="5" t="n">
        <v>14</v>
      </c>
      <c r="K204" s="10">
        <f>IF(F204&gt;0,H204/F204,"")</f>
        <v/>
      </c>
      <c r="L204" s="16">
        <f>IF(AND(G204&gt;0,H204&gt;0),G204/H204,"")</f>
        <v/>
      </c>
    </row>
    <row r="205">
      <c r="A205" s="4" t="inlineStr">
        <is>
          <t>526</t>
        </is>
      </c>
      <c r="B205" s="4" t="n">
        <v>5</v>
      </c>
      <c r="C205" s="4" t="inlineStr">
        <is>
          <t>antelope</t>
        </is>
      </c>
      <c r="D205" s="4" t="n">
        <v>2023</v>
      </c>
      <c r="E205" s="15" t="inlineStr">
        <is>
          <t>Draw</t>
        </is>
      </c>
      <c r="F205" s="5" t="n"/>
      <c r="G205" s="5" t="n"/>
      <c r="H205" s="5" t="n">
        <v>119</v>
      </c>
      <c r="I205" s="5" t="n">
        <v>97</v>
      </c>
      <c r="J205" s="5" t="n">
        <v>22</v>
      </c>
      <c r="K205" s="10">
        <f>IF(F205&gt;0,H205/F205,"")</f>
        <v/>
      </c>
      <c r="L205" s="16">
        <f>IF(AND(G205&gt;0,H205&gt;0),G205/H205,"")</f>
        <v/>
      </c>
    </row>
    <row r="206">
      <c r="A206" s="4" t="inlineStr">
        <is>
          <t>526</t>
        </is>
      </c>
      <c r="B206" s="4" t="n">
        <v>5</v>
      </c>
      <c r="C206" s="4" t="inlineStr">
        <is>
          <t>antelope</t>
        </is>
      </c>
      <c r="D206" s="4" t="n">
        <v>2024</v>
      </c>
      <c r="E206" s="15" t="inlineStr">
        <is>
          <t>Draw</t>
        </is>
      </c>
      <c r="F206" s="5" t="n">
        <v>210</v>
      </c>
      <c r="G206" s="5" t="n">
        <v>786</v>
      </c>
      <c r="H206" s="5" t="n">
        <v>104</v>
      </c>
      <c r="I206" s="5" t="n">
        <v>80</v>
      </c>
      <c r="J206" s="5" t="n">
        <v>24</v>
      </c>
      <c r="K206" s="10">
        <f>IF(F206&gt;0,H206/F206,"")</f>
        <v/>
      </c>
      <c r="L206" s="16">
        <f>IF(AND(G206&gt;0,H206&gt;0),G206/H206,"")</f>
        <v/>
      </c>
    </row>
    <row r="207">
      <c r="A207" s="4" t="inlineStr">
        <is>
          <t>526</t>
        </is>
      </c>
      <c r="B207" s="4" t="n">
        <v>5</v>
      </c>
      <c r="C207" s="4" t="inlineStr">
        <is>
          <t>antelope</t>
        </is>
      </c>
      <c r="D207" s="4" t="n">
        <v>2025</v>
      </c>
      <c r="E207" s="15" t="inlineStr">
        <is>
          <t>Draw</t>
        </is>
      </c>
      <c r="F207" s="5" t="n"/>
      <c r="G207" s="5" t="n"/>
      <c r="H207" s="5" t="n">
        <v>104</v>
      </c>
      <c r="I207" s="5" t="n">
        <v>86</v>
      </c>
      <c r="J207" s="5" t="n">
        <v>16</v>
      </c>
      <c r="K207" s="10">
        <f>IF(F207&gt;0,H207/F207,"")</f>
        <v/>
      </c>
      <c r="L207" s="16">
        <f>IF(AND(G207&gt;0,H207&gt;0),G207/H207,"")</f>
        <v/>
      </c>
    </row>
    <row r="208">
      <c r="A208" s="4" t="inlineStr">
        <is>
          <t>530</t>
        </is>
      </c>
      <c r="B208" s="4" t="n">
        <v>5</v>
      </c>
      <c r="C208" s="4" t="inlineStr">
        <is>
          <t>antelope</t>
        </is>
      </c>
      <c r="D208" s="4" t="n">
        <v>2021</v>
      </c>
      <c r="E208" s="4" t="inlineStr"/>
      <c r="F208" s="5" t="n"/>
      <c r="G208" s="5" t="n"/>
      <c r="H208" s="5" t="n">
        <v>128</v>
      </c>
      <c r="I208" s="5" t="n">
        <v>107</v>
      </c>
      <c r="J208" s="5" t="n">
        <v>21</v>
      </c>
      <c r="K208" s="10">
        <f>IF(F208&gt;0,H208/F208,"")</f>
        <v/>
      </c>
      <c r="L208" s="16">
        <f>IF(AND(G208&gt;0,H208&gt;0),G208/H208,"")</f>
        <v/>
      </c>
    </row>
    <row r="209">
      <c r="A209" s="4" t="inlineStr">
        <is>
          <t>536</t>
        </is>
      </c>
      <c r="B209" s="4" t="n">
        <v>5</v>
      </c>
      <c r="C209" s="4" t="inlineStr">
        <is>
          <t>antelope</t>
        </is>
      </c>
      <c r="D209" s="4" t="n">
        <v>2022</v>
      </c>
      <c r="E209" s="15" t="inlineStr">
        <is>
          <t>Draw</t>
        </is>
      </c>
      <c r="F209" s="5" t="n">
        <v>321</v>
      </c>
      <c r="G209" s="5" t="n">
        <v>930</v>
      </c>
      <c r="H209" s="5" t="n">
        <v>181</v>
      </c>
      <c r="I209" s="5" t="n">
        <v>159</v>
      </c>
      <c r="J209" s="5" t="n">
        <v>22</v>
      </c>
      <c r="K209" s="10">
        <f>IF(F209&gt;0,H209/F209,"")</f>
        <v/>
      </c>
      <c r="L209" s="16">
        <f>IF(AND(G209&gt;0,H209&gt;0),G209/H209,"")</f>
        <v/>
      </c>
    </row>
    <row r="210">
      <c r="A210" s="4" t="inlineStr">
        <is>
          <t>536</t>
        </is>
      </c>
      <c r="B210" s="4" t="n">
        <v>5</v>
      </c>
      <c r="C210" s="4" t="inlineStr">
        <is>
          <t>antelope</t>
        </is>
      </c>
      <c r="D210" s="4" t="n">
        <v>2023</v>
      </c>
      <c r="E210" s="15" t="inlineStr">
        <is>
          <t>Draw</t>
        </is>
      </c>
      <c r="F210" s="5" t="n"/>
      <c r="G210" s="5" t="n"/>
      <c r="H210" s="5" t="n">
        <v>178</v>
      </c>
      <c r="I210" s="5" t="n">
        <v>164</v>
      </c>
      <c r="J210" s="5" t="n">
        <v>15</v>
      </c>
      <c r="K210" s="10">
        <f>IF(F210&gt;0,H210/F210,"")</f>
        <v/>
      </c>
      <c r="L210" s="16">
        <f>IF(AND(G210&gt;0,H210&gt;0),G210/H210,"")</f>
        <v/>
      </c>
    </row>
    <row r="211">
      <c r="A211" s="4" t="inlineStr">
        <is>
          <t>536</t>
        </is>
      </c>
      <c r="B211" s="4" t="n">
        <v>5</v>
      </c>
      <c r="C211" s="4" t="inlineStr">
        <is>
          <t>antelope</t>
        </is>
      </c>
      <c r="D211" s="4" t="n">
        <v>2024</v>
      </c>
      <c r="E211" s="15" t="inlineStr">
        <is>
          <t>Draw</t>
        </is>
      </c>
      <c r="F211" s="5" t="n">
        <v>303</v>
      </c>
      <c r="G211" s="5" t="n">
        <v>1233</v>
      </c>
      <c r="H211" s="5" t="n">
        <v>188</v>
      </c>
      <c r="I211" s="5" t="n">
        <v>174</v>
      </c>
      <c r="J211" s="5" t="n">
        <v>14</v>
      </c>
      <c r="K211" s="10">
        <f>IF(F211&gt;0,H211/F211,"")</f>
        <v/>
      </c>
      <c r="L211" s="16">
        <f>IF(AND(G211&gt;0,H211&gt;0),G211/H211,"")</f>
        <v/>
      </c>
    </row>
    <row r="212">
      <c r="A212" s="4" t="inlineStr">
        <is>
          <t>536</t>
        </is>
      </c>
      <c r="B212" s="4" t="n">
        <v>5</v>
      </c>
      <c r="C212" s="4" t="inlineStr">
        <is>
          <t>antelope</t>
        </is>
      </c>
      <c r="D212" s="4" t="n">
        <v>2025</v>
      </c>
      <c r="E212" s="15" t="inlineStr">
        <is>
          <t>Draw</t>
        </is>
      </c>
      <c r="F212" s="5" t="n"/>
      <c r="G212" s="5" t="n"/>
      <c r="H212" s="5" t="n">
        <v>198</v>
      </c>
      <c r="I212" s="5" t="n">
        <v>165</v>
      </c>
      <c r="J212" s="5" t="n">
        <v>33</v>
      </c>
      <c r="K212" s="10">
        <f>IF(F212&gt;0,H212/F212,"")</f>
        <v/>
      </c>
      <c r="L212" s="16">
        <f>IF(AND(G212&gt;0,H212&gt;0),G212/H212,"")</f>
        <v/>
      </c>
    </row>
    <row r="213">
      <c r="A213" s="4" t="inlineStr">
        <is>
          <t>540</t>
        </is>
      </c>
      <c r="B213" s="4" t="n">
        <v>5</v>
      </c>
      <c r="C213" s="4" t="inlineStr">
        <is>
          <t>antelope</t>
        </is>
      </c>
      <c r="D213" s="4" t="n">
        <v>2021</v>
      </c>
      <c r="E213" s="4" t="inlineStr"/>
      <c r="F213" s="5" t="n"/>
      <c r="G213" s="5" t="n"/>
      <c r="H213" s="5" t="n">
        <v>103</v>
      </c>
      <c r="I213" s="5" t="n">
        <v>63</v>
      </c>
      <c r="J213" s="5" t="n">
        <v>40</v>
      </c>
      <c r="K213" s="10">
        <f>IF(F213&gt;0,H213/F213,"")</f>
        <v/>
      </c>
      <c r="L213" s="16">
        <f>IF(AND(G213&gt;0,H213&gt;0),G213/H213,"")</f>
        <v/>
      </c>
    </row>
    <row r="214">
      <c r="A214" s="4" t="inlineStr">
        <is>
          <t>546</t>
        </is>
      </c>
      <c r="B214" s="4" t="n">
        <v>5</v>
      </c>
      <c r="C214" s="4" t="inlineStr">
        <is>
          <t>antelope</t>
        </is>
      </c>
      <c r="D214" s="4" t="n">
        <v>2022</v>
      </c>
      <c r="E214" s="15" t="inlineStr">
        <is>
          <t>Draw</t>
        </is>
      </c>
      <c r="F214" s="5" t="n">
        <v>294</v>
      </c>
      <c r="G214" s="5" t="n">
        <v>812</v>
      </c>
      <c r="H214" s="5" t="n">
        <v>194</v>
      </c>
      <c r="I214" s="5" t="n">
        <v>140</v>
      </c>
      <c r="J214" s="5" t="n">
        <v>54</v>
      </c>
      <c r="K214" s="10">
        <f>IF(F214&gt;0,H214/F214,"")</f>
        <v/>
      </c>
      <c r="L214" s="16">
        <f>IF(AND(G214&gt;0,H214&gt;0),G214/H214,"")</f>
        <v/>
      </c>
    </row>
    <row r="215">
      <c r="A215" s="4" t="inlineStr">
        <is>
          <t>546</t>
        </is>
      </c>
      <c r="B215" s="4" t="n">
        <v>5</v>
      </c>
      <c r="C215" s="4" t="inlineStr">
        <is>
          <t>antelope</t>
        </is>
      </c>
      <c r="D215" s="4" t="n">
        <v>2023</v>
      </c>
      <c r="E215" s="15" t="inlineStr">
        <is>
          <t>Draw</t>
        </is>
      </c>
      <c r="F215" s="5" t="n"/>
      <c r="G215" s="5" t="n"/>
      <c r="H215" s="5" t="n">
        <v>204</v>
      </c>
      <c r="I215" s="5" t="n">
        <v>162</v>
      </c>
      <c r="J215" s="5" t="n">
        <v>39</v>
      </c>
      <c r="K215" s="10">
        <f>IF(F215&gt;0,H215/F215,"")</f>
        <v/>
      </c>
      <c r="L215" s="16">
        <f>IF(AND(G215&gt;0,H215&gt;0),G215/H215,"")</f>
        <v/>
      </c>
    </row>
    <row r="216">
      <c r="A216" s="4" t="inlineStr">
        <is>
          <t>546</t>
        </is>
      </c>
      <c r="B216" s="4" t="n">
        <v>5</v>
      </c>
      <c r="C216" s="4" t="inlineStr">
        <is>
          <t>antelope</t>
        </is>
      </c>
      <c r="D216" s="4" t="n">
        <v>2024</v>
      </c>
      <c r="E216" s="15" t="inlineStr">
        <is>
          <t>Draw</t>
        </is>
      </c>
      <c r="F216" s="5" t="n">
        <v>335</v>
      </c>
      <c r="G216" s="5" t="n">
        <v>1038</v>
      </c>
      <c r="H216" s="5" t="n">
        <v>220</v>
      </c>
      <c r="I216" s="5" t="n">
        <v>153</v>
      </c>
      <c r="J216" s="5" t="n">
        <v>62</v>
      </c>
      <c r="K216" s="10">
        <f>IF(F216&gt;0,H216/F216,"")</f>
        <v/>
      </c>
      <c r="L216" s="16">
        <f>IF(AND(G216&gt;0,H216&gt;0),G216/H216,"")</f>
        <v/>
      </c>
    </row>
    <row r="217">
      <c r="A217" s="4" t="inlineStr">
        <is>
          <t>546</t>
        </is>
      </c>
      <c r="B217" s="4" t="n">
        <v>5</v>
      </c>
      <c r="C217" s="4" t="inlineStr">
        <is>
          <t>antelope</t>
        </is>
      </c>
      <c r="D217" s="4" t="n">
        <v>2025</v>
      </c>
      <c r="E217" s="15" t="inlineStr">
        <is>
          <t>Draw</t>
        </is>
      </c>
      <c r="F217" s="5" t="n"/>
      <c r="G217" s="5" t="n"/>
      <c r="H217" s="5" t="n">
        <v>282</v>
      </c>
      <c r="I217" s="5" t="n">
        <v>187</v>
      </c>
      <c r="J217" s="5" t="n">
        <v>96</v>
      </c>
      <c r="K217" s="10">
        <f>IF(F217&gt;0,H217/F217,"")</f>
        <v/>
      </c>
      <c r="L217" s="16">
        <f>IF(AND(G217&gt;0,H217&gt;0),G217/H217,"")</f>
        <v/>
      </c>
    </row>
    <row r="218">
      <c r="A218" s="4" t="inlineStr">
        <is>
          <t>550</t>
        </is>
      </c>
      <c r="B218" s="4" t="n">
        <v>5</v>
      </c>
      <c r="C218" s="4" t="inlineStr">
        <is>
          <t>antelope</t>
        </is>
      </c>
      <c r="D218" s="4" t="n">
        <v>2021</v>
      </c>
      <c r="E218" s="4" t="inlineStr"/>
      <c r="F218" s="5" t="n"/>
      <c r="G218" s="5" t="n"/>
      <c r="H218" s="5" t="n">
        <v>78</v>
      </c>
      <c r="I218" s="5" t="n">
        <v>60</v>
      </c>
      <c r="J218" s="5" t="n">
        <v>18</v>
      </c>
      <c r="K218" s="10">
        <f>IF(F218&gt;0,H218/F218,"")</f>
        <v/>
      </c>
      <c r="L218" s="16">
        <f>IF(AND(G218&gt;0,H218&gt;0),G218/H218,"")</f>
        <v/>
      </c>
    </row>
    <row r="219">
      <c r="A219" s="4" t="inlineStr">
        <is>
          <t>556</t>
        </is>
      </c>
      <c r="B219" s="4" t="n">
        <v>5</v>
      </c>
      <c r="C219" s="4" t="inlineStr">
        <is>
          <t>antelope</t>
        </is>
      </c>
      <c r="D219" s="4" t="n">
        <v>2022</v>
      </c>
      <c r="E219" s="15" t="inlineStr">
        <is>
          <t>Draw</t>
        </is>
      </c>
      <c r="F219" s="5" t="n">
        <v>140</v>
      </c>
      <c r="G219" s="5" t="n">
        <v>830</v>
      </c>
      <c r="H219" s="5" t="n">
        <v>52</v>
      </c>
      <c r="I219" s="5" t="n">
        <v>40</v>
      </c>
      <c r="J219" s="5" t="n">
        <v>11</v>
      </c>
      <c r="K219" s="10">
        <f>IF(F219&gt;0,H219/F219,"")</f>
        <v/>
      </c>
      <c r="L219" s="16">
        <f>IF(AND(G219&gt;0,H219&gt;0),G219/H219,"")</f>
        <v/>
      </c>
    </row>
    <row r="220">
      <c r="A220" s="4" t="inlineStr">
        <is>
          <t>556</t>
        </is>
      </c>
      <c r="B220" s="4" t="n">
        <v>5</v>
      </c>
      <c r="C220" s="4" t="inlineStr">
        <is>
          <t>antelope</t>
        </is>
      </c>
      <c r="D220" s="4" t="n">
        <v>2023</v>
      </c>
      <c r="E220" s="15" t="inlineStr">
        <is>
          <t>Draw</t>
        </is>
      </c>
      <c r="F220" s="5" t="n"/>
      <c r="G220" s="5" t="n"/>
      <c r="H220" s="5" t="n">
        <v>77</v>
      </c>
      <c r="I220" s="5" t="n">
        <v>64</v>
      </c>
      <c r="J220" s="5" t="n">
        <v>14</v>
      </c>
      <c r="K220" s="10">
        <f>IF(F220&gt;0,H220/F220,"")</f>
        <v/>
      </c>
      <c r="L220" s="16">
        <f>IF(AND(G220&gt;0,H220&gt;0),G220/H220,"")</f>
        <v/>
      </c>
    </row>
    <row r="221">
      <c r="A221" s="4" t="inlineStr">
        <is>
          <t>556</t>
        </is>
      </c>
      <c r="B221" s="4" t="n">
        <v>5</v>
      </c>
      <c r="C221" s="4" t="inlineStr">
        <is>
          <t>antelope</t>
        </is>
      </c>
      <c r="D221" s="4" t="n">
        <v>2024</v>
      </c>
      <c r="E221" s="15" t="inlineStr">
        <is>
          <t>Draw</t>
        </is>
      </c>
      <c r="F221" s="5" t="n">
        <v>148</v>
      </c>
      <c r="G221" s="5" t="n">
        <v>737</v>
      </c>
      <c r="H221" s="5" t="n">
        <v>71</v>
      </c>
      <c r="I221" s="5" t="n">
        <v>55</v>
      </c>
      <c r="J221" s="5" t="n">
        <v>15</v>
      </c>
      <c r="K221" s="10">
        <f>IF(F221&gt;0,H221/F221,"")</f>
        <v/>
      </c>
      <c r="L221" s="16">
        <f>IF(AND(G221&gt;0,H221&gt;0),G221/H221,"")</f>
        <v/>
      </c>
    </row>
    <row r="222">
      <c r="A222" s="4" t="inlineStr">
        <is>
          <t>556</t>
        </is>
      </c>
      <c r="B222" s="4" t="n">
        <v>5</v>
      </c>
      <c r="C222" s="4" t="inlineStr">
        <is>
          <t>antelope</t>
        </is>
      </c>
      <c r="D222" s="4" t="n">
        <v>2025</v>
      </c>
      <c r="E222" s="15" t="inlineStr">
        <is>
          <t>Draw</t>
        </is>
      </c>
      <c r="F222" s="5" t="n"/>
      <c r="G222" s="5" t="n"/>
      <c r="H222" s="5" t="n">
        <v>88</v>
      </c>
      <c r="I222" s="5" t="n">
        <v>68</v>
      </c>
      <c r="J222" s="5" t="n">
        <v>20</v>
      </c>
      <c r="K222" s="10">
        <f>IF(F222&gt;0,H222/F222,"")</f>
        <v/>
      </c>
      <c r="L222" s="16">
        <f>IF(AND(G222&gt;0,H222&gt;0),G222/H222,"")</f>
        <v/>
      </c>
    </row>
    <row r="223">
      <c r="A223" s="4" t="inlineStr">
        <is>
          <t>560</t>
        </is>
      </c>
      <c r="B223" s="4" t="n">
        <v>5</v>
      </c>
      <c r="C223" s="4" t="inlineStr">
        <is>
          <t>antelope</t>
        </is>
      </c>
      <c r="D223" s="4" t="n">
        <v>2021</v>
      </c>
      <c r="E223" s="4" t="inlineStr"/>
      <c r="F223" s="5" t="n"/>
      <c r="G223" s="5" t="n"/>
      <c r="H223" s="5" t="n">
        <v>407</v>
      </c>
      <c r="I223" s="5" t="n">
        <v>247</v>
      </c>
      <c r="J223" s="5" t="n">
        <v>152</v>
      </c>
      <c r="K223" s="10">
        <f>IF(F223&gt;0,H223/F223,"")</f>
        <v/>
      </c>
      <c r="L223" s="16">
        <f>IF(AND(G223&gt;0,H223&gt;0),G223/H223,"")</f>
        <v/>
      </c>
    </row>
    <row r="224">
      <c r="A224" s="4" t="inlineStr">
        <is>
          <t>560</t>
        </is>
      </c>
      <c r="B224" s="4" t="n">
        <v>5</v>
      </c>
      <c r="C224" s="4" t="inlineStr">
        <is>
          <t>antelope</t>
        </is>
      </c>
      <c r="D224" s="4" t="n">
        <v>2023</v>
      </c>
      <c r="E224" s="4" t="inlineStr"/>
      <c r="F224" s="5" t="n"/>
      <c r="G224" s="5" t="n"/>
      <c r="H224" s="5" t="n">
        <v>3</v>
      </c>
      <c r="I224" s="5" t="n">
        <v>0</v>
      </c>
      <c r="J224" s="5" t="n">
        <v>0</v>
      </c>
      <c r="K224" s="10">
        <f>IF(F224&gt;0,H224/F224,"")</f>
        <v/>
      </c>
      <c r="L224" s="16">
        <f>IF(AND(G224&gt;0,H224&gt;0),G224/H224,"")</f>
        <v/>
      </c>
    </row>
    <row r="225">
      <c r="A225" s="4" t="inlineStr">
        <is>
          <t>570</t>
        </is>
      </c>
      <c r="B225" s="4" t="n">
        <v>5</v>
      </c>
      <c r="C225" s="4" t="inlineStr">
        <is>
          <t>antelope</t>
        </is>
      </c>
      <c r="D225" s="4" t="n">
        <v>2021</v>
      </c>
      <c r="E225" s="4" t="inlineStr"/>
      <c r="F225" s="5" t="n"/>
      <c r="G225" s="5" t="n"/>
      <c r="H225" s="5" t="n">
        <v>407</v>
      </c>
      <c r="I225" s="5" t="n">
        <v>272</v>
      </c>
      <c r="J225" s="5" t="n">
        <v>125</v>
      </c>
      <c r="K225" s="10">
        <f>IF(F225&gt;0,H225/F225,"")</f>
        <v/>
      </c>
      <c r="L225" s="16">
        <f>IF(AND(G225&gt;0,H225&gt;0),G225/H225,"")</f>
        <v/>
      </c>
    </row>
    <row r="226">
      <c r="A226" s="4" t="inlineStr">
        <is>
          <t>576</t>
        </is>
      </c>
      <c r="B226" s="4" t="n">
        <v>5</v>
      </c>
      <c r="C226" s="4" t="inlineStr">
        <is>
          <t>antelope</t>
        </is>
      </c>
      <c r="D226" s="4" t="n">
        <v>2022</v>
      </c>
      <c r="E226" s="15" t="inlineStr">
        <is>
          <t>Draw</t>
        </is>
      </c>
      <c r="F226" s="5" t="n">
        <v>1575</v>
      </c>
      <c r="G226" s="5" t="n">
        <v>5845</v>
      </c>
      <c r="H226" s="5" t="n">
        <v>875</v>
      </c>
      <c r="I226" s="5" t="n">
        <v>609</v>
      </c>
      <c r="J226" s="5" t="n">
        <v>254</v>
      </c>
      <c r="K226" s="10">
        <f>IF(F226&gt;0,H226/F226,"")</f>
        <v/>
      </c>
      <c r="L226" s="16">
        <f>IF(AND(G226&gt;0,H226&gt;0),G226/H226,"")</f>
        <v/>
      </c>
    </row>
    <row r="227">
      <c r="A227" s="4" t="inlineStr">
        <is>
          <t>576</t>
        </is>
      </c>
      <c r="B227" s="4" t="n">
        <v>5</v>
      </c>
      <c r="C227" s="4" t="inlineStr">
        <is>
          <t>antelope</t>
        </is>
      </c>
      <c r="D227" s="4" t="n">
        <v>2023</v>
      </c>
      <c r="E227" s="15" t="inlineStr">
        <is>
          <t>Draw</t>
        </is>
      </c>
      <c r="F227" s="5" t="n"/>
      <c r="G227" s="5" t="n"/>
      <c r="H227" s="5" t="n">
        <v>649</v>
      </c>
      <c r="I227" s="5" t="n">
        <v>500</v>
      </c>
      <c r="J227" s="5" t="n">
        <v>138</v>
      </c>
      <c r="K227" s="10">
        <f>IF(F227&gt;0,H227/F227,"")</f>
        <v/>
      </c>
      <c r="L227" s="16">
        <f>IF(AND(G227&gt;0,H227&gt;0),G227/H227,"")</f>
        <v/>
      </c>
    </row>
    <row r="228">
      <c r="A228" s="4" t="inlineStr">
        <is>
          <t>576</t>
        </is>
      </c>
      <c r="B228" s="4" t="n">
        <v>5</v>
      </c>
      <c r="C228" s="4" t="inlineStr">
        <is>
          <t>antelope</t>
        </is>
      </c>
      <c r="D228" s="4" t="n">
        <v>2024</v>
      </c>
      <c r="E228" s="15" t="inlineStr">
        <is>
          <t>Draw</t>
        </is>
      </c>
      <c r="F228" s="5" t="n">
        <v>949</v>
      </c>
      <c r="G228" s="5" t="n">
        <v>3731</v>
      </c>
      <c r="H228" s="5" t="n">
        <v>503</v>
      </c>
      <c r="I228" s="5" t="n">
        <v>382</v>
      </c>
      <c r="J228" s="5" t="n">
        <v>118</v>
      </c>
      <c r="K228" s="10">
        <f>IF(F228&gt;0,H228/F228,"")</f>
        <v/>
      </c>
      <c r="L228" s="16">
        <f>IF(AND(G228&gt;0,H228&gt;0),G228/H228,"")</f>
        <v/>
      </c>
    </row>
    <row r="229">
      <c r="A229" s="4" t="inlineStr">
        <is>
          <t>576</t>
        </is>
      </c>
      <c r="B229" s="4" t="n">
        <v>5</v>
      </c>
      <c r="C229" s="4" t="inlineStr">
        <is>
          <t>antelope</t>
        </is>
      </c>
      <c r="D229" s="4" t="n">
        <v>2025</v>
      </c>
      <c r="E229" s="15" t="inlineStr">
        <is>
          <t>Draw</t>
        </is>
      </c>
      <c r="F229" s="5" t="n"/>
      <c r="G229" s="5" t="n"/>
      <c r="H229" s="5" t="n">
        <v>552</v>
      </c>
      <c r="I229" s="5" t="n">
        <v>440</v>
      </c>
      <c r="J229" s="5" t="n">
        <v>106</v>
      </c>
      <c r="K229" s="10">
        <f>IF(F229&gt;0,H229/F229,"")</f>
        <v/>
      </c>
      <c r="L229" s="16">
        <f>IF(AND(G229&gt;0,H229&gt;0),G229/H229,"")</f>
        <v/>
      </c>
    </row>
    <row r="230">
      <c r="A230" s="4" t="inlineStr">
        <is>
          <t>586</t>
        </is>
      </c>
      <c r="B230" s="4" t="n">
        <v>5</v>
      </c>
      <c r="C230" s="4" t="inlineStr">
        <is>
          <t>antelope</t>
        </is>
      </c>
      <c r="D230" s="4" t="n">
        <v>2022</v>
      </c>
      <c r="E230" s="15" t="inlineStr">
        <is>
          <t>Draw</t>
        </is>
      </c>
      <c r="F230" s="5" t="n">
        <v>334</v>
      </c>
      <c r="G230" s="5" t="n">
        <v>826</v>
      </c>
      <c r="H230" s="5" t="n">
        <v>239</v>
      </c>
      <c r="I230" s="5" t="n">
        <v>171</v>
      </c>
      <c r="J230" s="5" t="n">
        <v>64</v>
      </c>
      <c r="K230" s="10">
        <f>IF(F230&gt;0,H230/F230,"")</f>
        <v/>
      </c>
      <c r="L230" s="16">
        <f>IF(AND(G230&gt;0,H230&gt;0),G230/H230,"")</f>
        <v/>
      </c>
    </row>
    <row r="231">
      <c r="A231" s="4" t="inlineStr">
        <is>
          <t>586</t>
        </is>
      </c>
      <c r="B231" s="4" t="n">
        <v>5</v>
      </c>
      <c r="C231" s="4" t="inlineStr">
        <is>
          <t>antelope</t>
        </is>
      </c>
      <c r="D231" s="4" t="n">
        <v>2023</v>
      </c>
      <c r="E231" s="15" t="inlineStr">
        <is>
          <t>Draw</t>
        </is>
      </c>
      <c r="F231" s="5" t="n"/>
      <c r="G231" s="5" t="n"/>
      <c r="H231" s="5" t="n">
        <v>267</v>
      </c>
      <c r="I231" s="5" t="n">
        <v>205</v>
      </c>
      <c r="J231" s="5" t="n">
        <v>59</v>
      </c>
      <c r="K231" s="10">
        <f>IF(F231&gt;0,H231/F231,"")</f>
        <v/>
      </c>
      <c r="L231" s="16">
        <f>IF(AND(G231&gt;0,H231&gt;0),G231/H231,"")</f>
        <v/>
      </c>
    </row>
    <row r="232">
      <c r="A232" s="4" t="inlineStr">
        <is>
          <t>586</t>
        </is>
      </c>
      <c r="B232" s="4" t="n">
        <v>5</v>
      </c>
      <c r="C232" s="4" t="inlineStr">
        <is>
          <t>antelope</t>
        </is>
      </c>
      <c r="D232" s="4" t="n">
        <v>2024</v>
      </c>
      <c r="E232" s="15" t="inlineStr">
        <is>
          <t>Draw</t>
        </is>
      </c>
      <c r="F232" s="5" t="n">
        <v>392</v>
      </c>
      <c r="G232" s="5" t="n">
        <v>1393</v>
      </c>
      <c r="H232" s="5" t="n">
        <v>306</v>
      </c>
      <c r="I232" s="5" t="n">
        <v>203</v>
      </c>
      <c r="J232" s="5" t="n">
        <v>97</v>
      </c>
      <c r="K232" s="10">
        <f>IF(F232&gt;0,H232/F232,"")</f>
        <v/>
      </c>
      <c r="L232" s="16">
        <f>IF(AND(G232&gt;0,H232&gt;0),G232/H232,"")</f>
        <v/>
      </c>
    </row>
    <row r="233">
      <c r="A233" s="4" t="inlineStr">
        <is>
          <t>586</t>
        </is>
      </c>
      <c r="B233" s="4" t="n">
        <v>5</v>
      </c>
      <c r="C233" s="4" t="inlineStr">
        <is>
          <t>antelope</t>
        </is>
      </c>
      <c r="D233" s="4" t="n">
        <v>2025</v>
      </c>
      <c r="E233" s="15" t="inlineStr">
        <is>
          <t>Draw</t>
        </is>
      </c>
      <c r="F233" s="5" t="n"/>
      <c r="G233" s="5" t="n"/>
      <c r="H233" s="5" t="n">
        <v>322</v>
      </c>
      <c r="I233" s="5" t="n">
        <v>195</v>
      </c>
      <c r="J233" s="5" t="n">
        <v>120</v>
      </c>
      <c r="K233" s="10">
        <f>IF(F233&gt;0,H233/F233,"")</f>
        <v/>
      </c>
      <c r="L233" s="16">
        <f>IF(AND(G233&gt;0,H233&gt;0),G233/H233,"")</f>
        <v/>
      </c>
    </row>
    <row r="234">
      <c r="A234" s="4" t="inlineStr">
        <is>
          <t>590</t>
        </is>
      </c>
      <c r="B234" s="4" t="n">
        <v>5</v>
      </c>
      <c r="C234" s="4" t="inlineStr">
        <is>
          <t>antelope</t>
        </is>
      </c>
      <c r="D234" s="4" t="n">
        <v>2021</v>
      </c>
      <c r="E234" s="4" t="inlineStr"/>
      <c r="F234" s="5" t="n"/>
      <c r="G234" s="5" t="n"/>
      <c r="H234" s="5" t="n">
        <v>235</v>
      </c>
      <c r="I234" s="5" t="n">
        <v>160</v>
      </c>
      <c r="J234" s="5" t="n">
        <v>75</v>
      </c>
      <c r="K234" s="10">
        <f>IF(F234&gt;0,H234/F234,"")</f>
        <v/>
      </c>
      <c r="L234" s="16">
        <f>IF(AND(G234&gt;0,H234&gt;0),G234/H234,"")</f>
        <v/>
      </c>
    </row>
    <row r="235">
      <c r="A235" s="4" t="inlineStr">
        <is>
          <t>596</t>
        </is>
      </c>
      <c r="B235" s="4" t="n">
        <v>5</v>
      </c>
      <c r="C235" s="4" t="inlineStr">
        <is>
          <t>antelope</t>
        </is>
      </c>
      <c r="D235" s="4" t="n">
        <v>2022</v>
      </c>
      <c r="E235" s="15" t="inlineStr">
        <is>
          <t>Draw</t>
        </is>
      </c>
      <c r="F235" s="5" t="n">
        <v>305</v>
      </c>
      <c r="G235" s="5" t="n">
        <v>1506</v>
      </c>
      <c r="H235" s="5" t="n">
        <v>123</v>
      </c>
      <c r="I235" s="5" t="n">
        <v>105</v>
      </c>
      <c r="J235" s="5" t="n">
        <v>16</v>
      </c>
      <c r="K235" s="10">
        <f>IF(F235&gt;0,H235/F235,"")</f>
        <v/>
      </c>
      <c r="L235" s="16">
        <f>IF(AND(G235&gt;0,H235&gt;0),G235/H235,"")</f>
        <v/>
      </c>
    </row>
    <row r="236">
      <c r="A236" s="4" t="inlineStr">
        <is>
          <t>596</t>
        </is>
      </c>
      <c r="B236" s="4" t="n">
        <v>5</v>
      </c>
      <c r="C236" s="4" t="inlineStr">
        <is>
          <t>antelope</t>
        </is>
      </c>
      <c r="D236" s="4" t="n">
        <v>2023</v>
      </c>
      <c r="E236" s="15" t="inlineStr">
        <is>
          <t>Draw</t>
        </is>
      </c>
      <c r="F236" s="5" t="n"/>
      <c r="G236" s="5" t="n"/>
      <c r="H236" s="5" t="n">
        <v>158</v>
      </c>
      <c r="I236" s="5" t="n">
        <v>103</v>
      </c>
      <c r="J236" s="5" t="n">
        <v>53</v>
      </c>
      <c r="K236" s="10">
        <f>IF(F236&gt;0,H236/F236,"")</f>
        <v/>
      </c>
      <c r="L236" s="16">
        <f>IF(AND(G236&gt;0,H236&gt;0),G236/H236,"")</f>
        <v/>
      </c>
    </row>
    <row r="237">
      <c r="A237" s="4" t="inlineStr">
        <is>
          <t>596</t>
        </is>
      </c>
      <c r="B237" s="4" t="n">
        <v>5</v>
      </c>
      <c r="C237" s="4" t="inlineStr">
        <is>
          <t>antelope</t>
        </is>
      </c>
      <c r="D237" s="4" t="n">
        <v>2024</v>
      </c>
      <c r="E237" s="15" t="inlineStr">
        <is>
          <t>Draw</t>
        </is>
      </c>
      <c r="F237" s="5" t="n">
        <v>295</v>
      </c>
      <c r="G237" s="5" t="n">
        <v>1369</v>
      </c>
      <c r="H237" s="5" t="n">
        <v>108</v>
      </c>
      <c r="I237" s="5" t="n">
        <v>91</v>
      </c>
      <c r="J237" s="5" t="n">
        <v>17</v>
      </c>
      <c r="K237" s="10">
        <f>IF(F237&gt;0,H237/F237,"")</f>
        <v/>
      </c>
      <c r="L237" s="16">
        <f>IF(AND(G237&gt;0,H237&gt;0),G237/H237,"")</f>
        <v/>
      </c>
    </row>
    <row r="238">
      <c r="A238" s="4" t="inlineStr">
        <is>
          <t>596</t>
        </is>
      </c>
      <c r="B238" s="4" t="n">
        <v>5</v>
      </c>
      <c r="C238" s="4" t="inlineStr">
        <is>
          <t>antelope</t>
        </is>
      </c>
      <c r="D238" s="4" t="n">
        <v>2025</v>
      </c>
      <c r="E238" s="15" t="inlineStr">
        <is>
          <t>Draw</t>
        </is>
      </c>
      <c r="F238" s="5" t="n"/>
      <c r="G238" s="5" t="n"/>
      <c r="H238" s="5" t="n">
        <v>101</v>
      </c>
      <c r="I238" s="5" t="n">
        <v>73</v>
      </c>
      <c r="J238" s="5" t="n">
        <v>28</v>
      </c>
      <c r="K238" s="10">
        <f>IF(F238&gt;0,H238/F238,"")</f>
        <v/>
      </c>
      <c r="L238" s="16">
        <f>IF(AND(G238&gt;0,H238&gt;0),G238/H238,"")</f>
        <v/>
      </c>
    </row>
    <row r="239">
      <c r="A239" s="4" t="inlineStr">
        <is>
          <t>600</t>
        </is>
      </c>
      <c r="B239" s="4" t="n">
        <v>6</v>
      </c>
      <c r="C239" s="4" t="inlineStr">
        <is>
          <t>antelope</t>
        </is>
      </c>
      <c r="D239" s="4" t="n">
        <v>2021</v>
      </c>
      <c r="E239" s="15" t="inlineStr">
        <is>
          <t>Draw</t>
        </is>
      </c>
      <c r="F239" s="5" t="n"/>
      <c r="G239" s="5" t="n"/>
      <c r="H239" s="5" t="n">
        <v>184</v>
      </c>
      <c r="I239" s="5" t="n">
        <v>154</v>
      </c>
      <c r="J239" s="5" t="n">
        <v>31</v>
      </c>
      <c r="K239" s="10">
        <f>IF(F239&gt;0,H239/F239,"")</f>
        <v/>
      </c>
      <c r="L239" s="16">
        <f>IF(AND(G239&gt;0,H239&gt;0),G239/H239,"")</f>
        <v/>
      </c>
    </row>
    <row r="240">
      <c r="A240" s="4" t="inlineStr">
        <is>
          <t>600</t>
        </is>
      </c>
      <c r="B240" s="4" t="n">
        <v>6</v>
      </c>
      <c r="C240" s="4" t="inlineStr">
        <is>
          <t>antelope</t>
        </is>
      </c>
      <c r="D240" s="4" t="n">
        <v>2022</v>
      </c>
      <c r="E240" s="15" t="inlineStr">
        <is>
          <t>Draw</t>
        </is>
      </c>
      <c r="F240" s="5" t="n">
        <v>303</v>
      </c>
      <c r="G240" s="5" t="n">
        <v>1195</v>
      </c>
      <c r="H240" s="5" t="n">
        <v>213</v>
      </c>
      <c r="I240" s="5" t="n">
        <v>174</v>
      </c>
      <c r="J240" s="5" t="n">
        <v>38</v>
      </c>
      <c r="K240" s="10">
        <f>IF(F240&gt;0,H240/F240,"")</f>
        <v/>
      </c>
      <c r="L240" s="16">
        <f>IF(AND(G240&gt;0,H240&gt;0),G240/H240,"")</f>
        <v/>
      </c>
    </row>
    <row r="241">
      <c r="A241" s="4" t="inlineStr">
        <is>
          <t>600</t>
        </is>
      </c>
      <c r="B241" s="4" t="n">
        <v>6</v>
      </c>
      <c r="C241" s="4" t="inlineStr">
        <is>
          <t>antelope</t>
        </is>
      </c>
      <c r="D241" s="4" t="n">
        <v>2023</v>
      </c>
      <c r="E241" s="15" t="inlineStr">
        <is>
          <t>Draw</t>
        </is>
      </c>
      <c r="F241" s="5" t="n"/>
      <c r="G241" s="5" t="n"/>
      <c r="H241" s="5" t="n">
        <v>185</v>
      </c>
      <c r="I241" s="5" t="n">
        <v>156</v>
      </c>
      <c r="J241" s="5" t="n">
        <v>29</v>
      </c>
      <c r="K241" s="10">
        <f>IF(F241&gt;0,H241/F241,"")</f>
        <v/>
      </c>
      <c r="L241" s="16">
        <f>IF(AND(G241&gt;0,H241&gt;0),G241/H241,"")</f>
        <v/>
      </c>
    </row>
    <row r="242">
      <c r="A242" s="4" t="inlineStr">
        <is>
          <t>600</t>
        </is>
      </c>
      <c r="B242" s="4" t="n">
        <v>6</v>
      </c>
      <c r="C242" s="4" t="inlineStr">
        <is>
          <t>antelope</t>
        </is>
      </c>
      <c r="D242" s="4" t="n">
        <v>2024</v>
      </c>
      <c r="E242" s="15" t="inlineStr">
        <is>
          <t>Draw</t>
        </is>
      </c>
      <c r="F242" s="5" t="n">
        <v>321</v>
      </c>
      <c r="G242" s="5" t="n">
        <v>1424</v>
      </c>
      <c r="H242" s="5" t="n">
        <v>200</v>
      </c>
      <c r="I242" s="5" t="n">
        <v>166</v>
      </c>
      <c r="J242" s="5" t="n">
        <v>34</v>
      </c>
      <c r="K242" s="10">
        <f>IF(F242&gt;0,H242/F242,"")</f>
        <v/>
      </c>
      <c r="L242" s="16">
        <f>IF(AND(G242&gt;0,H242&gt;0),G242/H242,"")</f>
        <v/>
      </c>
    </row>
    <row r="243">
      <c r="A243" s="4" t="inlineStr">
        <is>
          <t>600</t>
        </is>
      </c>
      <c r="B243" s="4" t="n">
        <v>6</v>
      </c>
      <c r="C243" s="4" t="inlineStr">
        <is>
          <t>antelope</t>
        </is>
      </c>
      <c r="D243" s="4" t="n">
        <v>2025</v>
      </c>
      <c r="E243" s="15" t="inlineStr">
        <is>
          <t>Draw</t>
        </is>
      </c>
      <c r="F243" s="5" t="n"/>
      <c r="G243" s="5" t="n"/>
      <c r="H243" s="5" t="n">
        <v>295</v>
      </c>
      <c r="I243" s="5" t="n">
        <v>223</v>
      </c>
      <c r="J243" s="5" t="n">
        <v>70</v>
      </c>
      <c r="K243" s="10">
        <f>IF(F243&gt;0,H243/F243,"")</f>
        <v/>
      </c>
      <c r="L243" s="16">
        <f>IF(AND(G243&gt;0,H243&gt;0),G243/H243,"")</f>
        <v/>
      </c>
    </row>
    <row r="244">
      <c r="A244" s="4" t="inlineStr">
        <is>
          <t>620</t>
        </is>
      </c>
      <c r="B244" s="4" t="n">
        <v>6</v>
      </c>
      <c r="C244" s="4" t="inlineStr">
        <is>
          <t>antelope</t>
        </is>
      </c>
      <c r="D244" s="4" t="n">
        <v>2021</v>
      </c>
      <c r="E244" s="15" t="inlineStr">
        <is>
          <t>Draw</t>
        </is>
      </c>
      <c r="F244" s="5" t="n"/>
      <c r="G244" s="5" t="n"/>
      <c r="H244" s="5" t="n">
        <v>355</v>
      </c>
      <c r="I244" s="5" t="n">
        <v>301</v>
      </c>
      <c r="J244" s="5" t="n">
        <v>54</v>
      </c>
      <c r="K244" s="10">
        <f>IF(F244&gt;0,H244/F244,"")</f>
        <v/>
      </c>
      <c r="L244" s="16">
        <f>IF(AND(G244&gt;0,H244&gt;0),G244/H244,"")</f>
        <v/>
      </c>
    </row>
    <row r="245">
      <c r="A245" s="4" t="inlineStr">
        <is>
          <t>620</t>
        </is>
      </c>
      <c r="B245" s="4" t="n">
        <v>6</v>
      </c>
      <c r="C245" s="4" t="inlineStr">
        <is>
          <t>antelope</t>
        </is>
      </c>
      <c r="D245" s="4" t="n">
        <v>2022</v>
      </c>
      <c r="E245" s="15" t="inlineStr">
        <is>
          <t>Draw</t>
        </is>
      </c>
      <c r="F245" s="5" t="n">
        <v>437</v>
      </c>
      <c r="G245" s="5" t="n">
        <v>1493</v>
      </c>
      <c r="H245" s="5" t="n">
        <v>267</v>
      </c>
      <c r="I245" s="5" t="n">
        <v>229</v>
      </c>
      <c r="J245" s="5" t="n">
        <v>38</v>
      </c>
      <c r="K245" s="10">
        <f>IF(F245&gt;0,H245/F245,"")</f>
        <v/>
      </c>
      <c r="L245" s="16">
        <f>IF(AND(G245&gt;0,H245&gt;0),G245/H245,"")</f>
        <v/>
      </c>
    </row>
    <row r="246">
      <c r="A246" s="4" t="inlineStr">
        <is>
          <t>620</t>
        </is>
      </c>
      <c r="B246" s="4" t="n">
        <v>6</v>
      </c>
      <c r="C246" s="4" t="inlineStr">
        <is>
          <t>antelope</t>
        </is>
      </c>
      <c r="D246" s="4" t="n">
        <v>2023</v>
      </c>
      <c r="E246" s="15" t="inlineStr">
        <is>
          <t>Draw</t>
        </is>
      </c>
      <c r="F246" s="5" t="n"/>
      <c r="G246" s="5" t="n"/>
      <c r="H246" s="5" t="n">
        <v>284</v>
      </c>
      <c r="I246" s="5" t="n">
        <v>248</v>
      </c>
      <c r="J246" s="5" t="n">
        <v>33</v>
      </c>
      <c r="K246" s="10">
        <f>IF(F246&gt;0,H246/F246,"")</f>
        <v/>
      </c>
      <c r="L246" s="16">
        <f>IF(AND(G246&gt;0,H246&gt;0),G246/H246,"")</f>
        <v/>
      </c>
    </row>
    <row r="247">
      <c r="A247" s="4" t="inlineStr">
        <is>
          <t>620</t>
        </is>
      </c>
      <c r="B247" s="4" t="n">
        <v>6</v>
      </c>
      <c r="C247" s="4" t="inlineStr">
        <is>
          <t>antelope</t>
        </is>
      </c>
      <c r="D247" s="4" t="n">
        <v>2024</v>
      </c>
      <c r="E247" s="15" t="inlineStr">
        <is>
          <t>Draw</t>
        </is>
      </c>
      <c r="F247" s="5" t="n">
        <v>434</v>
      </c>
      <c r="G247" s="5" t="n">
        <v>1559</v>
      </c>
      <c r="H247" s="5" t="n">
        <v>310</v>
      </c>
      <c r="I247" s="5" t="n">
        <v>264</v>
      </c>
      <c r="J247" s="5" t="n">
        <v>46</v>
      </c>
      <c r="K247" s="10">
        <f>IF(F247&gt;0,H247/F247,"")</f>
        <v/>
      </c>
      <c r="L247" s="16">
        <f>IF(AND(G247&gt;0,H247&gt;0),G247/H247,"")</f>
        <v/>
      </c>
    </row>
    <row r="248">
      <c r="A248" s="4" t="inlineStr">
        <is>
          <t>620</t>
        </is>
      </c>
      <c r="B248" s="4" t="n">
        <v>6</v>
      </c>
      <c r="C248" s="4" t="inlineStr">
        <is>
          <t>antelope</t>
        </is>
      </c>
      <c r="D248" s="4" t="n">
        <v>2025</v>
      </c>
      <c r="E248" s="15" t="inlineStr">
        <is>
          <t>Draw</t>
        </is>
      </c>
      <c r="F248" s="5" t="n"/>
      <c r="G248" s="5" t="n"/>
      <c r="H248" s="5" t="n">
        <v>403</v>
      </c>
      <c r="I248" s="5" t="n">
        <v>340</v>
      </c>
      <c r="J248" s="5" t="n">
        <v>63</v>
      </c>
      <c r="K248" s="10">
        <f>IF(F248&gt;0,H248/F248,"")</f>
        <v/>
      </c>
      <c r="L248" s="16">
        <f>IF(AND(G248&gt;0,H248&gt;0),G248/H248,"")</f>
        <v/>
      </c>
    </row>
    <row r="249">
      <c r="A249" s="4" t="inlineStr">
        <is>
          <t>630</t>
        </is>
      </c>
      <c r="B249" s="4" t="n">
        <v>6</v>
      </c>
      <c r="C249" s="4" t="inlineStr">
        <is>
          <t>antelope</t>
        </is>
      </c>
      <c r="D249" s="4" t="n">
        <v>2021</v>
      </c>
      <c r="E249" s="15" t="inlineStr">
        <is>
          <t>Draw</t>
        </is>
      </c>
      <c r="F249" s="5" t="n"/>
      <c r="G249" s="5" t="n"/>
      <c r="H249" s="5" t="n">
        <v>155</v>
      </c>
      <c r="I249" s="5" t="n">
        <v>129</v>
      </c>
      <c r="J249" s="5" t="n">
        <v>22</v>
      </c>
      <c r="K249" s="10">
        <f>IF(F249&gt;0,H249/F249,"")</f>
        <v/>
      </c>
      <c r="L249" s="16">
        <f>IF(AND(G249&gt;0,H249&gt;0),G249/H249,"")</f>
        <v/>
      </c>
    </row>
    <row r="250">
      <c r="A250" s="4" t="inlineStr">
        <is>
          <t>630</t>
        </is>
      </c>
      <c r="B250" s="4" t="n">
        <v>6</v>
      </c>
      <c r="C250" s="4" t="inlineStr">
        <is>
          <t>antelope</t>
        </is>
      </c>
      <c r="D250" s="4" t="n">
        <v>2022</v>
      </c>
      <c r="E250" s="15" t="inlineStr">
        <is>
          <t>Draw</t>
        </is>
      </c>
      <c r="F250" s="5" t="n">
        <v>250</v>
      </c>
      <c r="G250" s="5" t="n">
        <v>929</v>
      </c>
      <c r="H250" s="5" t="n">
        <v>183</v>
      </c>
      <c r="I250" s="5" t="n">
        <v>145</v>
      </c>
      <c r="J250" s="5" t="n">
        <v>38</v>
      </c>
      <c r="K250" s="10">
        <f>IF(F250&gt;0,H250/F250,"")</f>
        <v/>
      </c>
      <c r="L250" s="16">
        <f>IF(AND(G250&gt;0,H250&gt;0),G250/H250,"")</f>
        <v/>
      </c>
    </row>
    <row r="251">
      <c r="A251" s="4" t="inlineStr">
        <is>
          <t>630</t>
        </is>
      </c>
      <c r="B251" s="4" t="n">
        <v>6</v>
      </c>
      <c r="C251" s="4" t="inlineStr">
        <is>
          <t>antelope</t>
        </is>
      </c>
      <c r="D251" s="4" t="n">
        <v>2023</v>
      </c>
      <c r="E251" s="15" t="inlineStr">
        <is>
          <t>Draw</t>
        </is>
      </c>
      <c r="F251" s="5" t="n"/>
      <c r="G251" s="5" t="n"/>
      <c r="H251" s="5" t="n">
        <v>179</v>
      </c>
      <c r="I251" s="5" t="n">
        <v>142</v>
      </c>
      <c r="J251" s="5" t="n">
        <v>37</v>
      </c>
      <c r="K251" s="10">
        <f>IF(F251&gt;0,H251/F251,"")</f>
        <v/>
      </c>
      <c r="L251" s="16">
        <f>IF(AND(G251&gt;0,H251&gt;0),G251/H251,"")</f>
        <v/>
      </c>
    </row>
    <row r="252">
      <c r="A252" s="4" t="inlineStr">
        <is>
          <t>630</t>
        </is>
      </c>
      <c r="B252" s="4" t="n">
        <v>6</v>
      </c>
      <c r="C252" s="4" t="inlineStr">
        <is>
          <t>antelope</t>
        </is>
      </c>
      <c r="D252" s="4" t="n">
        <v>2024</v>
      </c>
      <c r="E252" s="15" t="inlineStr">
        <is>
          <t>Draw</t>
        </is>
      </c>
      <c r="F252" s="5" t="n">
        <v>359</v>
      </c>
      <c r="G252" s="5" t="n">
        <v>1526</v>
      </c>
      <c r="H252" s="5" t="n">
        <v>236</v>
      </c>
      <c r="I252" s="5" t="n">
        <v>198</v>
      </c>
      <c r="J252" s="5" t="n">
        <v>38</v>
      </c>
      <c r="K252" s="10">
        <f>IF(F252&gt;0,H252/F252,"")</f>
        <v/>
      </c>
      <c r="L252" s="16">
        <f>IF(AND(G252&gt;0,H252&gt;0),G252/H252,"")</f>
        <v/>
      </c>
    </row>
    <row r="253">
      <c r="A253" s="4" t="inlineStr">
        <is>
          <t>630</t>
        </is>
      </c>
      <c r="B253" s="4" t="n">
        <v>6</v>
      </c>
      <c r="C253" s="4" t="inlineStr">
        <is>
          <t>antelope</t>
        </is>
      </c>
      <c r="D253" s="4" t="n">
        <v>2025</v>
      </c>
      <c r="E253" s="15" t="inlineStr">
        <is>
          <t>Draw</t>
        </is>
      </c>
      <c r="F253" s="5" t="n"/>
      <c r="G253" s="5" t="n"/>
      <c r="H253" s="5" t="n">
        <v>245</v>
      </c>
      <c r="I253" s="5" t="n">
        <v>217</v>
      </c>
      <c r="J253" s="5" t="n">
        <v>28</v>
      </c>
      <c r="K253" s="10">
        <f>IF(F253&gt;0,H253/F253,"")</f>
        <v/>
      </c>
      <c r="L253" s="16">
        <f>IF(AND(G253&gt;0,H253&gt;0),G253/H253,"")</f>
        <v/>
      </c>
    </row>
    <row r="254">
      <c r="A254" s="4" t="inlineStr">
        <is>
          <t>640</t>
        </is>
      </c>
      <c r="B254" s="4" t="n">
        <v>6</v>
      </c>
      <c r="C254" s="4" t="inlineStr">
        <is>
          <t>antelope</t>
        </is>
      </c>
      <c r="D254" s="4" t="n">
        <v>2021</v>
      </c>
      <c r="E254" s="15" t="inlineStr">
        <is>
          <t>Draw</t>
        </is>
      </c>
      <c r="F254" s="5" t="n"/>
      <c r="G254" s="5" t="n"/>
      <c r="H254" s="5" t="n">
        <v>70</v>
      </c>
      <c r="I254" s="5" t="n">
        <v>56</v>
      </c>
      <c r="J254" s="5" t="n">
        <v>14</v>
      </c>
      <c r="K254" s="10">
        <f>IF(F254&gt;0,H254/F254,"")</f>
        <v/>
      </c>
      <c r="L254" s="16">
        <f>IF(AND(G254&gt;0,H254&gt;0),G254/H254,"")</f>
        <v/>
      </c>
    </row>
    <row r="255">
      <c r="A255" s="4" t="inlineStr">
        <is>
          <t>640</t>
        </is>
      </c>
      <c r="B255" s="4" t="n">
        <v>6</v>
      </c>
      <c r="C255" s="4" t="inlineStr">
        <is>
          <t>antelope</t>
        </is>
      </c>
      <c r="D255" s="4" t="n">
        <v>2022</v>
      </c>
      <c r="E255" s="15" t="inlineStr">
        <is>
          <t>Draw</t>
        </is>
      </c>
      <c r="F255" s="5" t="n">
        <v>180</v>
      </c>
      <c r="G255" s="5" t="n">
        <v>954</v>
      </c>
      <c r="H255" s="5" t="n">
        <v>125</v>
      </c>
      <c r="I255" s="5" t="n">
        <v>103</v>
      </c>
      <c r="J255" s="5" t="n">
        <v>22</v>
      </c>
      <c r="K255" s="10">
        <f>IF(F255&gt;0,H255/F255,"")</f>
        <v/>
      </c>
      <c r="L255" s="16">
        <f>IF(AND(G255&gt;0,H255&gt;0),G255/H255,"")</f>
        <v/>
      </c>
    </row>
    <row r="256">
      <c r="A256" s="4" t="inlineStr">
        <is>
          <t>640</t>
        </is>
      </c>
      <c r="B256" s="4" t="n">
        <v>6</v>
      </c>
      <c r="C256" s="4" t="inlineStr">
        <is>
          <t>antelope</t>
        </is>
      </c>
      <c r="D256" s="4" t="n">
        <v>2023</v>
      </c>
      <c r="E256" s="15" t="inlineStr">
        <is>
          <t>Draw</t>
        </is>
      </c>
      <c r="F256" s="5" t="n"/>
      <c r="G256" s="5" t="n"/>
      <c r="H256" s="5" t="n">
        <v>78</v>
      </c>
      <c r="I256" s="5" t="n">
        <v>59</v>
      </c>
      <c r="J256" s="5" t="n">
        <v>19</v>
      </c>
      <c r="K256" s="10">
        <f>IF(F256&gt;0,H256/F256,"")</f>
        <v/>
      </c>
      <c r="L256" s="16">
        <f>IF(AND(G256&gt;0,H256&gt;0),G256/H256,"")</f>
        <v/>
      </c>
    </row>
    <row r="257">
      <c r="A257" s="4" t="inlineStr">
        <is>
          <t>640</t>
        </is>
      </c>
      <c r="B257" s="4" t="n">
        <v>6</v>
      </c>
      <c r="C257" s="4" t="inlineStr">
        <is>
          <t>antelope</t>
        </is>
      </c>
      <c r="D257" s="4" t="n">
        <v>2024</v>
      </c>
      <c r="E257" s="15" t="inlineStr">
        <is>
          <t>Draw</t>
        </is>
      </c>
      <c r="F257" s="5" t="n">
        <v>158</v>
      </c>
      <c r="G257" s="5" t="n">
        <v>929</v>
      </c>
      <c r="H257" s="5" t="n">
        <v>93</v>
      </c>
      <c r="I257" s="5" t="n">
        <v>77</v>
      </c>
      <c r="J257" s="5" t="n">
        <v>16</v>
      </c>
      <c r="K257" s="10">
        <f>IF(F257&gt;0,H257/F257,"")</f>
        <v/>
      </c>
      <c r="L257" s="16">
        <f>IF(AND(G257&gt;0,H257&gt;0),G257/H257,"")</f>
        <v/>
      </c>
    </row>
    <row r="258">
      <c r="A258" s="4" t="inlineStr">
        <is>
          <t>640</t>
        </is>
      </c>
      <c r="B258" s="4" t="n">
        <v>6</v>
      </c>
      <c r="C258" s="4" t="inlineStr">
        <is>
          <t>antelope</t>
        </is>
      </c>
      <c r="D258" s="4" t="n">
        <v>2025</v>
      </c>
      <c r="E258" s="15" t="inlineStr">
        <is>
          <t>Draw</t>
        </is>
      </c>
      <c r="F258" s="5" t="n"/>
      <c r="G258" s="5" t="n"/>
      <c r="H258" s="5" t="n">
        <v>76</v>
      </c>
      <c r="I258" s="5" t="n">
        <v>59</v>
      </c>
      <c r="J258" s="5" t="n">
        <v>17</v>
      </c>
      <c r="K258" s="10">
        <f>IF(F258&gt;0,H258/F258,"")</f>
        <v/>
      </c>
      <c r="L258" s="16">
        <f>IF(AND(G258&gt;0,H258&gt;0),G258/H258,"")</f>
        <v/>
      </c>
    </row>
    <row r="259">
      <c r="A259" s="4" t="inlineStr">
        <is>
          <t>650</t>
        </is>
      </c>
      <c r="B259" s="4" t="n">
        <v>6</v>
      </c>
      <c r="C259" s="4" t="inlineStr">
        <is>
          <t>antelope</t>
        </is>
      </c>
      <c r="D259" s="4" t="n">
        <v>2021</v>
      </c>
      <c r="E259" s="15" t="inlineStr">
        <is>
          <t>Draw</t>
        </is>
      </c>
      <c r="F259" s="5" t="n"/>
      <c r="G259" s="5" t="n"/>
      <c r="H259" s="5" t="n">
        <v>547</v>
      </c>
      <c r="I259" s="5" t="n">
        <v>386</v>
      </c>
      <c r="J259" s="5" t="n">
        <v>161</v>
      </c>
      <c r="K259" s="10">
        <f>IF(F259&gt;0,H259/F259,"")</f>
        <v/>
      </c>
      <c r="L259" s="16">
        <f>IF(AND(G259&gt;0,H259&gt;0),G259/H259,"")</f>
        <v/>
      </c>
    </row>
    <row r="260">
      <c r="A260" s="4" t="inlineStr">
        <is>
          <t>650</t>
        </is>
      </c>
      <c r="B260" s="4" t="n">
        <v>6</v>
      </c>
      <c r="C260" s="4" t="inlineStr">
        <is>
          <t>antelope</t>
        </is>
      </c>
      <c r="D260" s="4" t="n">
        <v>2022</v>
      </c>
      <c r="E260" s="15" t="inlineStr">
        <is>
          <t>Draw</t>
        </is>
      </c>
      <c r="F260" s="5" t="n">
        <v>704</v>
      </c>
      <c r="G260" s="5" t="n">
        <v>2723</v>
      </c>
      <c r="H260" s="5" t="n">
        <v>569</v>
      </c>
      <c r="I260" s="5" t="n">
        <v>414</v>
      </c>
      <c r="J260" s="5" t="n">
        <v>149</v>
      </c>
      <c r="K260" s="10">
        <f>IF(F260&gt;0,H260/F260,"")</f>
        <v/>
      </c>
      <c r="L260" s="16">
        <f>IF(AND(G260&gt;0,H260&gt;0),G260/H260,"")</f>
        <v/>
      </c>
    </row>
    <row r="261">
      <c r="A261" s="4" t="inlineStr">
        <is>
          <t>650</t>
        </is>
      </c>
      <c r="B261" s="4" t="n">
        <v>6</v>
      </c>
      <c r="C261" s="4" t="inlineStr">
        <is>
          <t>antelope</t>
        </is>
      </c>
      <c r="D261" s="4" t="n">
        <v>2023</v>
      </c>
      <c r="E261" s="15" t="inlineStr">
        <is>
          <t>Draw</t>
        </is>
      </c>
      <c r="F261" s="5" t="n"/>
      <c r="G261" s="5" t="n"/>
      <c r="H261" s="5" t="n">
        <v>529</v>
      </c>
      <c r="I261" s="5" t="n">
        <v>396</v>
      </c>
      <c r="J261" s="5" t="n">
        <v>133</v>
      </c>
      <c r="K261" s="10">
        <f>IF(F261&gt;0,H261/F261,"")</f>
        <v/>
      </c>
      <c r="L261" s="16">
        <f>IF(AND(G261&gt;0,H261&gt;0),G261/H261,"")</f>
        <v/>
      </c>
    </row>
    <row r="262">
      <c r="A262" s="4" t="inlineStr">
        <is>
          <t>650</t>
        </is>
      </c>
      <c r="B262" s="4" t="n">
        <v>6</v>
      </c>
      <c r="C262" s="4" t="inlineStr">
        <is>
          <t>antelope</t>
        </is>
      </c>
      <c r="D262" s="4" t="n">
        <v>2024</v>
      </c>
      <c r="E262" s="15" t="inlineStr">
        <is>
          <t>Draw</t>
        </is>
      </c>
      <c r="F262" s="5" t="n">
        <v>459</v>
      </c>
      <c r="G262" s="5" t="n">
        <v>1822</v>
      </c>
      <c r="H262" s="5" t="n">
        <v>344</v>
      </c>
      <c r="I262" s="5" t="n">
        <v>264</v>
      </c>
      <c r="J262" s="5" t="n">
        <v>79</v>
      </c>
      <c r="K262" s="10">
        <f>IF(F262&gt;0,H262/F262,"")</f>
        <v/>
      </c>
      <c r="L262" s="16">
        <f>IF(AND(G262&gt;0,H262&gt;0),G262/H262,"")</f>
        <v/>
      </c>
    </row>
    <row r="263">
      <c r="A263" s="4" t="inlineStr">
        <is>
          <t>650</t>
        </is>
      </c>
      <c r="B263" s="4" t="n">
        <v>6</v>
      </c>
      <c r="C263" s="4" t="inlineStr">
        <is>
          <t>antelope</t>
        </is>
      </c>
      <c r="D263" s="4" t="n">
        <v>2025</v>
      </c>
      <c r="E263" s="15" t="inlineStr">
        <is>
          <t>Draw</t>
        </is>
      </c>
      <c r="F263" s="5" t="n"/>
      <c r="G263" s="5" t="n"/>
      <c r="H263" s="5" t="n">
        <v>461</v>
      </c>
      <c r="I263" s="5" t="n">
        <v>326</v>
      </c>
      <c r="J263" s="5" t="n">
        <v>135</v>
      </c>
      <c r="K263" s="10">
        <f>IF(F263&gt;0,H263/F263,"")</f>
        <v/>
      </c>
      <c r="L263" s="16">
        <f>IF(AND(G263&gt;0,H263&gt;0),G263/H263,"")</f>
        <v/>
      </c>
    </row>
    <row r="264">
      <c r="A264" s="4" t="inlineStr">
        <is>
          <t>670</t>
        </is>
      </c>
      <c r="B264" s="4" t="n">
        <v>6</v>
      </c>
      <c r="C264" s="4" t="inlineStr">
        <is>
          <t>antelope</t>
        </is>
      </c>
      <c r="D264" s="4" t="n">
        <v>2021</v>
      </c>
      <c r="E264" s="15" t="inlineStr">
        <is>
          <t>Draw</t>
        </is>
      </c>
      <c r="F264" s="5" t="n"/>
      <c r="G264" s="5" t="n"/>
      <c r="H264" s="5" t="n">
        <v>397</v>
      </c>
      <c r="I264" s="5" t="n">
        <v>291</v>
      </c>
      <c r="J264" s="5" t="n">
        <v>101</v>
      </c>
      <c r="K264" s="10">
        <f>IF(F264&gt;0,H264/F264,"")</f>
        <v/>
      </c>
      <c r="L264" s="16">
        <f>IF(AND(G264&gt;0,H264&gt;0),G264/H264,"")</f>
        <v/>
      </c>
    </row>
    <row r="265">
      <c r="A265" s="4" t="inlineStr">
        <is>
          <t>670</t>
        </is>
      </c>
      <c r="B265" s="4" t="n">
        <v>6</v>
      </c>
      <c r="C265" s="4" t="inlineStr">
        <is>
          <t>antelope</t>
        </is>
      </c>
      <c r="D265" s="4" t="n">
        <v>2022</v>
      </c>
      <c r="E265" s="15" t="inlineStr">
        <is>
          <t>Draw</t>
        </is>
      </c>
      <c r="F265" s="5" t="n">
        <v>400</v>
      </c>
      <c r="G265" s="5" t="n">
        <v>1310</v>
      </c>
      <c r="H265" s="5" t="n">
        <v>295</v>
      </c>
      <c r="I265" s="5" t="n">
        <v>249</v>
      </c>
      <c r="J265" s="5" t="n">
        <v>46</v>
      </c>
      <c r="K265" s="10">
        <f>IF(F265&gt;0,H265/F265,"")</f>
        <v/>
      </c>
      <c r="L265" s="16">
        <f>IF(AND(G265&gt;0,H265&gt;0),G265/H265,"")</f>
        <v/>
      </c>
    </row>
    <row r="266">
      <c r="A266" s="4" t="inlineStr">
        <is>
          <t>670</t>
        </is>
      </c>
      <c r="B266" s="4" t="n">
        <v>6</v>
      </c>
      <c r="C266" s="4" t="inlineStr">
        <is>
          <t>antelope</t>
        </is>
      </c>
      <c r="D266" s="4" t="n">
        <v>2023</v>
      </c>
      <c r="E266" s="15" t="inlineStr">
        <is>
          <t>Draw</t>
        </is>
      </c>
      <c r="F266" s="5" t="n"/>
      <c r="G266" s="5" t="n"/>
      <c r="H266" s="5" t="n">
        <v>229</v>
      </c>
      <c r="I266" s="5" t="n">
        <v>190</v>
      </c>
      <c r="J266" s="5" t="n">
        <v>39</v>
      </c>
      <c r="K266" s="10">
        <f>IF(F266&gt;0,H266/F266,"")</f>
        <v/>
      </c>
      <c r="L266" s="16">
        <f>IF(AND(G266&gt;0,H266&gt;0),G266/H266,"")</f>
        <v/>
      </c>
    </row>
    <row r="267">
      <c r="A267" s="4" t="inlineStr">
        <is>
          <t>670</t>
        </is>
      </c>
      <c r="B267" s="4" t="n">
        <v>6</v>
      </c>
      <c r="C267" s="4" t="inlineStr">
        <is>
          <t>antelope</t>
        </is>
      </c>
      <c r="D267" s="4" t="n">
        <v>2024</v>
      </c>
      <c r="E267" s="15" t="inlineStr">
        <is>
          <t>Draw</t>
        </is>
      </c>
      <c r="F267" s="5" t="n">
        <v>314</v>
      </c>
      <c r="G267" s="5" t="n">
        <v>1172</v>
      </c>
      <c r="H267" s="5" t="n">
        <v>220</v>
      </c>
      <c r="I267" s="5" t="n">
        <v>187</v>
      </c>
      <c r="J267" s="5" t="n">
        <v>33</v>
      </c>
      <c r="K267" s="10">
        <f>IF(F267&gt;0,H267/F267,"")</f>
        <v/>
      </c>
      <c r="L267" s="16">
        <f>IF(AND(G267&gt;0,H267&gt;0),G267/H267,"")</f>
        <v/>
      </c>
    </row>
    <row r="268">
      <c r="A268" s="4" t="inlineStr">
        <is>
          <t>670</t>
        </is>
      </c>
      <c r="B268" s="4" t="n">
        <v>6</v>
      </c>
      <c r="C268" s="4" t="inlineStr">
        <is>
          <t>antelope</t>
        </is>
      </c>
      <c r="D268" s="4" t="n">
        <v>2025</v>
      </c>
      <c r="E268" s="15" t="inlineStr">
        <is>
          <t>Draw</t>
        </is>
      </c>
      <c r="F268" s="5" t="n"/>
      <c r="G268" s="5" t="n"/>
      <c r="H268" s="5" t="n">
        <v>288</v>
      </c>
      <c r="I268" s="5" t="n">
        <v>238</v>
      </c>
      <c r="J268" s="5" t="n">
        <v>48</v>
      </c>
      <c r="K268" s="10">
        <f>IF(F268&gt;0,H268/F268,"")</f>
        <v/>
      </c>
      <c r="L268" s="16">
        <f>IF(AND(G268&gt;0,H268&gt;0),G268/H268,"")</f>
        <v/>
      </c>
    </row>
    <row r="269">
      <c r="A269" s="4" t="inlineStr">
        <is>
          <t>690</t>
        </is>
      </c>
      <c r="B269" s="4" t="n">
        <v>6</v>
      </c>
      <c r="C269" s="4" t="inlineStr">
        <is>
          <t>antelope</t>
        </is>
      </c>
      <c r="D269" s="4" t="n">
        <v>2021</v>
      </c>
      <c r="E269" s="15" t="inlineStr">
        <is>
          <t>Draw</t>
        </is>
      </c>
      <c r="F269" s="5" t="n"/>
      <c r="G269" s="5" t="n"/>
      <c r="H269" s="5" t="n">
        <v>332</v>
      </c>
      <c r="I269" s="5" t="n">
        <v>221</v>
      </c>
      <c r="J269" s="5" t="n">
        <v>111</v>
      </c>
      <c r="K269" s="10">
        <f>IF(F269&gt;0,H269/F269,"")</f>
        <v/>
      </c>
      <c r="L269" s="16">
        <f>IF(AND(G269&gt;0,H269&gt;0),G269/H269,"")</f>
        <v/>
      </c>
    </row>
    <row r="270">
      <c r="A270" s="4" t="inlineStr">
        <is>
          <t>690</t>
        </is>
      </c>
      <c r="B270" s="4" t="n">
        <v>6</v>
      </c>
      <c r="C270" s="4" t="inlineStr">
        <is>
          <t>antelope</t>
        </is>
      </c>
      <c r="D270" s="4" t="n">
        <v>2022</v>
      </c>
      <c r="E270" s="15" t="inlineStr">
        <is>
          <t>Draw</t>
        </is>
      </c>
      <c r="F270" s="5" t="n">
        <v>513</v>
      </c>
      <c r="G270" s="5" t="n">
        <v>1524</v>
      </c>
      <c r="H270" s="5" t="n">
        <v>397</v>
      </c>
      <c r="I270" s="5" t="n">
        <v>278</v>
      </c>
      <c r="J270" s="5" t="n">
        <v>118</v>
      </c>
      <c r="K270" s="10">
        <f>IF(F270&gt;0,H270/F270,"")</f>
        <v/>
      </c>
      <c r="L270" s="16">
        <f>IF(AND(G270&gt;0,H270&gt;0),G270/H270,"")</f>
        <v/>
      </c>
    </row>
    <row r="271">
      <c r="A271" s="4" t="inlineStr">
        <is>
          <t>690</t>
        </is>
      </c>
      <c r="B271" s="4" t="n">
        <v>6</v>
      </c>
      <c r="C271" s="4" t="inlineStr">
        <is>
          <t>antelope</t>
        </is>
      </c>
      <c r="D271" s="4" t="n">
        <v>2023</v>
      </c>
      <c r="E271" s="15" t="inlineStr">
        <is>
          <t>Draw</t>
        </is>
      </c>
      <c r="F271" s="5" t="n"/>
      <c r="G271" s="5" t="n"/>
      <c r="H271" s="5" t="n">
        <v>215</v>
      </c>
      <c r="I271" s="5" t="n">
        <v>171</v>
      </c>
      <c r="J271" s="5" t="n">
        <v>40</v>
      </c>
      <c r="K271" s="10">
        <f>IF(F271&gt;0,H271/F271,"")</f>
        <v/>
      </c>
      <c r="L271" s="16">
        <f>IF(AND(G271&gt;0,H271&gt;0),G271/H271,"")</f>
        <v/>
      </c>
    </row>
    <row r="272">
      <c r="A272" s="4" t="inlineStr">
        <is>
          <t>690</t>
        </is>
      </c>
      <c r="B272" s="4" t="n">
        <v>6</v>
      </c>
      <c r="C272" s="4" t="inlineStr">
        <is>
          <t>antelope</t>
        </is>
      </c>
      <c r="D272" s="4" t="n">
        <v>2024</v>
      </c>
      <c r="E272" s="15" t="inlineStr">
        <is>
          <t>Draw</t>
        </is>
      </c>
      <c r="F272" s="5" t="n">
        <v>341</v>
      </c>
      <c r="G272" s="5" t="n">
        <v>1129</v>
      </c>
      <c r="H272" s="5" t="n">
        <v>239</v>
      </c>
      <c r="I272" s="5" t="n">
        <v>171</v>
      </c>
      <c r="J272" s="5" t="n">
        <v>65</v>
      </c>
      <c r="K272" s="10">
        <f>IF(F272&gt;0,H272/F272,"")</f>
        <v/>
      </c>
      <c r="L272" s="16">
        <f>IF(AND(G272&gt;0,H272&gt;0),G272/H272,"")</f>
        <v/>
      </c>
    </row>
    <row r="273">
      <c r="A273" s="4" t="inlineStr">
        <is>
          <t>690</t>
        </is>
      </c>
      <c r="B273" s="4" t="n">
        <v>6</v>
      </c>
      <c r="C273" s="4" t="inlineStr">
        <is>
          <t>antelope</t>
        </is>
      </c>
      <c r="D273" s="4" t="n">
        <v>2025</v>
      </c>
      <c r="E273" s="15" t="inlineStr">
        <is>
          <t>Draw</t>
        </is>
      </c>
      <c r="F273" s="5" t="n"/>
      <c r="G273" s="5" t="n"/>
      <c r="H273" s="5" t="n">
        <v>445</v>
      </c>
      <c r="I273" s="5" t="n">
        <v>326</v>
      </c>
      <c r="J273" s="5" t="n">
        <v>119</v>
      </c>
      <c r="K273" s="10">
        <f>IF(F273&gt;0,H273/F273,"")</f>
        <v/>
      </c>
      <c r="L273" s="16">
        <f>IF(AND(G273&gt;0,H273&gt;0),G273/H273,"")</f>
        <v/>
      </c>
    </row>
    <row r="274">
      <c r="A274" s="4" t="inlineStr">
        <is>
          <t>700</t>
        </is>
      </c>
      <c r="B274" s="4" t="n">
        <v>7</v>
      </c>
      <c r="C274" s="4" t="inlineStr">
        <is>
          <t>antelope</t>
        </is>
      </c>
      <c r="D274" s="4" t="n">
        <v>2021</v>
      </c>
      <c r="E274" s="15" t="inlineStr">
        <is>
          <t>Draw</t>
        </is>
      </c>
      <c r="F274" s="5" t="n"/>
      <c r="G274" s="5" t="n"/>
      <c r="H274" s="5" t="n">
        <v>779</v>
      </c>
      <c r="I274" s="5" t="n">
        <v>590</v>
      </c>
      <c r="J274" s="5" t="n">
        <v>186</v>
      </c>
      <c r="K274" s="10">
        <f>IF(F274&gt;0,H274/F274,"")</f>
        <v/>
      </c>
      <c r="L274" s="16">
        <f>IF(AND(G274&gt;0,H274&gt;0),G274/H274,"")</f>
        <v/>
      </c>
    </row>
    <row r="275">
      <c r="A275" s="4" t="inlineStr">
        <is>
          <t>700</t>
        </is>
      </c>
      <c r="B275" s="4" t="n">
        <v>7</v>
      </c>
      <c r="C275" s="4" t="inlineStr">
        <is>
          <t>antelope</t>
        </is>
      </c>
      <c r="D275" s="4" t="n">
        <v>2022</v>
      </c>
      <c r="E275" s="15" t="inlineStr">
        <is>
          <t>Draw</t>
        </is>
      </c>
      <c r="F275" s="5" t="n">
        <v>1385</v>
      </c>
      <c r="G275" s="5" t="n">
        <v>4311</v>
      </c>
      <c r="H275" s="5" t="n">
        <v>1047</v>
      </c>
      <c r="I275" s="5" t="n">
        <v>835</v>
      </c>
      <c r="J275" s="5" t="n">
        <v>206</v>
      </c>
      <c r="K275" s="10">
        <f>IF(F275&gt;0,H275/F275,"")</f>
        <v/>
      </c>
      <c r="L275" s="16">
        <f>IF(AND(G275&gt;0,H275&gt;0),G275/H275,"")</f>
        <v/>
      </c>
    </row>
    <row r="276">
      <c r="A276" s="4" t="inlineStr">
        <is>
          <t>700</t>
        </is>
      </c>
      <c r="B276" s="4" t="n">
        <v>7</v>
      </c>
      <c r="C276" s="4" t="inlineStr">
        <is>
          <t>antelope</t>
        </is>
      </c>
      <c r="D276" s="4" t="n">
        <v>2023</v>
      </c>
      <c r="E276" s="15" t="inlineStr">
        <is>
          <t>Draw</t>
        </is>
      </c>
      <c r="F276" s="5" t="n"/>
      <c r="G276" s="5" t="n"/>
      <c r="H276" s="5" t="n">
        <v>985</v>
      </c>
      <c r="I276" s="5" t="n">
        <v>862</v>
      </c>
      <c r="J276" s="5" t="n">
        <v>123</v>
      </c>
      <c r="K276" s="10">
        <f>IF(F276&gt;0,H276/F276,"")</f>
        <v/>
      </c>
      <c r="L276" s="16">
        <f>IF(AND(G276&gt;0,H276&gt;0),G276/H276,"")</f>
        <v/>
      </c>
    </row>
    <row r="277">
      <c r="A277" s="4" t="inlineStr">
        <is>
          <t>700</t>
        </is>
      </c>
      <c r="B277" s="4" t="n">
        <v>7</v>
      </c>
      <c r="C277" s="4" t="inlineStr">
        <is>
          <t>antelope</t>
        </is>
      </c>
      <c r="D277" s="4" t="n">
        <v>2024</v>
      </c>
      <c r="E277" s="15" t="inlineStr">
        <is>
          <t>Draw</t>
        </is>
      </c>
      <c r="F277" s="5" t="n">
        <v>1385</v>
      </c>
      <c r="G277" s="5" t="n">
        <v>4731</v>
      </c>
      <c r="H277" s="5" t="n">
        <v>956</v>
      </c>
      <c r="I277" s="5" t="n">
        <v>791</v>
      </c>
      <c r="J277" s="5" t="n">
        <v>161</v>
      </c>
      <c r="K277" s="10">
        <f>IF(F277&gt;0,H277/F277,"")</f>
        <v/>
      </c>
      <c r="L277" s="16">
        <f>IF(AND(G277&gt;0,H277&gt;0),G277/H277,"")</f>
        <v/>
      </c>
    </row>
    <row r="278">
      <c r="A278" s="4" t="inlineStr">
        <is>
          <t>700</t>
        </is>
      </c>
      <c r="B278" s="4" t="n">
        <v>7</v>
      </c>
      <c r="C278" s="4" t="inlineStr">
        <is>
          <t>antelope</t>
        </is>
      </c>
      <c r="D278" s="4" t="n">
        <v>2025</v>
      </c>
      <c r="E278" s="15" t="inlineStr">
        <is>
          <t>Draw</t>
        </is>
      </c>
      <c r="F278" s="5" t="n"/>
      <c r="G278" s="5" t="n"/>
      <c r="H278" s="5" t="n">
        <v>1052</v>
      </c>
      <c r="I278" s="5" t="n">
        <v>793</v>
      </c>
      <c r="J278" s="5" t="n">
        <v>252</v>
      </c>
      <c r="K278" s="10">
        <f>IF(F278&gt;0,H278/F278,"")</f>
        <v/>
      </c>
      <c r="L278" s="16">
        <f>IF(AND(G278&gt;0,H278&gt;0),G278/H278,"")</f>
        <v/>
      </c>
    </row>
    <row r="279">
      <c r="A279" s="4" t="inlineStr">
        <is>
          <t>701</t>
        </is>
      </c>
      <c r="B279" s="4" t="n">
        <v>7</v>
      </c>
      <c r="C279" s="4" t="inlineStr">
        <is>
          <t>antelope</t>
        </is>
      </c>
      <c r="D279" s="4" t="n">
        <v>2021</v>
      </c>
      <c r="E279" s="15" t="inlineStr">
        <is>
          <t>Draw</t>
        </is>
      </c>
      <c r="F279" s="5" t="n"/>
      <c r="G279" s="5" t="n"/>
      <c r="H279" s="5" t="n">
        <v>714</v>
      </c>
      <c r="I279" s="5" t="n">
        <v>589</v>
      </c>
      <c r="J279" s="5" t="n">
        <v>122</v>
      </c>
      <c r="K279" s="10">
        <f>IF(F279&gt;0,H279/F279,"")</f>
        <v/>
      </c>
      <c r="L279" s="16">
        <f>IF(AND(G279&gt;0,H279&gt;0),G279/H279,"")</f>
        <v/>
      </c>
    </row>
    <row r="280">
      <c r="A280" s="4" t="inlineStr">
        <is>
          <t>701</t>
        </is>
      </c>
      <c r="B280" s="4" t="n">
        <v>7</v>
      </c>
      <c r="C280" s="4" t="inlineStr">
        <is>
          <t>antelope</t>
        </is>
      </c>
      <c r="D280" s="4" t="n">
        <v>2022</v>
      </c>
      <c r="E280" s="15" t="inlineStr">
        <is>
          <t>Draw</t>
        </is>
      </c>
      <c r="F280" s="5" t="n">
        <v>1259</v>
      </c>
      <c r="G280" s="5" t="n">
        <v>4076</v>
      </c>
      <c r="H280" s="5" t="n">
        <v>820</v>
      </c>
      <c r="I280" s="5" t="n">
        <v>686</v>
      </c>
      <c r="J280" s="5" t="n">
        <v>134</v>
      </c>
      <c r="K280" s="10">
        <f>IF(F280&gt;0,H280/F280,"")</f>
        <v/>
      </c>
      <c r="L280" s="16">
        <f>IF(AND(G280&gt;0,H280&gt;0),G280/H280,"")</f>
        <v/>
      </c>
    </row>
    <row r="281">
      <c r="A281" s="4" t="inlineStr">
        <is>
          <t>701</t>
        </is>
      </c>
      <c r="B281" s="4" t="n">
        <v>7</v>
      </c>
      <c r="C281" s="4" t="inlineStr">
        <is>
          <t>antelope</t>
        </is>
      </c>
      <c r="D281" s="4" t="n">
        <v>2023</v>
      </c>
      <c r="E281" s="15" t="inlineStr">
        <is>
          <t>Draw</t>
        </is>
      </c>
      <c r="F281" s="5" t="n"/>
      <c r="G281" s="5" t="n"/>
      <c r="H281" s="5" t="n">
        <v>939</v>
      </c>
      <c r="I281" s="5" t="n">
        <v>797</v>
      </c>
      <c r="J281" s="5" t="n">
        <v>142</v>
      </c>
      <c r="K281" s="10">
        <f>IF(F281&gt;0,H281/F281,"")</f>
        <v/>
      </c>
      <c r="L281" s="16">
        <f>IF(AND(G281&gt;0,H281&gt;0),G281/H281,"")</f>
        <v/>
      </c>
    </row>
    <row r="282">
      <c r="A282" s="4" t="inlineStr">
        <is>
          <t>701</t>
        </is>
      </c>
      <c r="B282" s="4" t="n">
        <v>7</v>
      </c>
      <c r="C282" s="4" t="inlineStr">
        <is>
          <t>antelope</t>
        </is>
      </c>
      <c r="D282" s="4" t="n">
        <v>2024</v>
      </c>
      <c r="E282" s="15" t="inlineStr">
        <is>
          <t>Draw</t>
        </is>
      </c>
      <c r="F282" s="5" t="n">
        <v>1093</v>
      </c>
      <c r="G282" s="5" t="n">
        <v>3342</v>
      </c>
      <c r="H282" s="5" t="n">
        <v>728</v>
      </c>
      <c r="I282" s="5" t="n">
        <v>627</v>
      </c>
      <c r="J282" s="5" t="n">
        <v>96</v>
      </c>
      <c r="K282" s="10">
        <f>IF(F282&gt;0,H282/F282,"")</f>
        <v/>
      </c>
      <c r="L282" s="16">
        <f>IF(AND(G282&gt;0,H282&gt;0),G282/H282,"")</f>
        <v/>
      </c>
    </row>
    <row r="283">
      <c r="A283" s="4" t="inlineStr">
        <is>
          <t>701</t>
        </is>
      </c>
      <c r="B283" s="4" t="n">
        <v>7</v>
      </c>
      <c r="C283" s="4" t="inlineStr">
        <is>
          <t>antelope</t>
        </is>
      </c>
      <c r="D283" s="4" t="n">
        <v>2025</v>
      </c>
      <c r="E283" s="15" t="inlineStr">
        <is>
          <t>Draw</t>
        </is>
      </c>
      <c r="F283" s="5" t="n"/>
      <c r="G283" s="5" t="n"/>
      <c r="H283" s="5" t="n">
        <v>933</v>
      </c>
      <c r="I283" s="5" t="n">
        <v>734</v>
      </c>
      <c r="J283" s="5" t="n">
        <v>192</v>
      </c>
      <c r="K283" s="10">
        <f>IF(F283&gt;0,H283/F283,"")</f>
        <v/>
      </c>
      <c r="L283" s="16">
        <f>IF(AND(G283&gt;0,H283&gt;0),G283/H283,"")</f>
        <v/>
      </c>
    </row>
    <row r="284">
      <c r="A284" s="4" t="inlineStr">
        <is>
          <t>702</t>
        </is>
      </c>
      <c r="B284" s="4" t="n">
        <v>7</v>
      </c>
      <c r="C284" s="4" t="inlineStr">
        <is>
          <t>antelope</t>
        </is>
      </c>
      <c r="D284" s="4" t="n">
        <v>2021</v>
      </c>
      <c r="E284" s="15" t="inlineStr">
        <is>
          <t>Draw</t>
        </is>
      </c>
      <c r="F284" s="5" t="n"/>
      <c r="G284" s="5" t="n"/>
      <c r="H284" s="5" t="n">
        <v>215</v>
      </c>
      <c r="I284" s="5" t="n">
        <v>157</v>
      </c>
      <c r="J284" s="5" t="n">
        <v>58</v>
      </c>
      <c r="K284" s="10">
        <f>IF(F284&gt;0,H284/F284,"")</f>
        <v/>
      </c>
      <c r="L284" s="16">
        <f>IF(AND(G284&gt;0,H284&gt;0),G284/H284,"")</f>
        <v/>
      </c>
    </row>
    <row r="285">
      <c r="A285" s="4" t="inlineStr">
        <is>
          <t>702</t>
        </is>
      </c>
      <c r="B285" s="4" t="n">
        <v>7</v>
      </c>
      <c r="C285" s="4" t="inlineStr">
        <is>
          <t>antelope</t>
        </is>
      </c>
      <c r="D285" s="4" t="n">
        <v>2022</v>
      </c>
      <c r="E285" s="15" t="inlineStr">
        <is>
          <t>Draw</t>
        </is>
      </c>
      <c r="F285" s="5" t="n">
        <v>400</v>
      </c>
      <c r="G285" s="5" t="n">
        <v>1768</v>
      </c>
      <c r="H285" s="5" t="n">
        <v>212</v>
      </c>
      <c r="I285" s="5" t="n">
        <v>173</v>
      </c>
      <c r="J285" s="5" t="n">
        <v>39</v>
      </c>
      <c r="K285" s="10">
        <f>IF(F285&gt;0,H285/F285,"")</f>
        <v/>
      </c>
      <c r="L285" s="16">
        <f>IF(AND(G285&gt;0,H285&gt;0),G285/H285,"")</f>
        <v/>
      </c>
    </row>
    <row r="286">
      <c r="A286" s="4" t="inlineStr">
        <is>
          <t>702</t>
        </is>
      </c>
      <c r="B286" s="4" t="n">
        <v>7</v>
      </c>
      <c r="C286" s="4" t="inlineStr">
        <is>
          <t>antelope</t>
        </is>
      </c>
      <c r="D286" s="4" t="n">
        <v>2023</v>
      </c>
      <c r="E286" s="15" t="inlineStr">
        <is>
          <t>Draw</t>
        </is>
      </c>
      <c r="F286" s="5" t="n"/>
      <c r="G286" s="5" t="n"/>
      <c r="H286" s="5" t="n">
        <v>245</v>
      </c>
      <c r="I286" s="5" t="n">
        <v>209</v>
      </c>
      <c r="J286" s="5" t="n">
        <v>33</v>
      </c>
      <c r="K286" s="10">
        <f>IF(F286&gt;0,H286/F286,"")</f>
        <v/>
      </c>
      <c r="L286" s="16">
        <f>IF(AND(G286&gt;0,H286&gt;0),G286/H286,"")</f>
        <v/>
      </c>
    </row>
    <row r="287">
      <c r="A287" s="4" t="inlineStr">
        <is>
          <t>702</t>
        </is>
      </c>
      <c r="B287" s="4" t="n">
        <v>7</v>
      </c>
      <c r="C287" s="4" t="inlineStr">
        <is>
          <t>antelope</t>
        </is>
      </c>
      <c r="D287" s="4" t="n">
        <v>2024</v>
      </c>
      <c r="E287" s="15" t="inlineStr">
        <is>
          <t>Draw</t>
        </is>
      </c>
      <c r="F287" s="5" t="n">
        <v>549</v>
      </c>
      <c r="G287" s="5" t="n">
        <v>1869</v>
      </c>
      <c r="H287" s="5" t="n">
        <v>331</v>
      </c>
      <c r="I287" s="5" t="n">
        <v>270</v>
      </c>
      <c r="J287" s="5" t="n">
        <v>61</v>
      </c>
      <c r="K287" s="10">
        <f>IF(F287&gt;0,H287/F287,"")</f>
        <v/>
      </c>
      <c r="L287" s="16">
        <f>IF(AND(G287&gt;0,H287&gt;0),G287/H287,"")</f>
        <v/>
      </c>
    </row>
    <row r="288">
      <c r="A288" s="4" t="inlineStr">
        <is>
          <t>702</t>
        </is>
      </c>
      <c r="B288" s="4" t="n">
        <v>7</v>
      </c>
      <c r="C288" s="4" t="inlineStr">
        <is>
          <t>antelope</t>
        </is>
      </c>
      <c r="D288" s="4" t="n">
        <v>2025</v>
      </c>
      <c r="E288" s="15" t="inlineStr">
        <is>
          <t>Draw</t>
        </is>
      </c>
      <c r="F288" s="5" t="n"/>
      <c r="G288" s="5" t="n"/>
      <c r="H288" s="5" t="n">
        <v>331</v>
      </c>
      <c r="I288" s="5" t="n">
        <v>236</v>
      </c>
      <c r="J288" s="5" t="n">
        <v>95</v>
      </c>
      <c r="K288" s="10">
        <f>IF(F288&gt;0,H288/F288,"")</f>
        <v/>
      </c>
      <c r="L288" s="16">
        <f>IF(AND(G288&gt;0,H288&gt;0),G288/H288,"")</f>
        <v/>
      </c>
    </row>
    <row r="289">
      <c r="A289" s="4" t="inlineStr">
        <is>
          <t>703</t>
        </is>
      </c>
      <c r="B289" s="4" t="n">
        <v>7</v>
      </c>
      <c r="C289" s="4" t="inlineStr">
        <is>
          <t>antelope</t>
        </is>
      </c>
      <c r="D289" s="4" t="n">
        <v>2021</v>
      </c>
      <c r="E289" s="15" t="inlineStr">
        <is>
          <t>Draw</t>
        </is>
      </c>
      <c r="F289" s="5" t="n"/>
      <c r="G289" s="5" t="n"/>
      <c r="H289" s="5" t="n">
        <v>430</v>
      </c>
      <c r="I289" s="5" t="n">
        <v>335</v>
      </c>
      <c r="J289" s="5" t="n">
        <v>92</v>
      </c>
      <c r="K289" s="10">
        <f>IF(F289&gt;0,H289/F289,"")</f>
        <v/>
      </c>
      <c r="L289" s="16">
        <f>IF(AND(G289&gt;0,H289&gt;0),G289/H289,"")</f>
        <v/>
      </c>
    </row>
    <row r="290">
      <c r="A290" s="4" t="inlineStr">
        <is>
          <t>703</t>
        </is>
      </c>
      <c r="B290" s="4" t="n">
        <v>7</v>
      </c>
      <c r="C290" s="4" t="inlineStr">
        <is>
          <t>antelope</t>
        </is>
      </c>
      <c r="D290" s="4" t="n">
        <v>2022</v>
      </c>
      <c r="E290" s="15" t="inlineStr">
        <is>
          <t>Draw</t>
        </is>
      </c>
      <c r="F290" s="5" t="n">
        <v>739</v>
      </c>
      <c r="G290" s="5" t="n">
        <v>2741</v>
      </c>
      <c r="H290" s="5" t="n">
        <v>522</v>
      </c>
      <c r="I290" s="5" t="n">
        <v>434</v>
      </c>
      <c r="J290" s="5" t="n">
        <v>88</v>
      </c>
      <c r="K290" s="10">
        <f>IF(F290&gt;0,H290/F290,"")</f>
        <v/>
      </c>
      <c r="L290" s="16">
        <f>IF(AND(G290&gt;0,H290&gt;0),G290/H290,"")</f>
        <v/>
      </c>
    </row>
    <row r="291">
      <c r="A291" s="4" t="inlineStr">
        <is>
          <t>703</t>
        </is>
      </c>
      <c r="B291" s="4" t="n">
        <v>7</v>
      </c>
      <c r="C291" s="4" t="inlineStr">
        <is>
          <t>antelope</t>
        </is>
      </c>
      <c r="D291" s="4" t="n">
        <v>2023</v>
      </c>
      <c r="E291" s="15" t="inlineStr">
        <is>
          <t>Draw</t>
        </is>
      </c>
      <c r="F291" s="5" t="n"/>
      <c r="G291" s="5" t="n"/>
      <c r="H291" s="5" t="n">
        <v>449</v>
      </c>
      <c r="I291" s="5" t="n">
        <v>376</v>
      </c>
      <c r="J291" s="5" t="n">
        <v>72</v>
      </c>
      <c r="K291" s="10">
        <f>IF(F291&gt;0,H291/F291,"")</f>
        <v/>
      </c>
      <c r="L291" s="16">
        <f>IF(AND(G291&gt;0,H291&gt;0),G291/H291,"")</f>
        <v/>
      </c>
    </row>
    <row r="292">
      <c r="A292" s="4" t="inlineStr">
        <is>
          <t>703</t>
        </is>
      </c>
      <c r="B292" s="4" t="n">
        <v>7</v>
      </c>
      <c r="C292" s="4" t="inlineStr">
        <is>
          <t>antelope</t>
        </is>
      </c>
      <c r="D292" s="4" t="n">
        <v>2024</v>
      </c>
      <c r="E292" s="15" t="inlineStr">
        <is>
          <t>Draw</t>
        </is>
      </c>
      <c r="F292" s="5" t="n">
        <v>619</v>
      </c>
      <c r="G292" s="5" t="n">
        <v>2213</v>
      </c>
      <c r="H292" s="5" t="n">
        <v>338</v>
      </c>
      <c r="I292" s="5" t="n">
        <v>274</v>
      </c>
      <c r="J292" s="5" t="n">
        <v>61</v>
      </c>
      <c r="K292" s="10">
        <f>IF(F292&gt;0,H292/F292,"")</f>
        <v/>
      </c>
      <c r="L292" s="16">
        <f>IF(AND(G292&gt;0,H292&gt;0),G292/H292,"")</f>
        <v/>
      </c>
    </row>
    <row r="293">
      <c r="A293" s="4" t="inlineStr">
        <is>
          <t>703</t>
        </is>
      </c>
      <c r="B293" s="4" t="n">
        <v>7</v>
      </c>
      <c r="C293" s="4" t="inlineStr">
        <is>
          <t>antelope</t>
        </is>
      </c>
      <c r="D293" s="4" t="n">
        <v>2025</v>
      </c>
      <c r="E293" s="15" t="inlineStr">
        <is>
          <t>Draw</t>
        </is>
      </c>
      <c r="F293" s="5" t="n"/>
      <c r="G293" s="5" t="n"/>
      <c r="H293" s="5" t="n">
        <v>459</v>
      </c>
      <c r="I293" s="5" t="n">
        <v>357</v>
      </c>
      <c r="J293" s="5" t="n">
        <v>103</v>
      </c>
      <c r="K293" s="10">
        <f>IF(F293&gt;0,H293/F293,"")</f>
        <v/>
      </c>
      <c r="L293" s="16">
        <f>IF(AND(G293&gt;0,H293&gt;0),G293/H293,"")</f>
        <v/>
      </c>
    </row>
    <row r="294">
      <c r="A294" s="4" t="inlineStr">
        <is>
          <t>704</t>
        </is>
      </c>
      <c r="B294" s="4" t="n">
        <v>7</v>
      </c>
      <c r="C294" s="4" t="inlineStr">
        <is>
          <t>antelope</t>
        </is>
      </c>
      <c r="D294" s="4" t="n">
        <v>2021</v>
      </c>
      <c r="E294" s="15" t="inlineStr">
        <is>
          <t>Draw</t>
        </is>
      </c>
      <c r="F294" s="5" t="n"/>
      <c r="G294" s="5" t="n"/>
      <c r="H294" s="5" t="n">
        <v>687</v>
      </c>
      <c r="I294" s="5" t="n">
        <v>456</v>
      </c>
      <c r="J294" s="5" t="n">
        <v>227</v>
      </c>
      <c r="K294" s="10">
        <f>IF(F294&gt;0,H294/F294,"")</f>
        <v/>
      </c>
      <c r="L294" s="16">
        <f>IF(AND(G294&gt;0,H294&gt;0),G294/H294,"")</f>
        <v/>
      </c>
    </row>
    <row r="295">
      <c r="A295" s="4" t="inlineStr">
        <is>
          <t>704</t>
        </is>
      </c>
      <c r="B295" s="4" t="n">
        <v>7</v>
      </c>
      <c r="C295" s="4" t="inlineStr">
        <is>
          <t>antelope</t>
        </is>
      </c>
      <c r="D295" s="4" t="n">
        <v>2022</v>
      </c>
      <c r="E295" s="15" t="inlineStr">
        <is>
          <t>Draw</t>
        </is>
      </c>
      <c r="F295" s="5" t="n">
        <v>987</v>
      </c>
      <c r="G295" s="5" t="n">
        <v>3791</v>
      </c>
      <c r="H295" s="5" t="n">
        <v>753</v>
      </c>
      <c r="I295" s="5" t="n">
        <v>528</v>
      </c>
      <c r="J295" s="5" t="n">
        <v>224</v>
      </c>
      <c r="K295" s="10">
        <f>IF(F295&gt;0,H295/F295,"")</f>
        <v/>
      </c>
      <c r="L295" s="16">
        <f>IF(AND(G295&gt;0,H295&gt;0),G295/H295,"")</f>
        <v/>
      </c>
    </row>
    <row r="296">
      <c r="A296" s="4" t="inlineStr">
        <is>
          <t>704</t>
        </is>
      </c>
      <c r="B296" s="4" t="n">
        <v>7</v>
      </c>
      <c r="C296" s="4" t="inlineStr">
        <is>
          <t>antelope</t>
        </is>
      </c>
      <c r="D296" s="4" t="n">
        <v>2023</v>
      </c>
      <c r="E296" s="15" t="inlineStr">
        <is>
          <t>Draw</t>
        </is>
      </c>
      <c r="F296" s="5" t="n"/>
      <c r="G296" s="5" t="n"/>
      <c r="H296" s="5" t="n">
        <v>879</v>
      </c>
      <c r="I296" s="5" t="n">
        <v>618</v>
      </c>
      <c r="J296" s="5" t="n">
        <v>258</v>
      </c>
      <c r="K296" s="10">
        <f>IF(F296&gt;0,H296/F296,"")</f>
        <v/>
      </c>
      <c r="L296" s="16">
        <f>IF(AND(G296&gt;0,H296&gt;0),G296/H296,"")</f>
        <v/>
      </c>
    </row>
    <row r="297">
      <c r="A297" s="4" t="inlineStr">
        <is>
          <t>704</t>
        </is>
      </c>
      <c r="B297" s="4" t="n">
        <v>7</v>
      </c>
      <c r="C297" s="4" t="inlineStr">
        <is>
          <t>antelope</t>
        </is>
      </c>
      <c r="D297" s="4" t="n">
        <v>2024</v>
      </c>
      <c r="E297" s="15" t="inlineStr">
        <is>
          <t>Draw</t>
        </is>
      </c>
      <c r="F297" s="5" t="n">
        <v>1015</v>
      </c>
      <c r="G297" s="5" t="n">
        <v>3779</v>
      </c>
      <c r="H297" s="5" t="n">
        <v>668</v>
      </c>
      <c r="I297" s="5" t="n">
        <v>507</v>
      </c>
      <c r="J297" s="5" t="n">
        <v>159</v>
      </c>
      <c r="K297" s="10">
        <f>IF(F297&gt;0,H297/F297,"")</f>
        <v/>
      </c>
      <c r="L297" s="16">
        <f>IF(AND(G297&gt;0,H297&gt;0),G297/H297,"")</f>
        <v/>
      </c>
    </row>
    <row r="298">
      <c r="A298" s="4" t="inlineStr">
        <is>
          <t>704</t>
        </is>
      </c>
      <c r="B298" s="4" t="n">
        <v>7</v>
      </c>
      <c r="C298" s="4" t="inlineStr">
        <is>
          <t>antelope</t>
        </is>
      </c>
      <c r="D298" s="4" t="n">
        <v>2025</v>
      </c>
      <c r="E298" s="15" t="inlineStr">
        <is>
          <t>Draw</t>
        </is>
      </c>
      <c r="F298" s="5" t="n"/>
      <c r="G298" s="5" t="n"/>
      <c r="H298" s="5" t="n">
        <v>708</v>
      </c>
      <c r="I298" s="5" t="n">
        <v>538</v>
      </c>
      <c r="J298" s="5" t="n">
        <v>163</v>
      </c>
      <c r="K298" s="10">
        <f>IF(F298&gt;0,H298/F298,"")</f>
        <v/>
      </c>
      <c r="L298" s="16">
        <f>IF(AND(G298&gt;0,H298&gt;0),G298/H298,"")</f>
        <v/>
      </c>
    </row>
    <row r="299">
      <c r="A299" s="4" t="inlineStr">
        <is>
          <t>705</t>
        </is>
      </c>
      <c r="B299" s="4" t="n">
        <v>7</v>
      </c>
      <c r="C299" s="4" t="inlineStr">
        <is>
          <t>antelope</t>
        </is>
      </c>
      <c r="D299" s="4" t="n">
        <v>2021</v>
      </c>
      <c r="E299" s="15" t="inlineStr">
        <is>
          <t>Draw</t>
        </is>
      </c>
      <c r="F299" s="5" t="n"/>
      <c r="G299" s="5" t="n"/>
      <c r="H299" s="5" t="n">
        <v>1135</v>
      </c>
      <c r="I299" s="5" t="n">
        <v>827</v>
      </c>
      <c r="J299" s="5" t="n">
        <v>300</v>
      </c>
      <c r="K299" s="10">
        <f>IF(F299&gt;0,H299/F299,"")</f>
        <v/>
      </c>
      <c r="L299" s="16">
        <f>IF(AND(G299&gt;0,H299&gt;0),G299/H299,"")</f>
        <v/>
      </c>
    </row>
    <row r="300">
      <c r="A300" s="4" t="inlineStr">
        <is>
          <t>705</t>
        </is>
      </c>
      <c r="B300" s="4" t="n">
        <v>7</v>
      </c>
      <c r="C300" s="4" t="inlineStr">
        <is>
          <t>antelope</t>
        </is>
      </c>
      <c r="D300" s="4" t="n">
        <v>2022</v>
      </c>
      <c r="E300" s="15" t="inlineStr">
        <is>
          <t>Draw</t>
        </is>
      </c>
      <c r="F300" s="5" t="n">
        <v>1440</v>
      </c>
      <c r="G300" s="5" t="n">
        <v>6663</v>
      </c>
      <c r="H300" s="5" t="n">
        <v>1255</v>
      </c>
      <c r="I300" s="5" t="n">
        <v>950</v>
      </c>
      <c r="J300" s="5" t="n">
        <v>294</v>
      </c>
      <c r="K300" s="10">
        <f>IF(F300&gt;0,H300/F300,"")</f>
        <v/>
      </c>
      <c r="L300" s="16">
        <f>IF(AND(G300&gt;0,H300&gt;0),G300/H300,"")</f>
        <v/>
      </c>
    </row>
    <row r="301">
      <c r="A301" s="4" t="inlineStr">
        <is>
          <t>705</t>
        </is>
      </c>
      <c r="B301" s="4" t="n">
        <v>7</v>
      </c>
      <c r="C301" s="4" t="inlineStr">
        <is>
          <t>antelope</t>
        </is>
      </c>
      <c r="D301" s="4" t="n">
        <v>2023</v>
      </c>
      <c r="E301" s="15" t="inlineStr">
        <is>
          <t>Draw</t>
        </is>
      </c>
      <c r="F301" s="5" t="n"/>
      <c r="G301" s="5" t="n"/>
      <c r="H301" s="5" t="n">
        <v>1337</v>
      </c>
      <c r="I301" s="5" t="n">
        <v>1001</v>
      </c>
      <c r="J301" s="5" t="n">
        <v>321</v>
      </c>
      <c r="K301" s="10">
        <f>IF(F301&gt;0,H301/F301,"")</f>
        <v/>
      </c>
      <c r="L301" s="16">
        <f>IF(AND(G301&gt;0,H301&gt;0),G301/H301,"")</f>
        <v/>
      </c>
    </row>
    <row r="302">
      <c r="A302" s="4" t="inlineStr">
        <is>
          <t>705</t>
        </is>
      </c>
      <c r="B302" s="4" t="n">
        <v>7</v>
      </c>
      <c r="C302" s="4" t="inlineStr">
        <is>
          <t>antelope</t>
        </is>
      </c>
      <c r="D302" s="4" t="n">
        <v>2024</v>
      </c>
      <c r="E302" s="15" t="inlineStr">
        <is>
          <t>Draw</t>
        </is>
      </c>
      <c r="F302" s="5" t="n">
        <v>1714</v>
      </c>
      <c r="G302" s="5" t="n">
        <v>6345</v>
      </c>
      <c r="H302" s="5" t="n">
        <v>1594</v>
      </c>
      <c r="I302" s="5" t="n">
        <v>1044</v>
      </c>
      <c r="J302" s="5" t="n">
        <v>536</v>
      </c>
      <c r="K302" s="10">
        <f>IF(F302&gt;0,H302/F302,"")</f>
        <v/>
      </c>
      <c r="L302" s="16">
        <f>IF(AND(G302&gt;0,H302&gt;0),G302/H302,"")</f>
        <v/>
      </c>
    </row>
    <row r="303">
      <c r="A303" s="4" t="inlineStr">
        <is>
          <t>705</t>
        </is>
      </c>
      <c r="B303" s="4" t="n">
        <v>7</v>
      </c>
      <c r="C303" s="4" t="inlineStr">
        <is>
          <t>antelope</t>
        </is>
      </c>
      <c r="D303" s="4" t="n">
        <v>2025</v>
      </c>
      <c r="E303" s="15" t="inlineStr">
        <is>
          <t>Draw</t>
        </is>
      </c>
      <c r="F303" s="5" t="n"/>
      <c r="G303" s="5" t="n"/>
      <c r="H303" s="5" t="n">
        <v>2091</v>
      </c>
      <c r="I303" s="5" t="n">
        <v>1224</v>
      </c>
      <c r="J303" s="5" t="n">
        <v>842</v>
      </c>
      <c r="K303" s="10">
        <f>IF(F303&gt;0,H303/F303,"")</f>
        <v/>
      </c>
      <c r="L303" s="16">
        <f>IF(AND(G303&gt;0,H303&gt;0),G303/H303,"")</f>
        <v/>
      </c>
    </row>
    <row r="304">
      <c r="A304" s="4" t="inlineStr">
        <is>
          <t>100</t>
        </is>
      </c>
      <c r="B304" s="4" t="n">
        <v>1</v>
      </c>
      <c r="C304" s="4" t="inlineStr">
        <is>
          <t>elk</t>
        </is>
      </c>
      <c r="D304" s="4" t="n">
        <v>2021</v>
      </c>
      <c r="E304" s="13" t="inlineStr">
        <is>
          <t>General</t>
        </is>
      </c>
      <c r="F304" s="5" t="n"/>
      <c r="G304" s="5" t="n"/>
      <c r="H304" s="5" t="n">
        <v>74</v>
      </c>
      <c r="I304" s="5" t="n">
        <v>59</v>
      </c>
      <c r="J304" s="5" t="n">
        <v>15</v>
      </c>
      <c r="K304" s="10">
        <f>IF(F304&gt;0,H304/F304,"")</f>
        <v/>
      </c>
      <c r="L304" s="16">
        <f>IF(AND(G304&gt;0,H304&gt;0),G304/H304,"")</f>
        <v/>
      </c>
    </row>
    <row r="305">
      <c r="A305" s="4" t="inlineStr">
        <is>
          <t>100</t>
        </is>
      </c>
      <c r="B305" s="4" t="n">
        <v>1</v>
      </c>
      <c r="C305" s="4" t="inlineStr">
        <is>
          <t>elk</t>
        </is>
      </c>
      <c r="D305" s="4" t="n">
        <v>2022</v>
      </c>
      <c r="E305" s="13" t="inlineStr">
        <is>
          <t>General</t>
        </is>
      </c>
      <c r="F305" s="5" t="n">
        <v>1540</v>
      </c>
      <c r="G305" s="5" t="n">
        <v>13075</v>
      </c>
      <c r="H305" s="5" t="n">
        <v>112</v>
      </c>
      <c r="I305" s="5" t="n">
        <v>101</v>
      </c>
      <c r="J305" s="5" t="n">
        <v>11</v>
      </c>
      <c r="K305" s="10">
        <f>IF(F305&gt;0,H305/F305,"")</f>
        <v/>
      </c>
      <c r="L305" s="16">
        <f>IF(AND(G305&gt;0,H305&gt;0),G305/H305,"")</f>
        <v/>
      </c>
    </row>
    <row r="306">
      <c r="A306" s="4" t="inlineStr">
        <is>
          <t>100</t>
        </is>
      </c>
      <c r="B306" s="4" t="n">
        <v>1</v>
      </c>
      <c r="C306" s="4" t="inlineStr">
        <is>
          <t>elk</t>
        </is>
      </c>
      <c r="D306" s="4" t="n">
        <v>2023</v>
      </c>
      <c r="E306" s="13" t="inlineStr">
        <is>
          <t>General</t>
        </is>
      </c>
      <c r="F306" s="5" t="n"/>
      <c r="G306" s="5" t="n"/>
      <c r="H306" s="5" t="n">
        <v>106</v>
      </c>
      <c r="I306" s="5" t="n">
        <v>83</v>
      </c>
      <c r="J306" s="5" t="n">
        <v>23</v>
      </c>
      <c r="K306" s="10">
        <f>IF(F306&gt;0,H306/F306,"")</f>
        <v/>
      </c>
      <c r="L306" s="16">
        <f>IF(AND(G306&gt;0,H306&gt;0),G306/H306,"")</f>
        <v/>
      </c>
    </row>
    <row r="307">
      <c r="A307" s="4" t="inlineStr">
        <is>
          <t>100</t>
        </is>
      </c>
      <c r="B307" s="4" t="n">
        <v>1</v>
      </c>
      <c r="C307" s="4" t="inlineStr">
        <is>
          <t>elk</t>
        </is>
      </c>
      <c r="D307" s="4" t="n">
        <v>2024</v>
      </c>
      <c r="E307" s="13" t="inlineStr">
        <is>
          <t>General</t>
        </is>
      </c>
      <c r="F307" s="5" t="n">
        <v>1536</v>
      </c>
      <c r="G307" s="5" t="n">
        <v>13309</v>
      </c>
      <c r="H307" s="5" t="n">
        <v>84</v>
      </c>
      <c r="I307" s="5" t="n">
        <v>51</v>
      </c>
      <c r="J307" s="5" t="n">
        <v>33</v>
      </c>
      <c r="K307" s="10">
        <f>IF(F307&gt;0,H307/F307,"")</f>
        <v/>
      </c>
      <c r="L307" s="16">
        <f>IF(AND(G307&gt;0,H307&gt;0),G307/H307,"")</f>
        <v/>
      </c>
    </row>
    <row r="308">
      <c r="A308" s="4" t="inlineStr">
        <is>
          <t>100</t>
        </is>
      </c>
      <c r="B308" s="4" t="n">
        <v>1</v>
      </c>
      <c r="C308" s="4" t="inlineStr">
        <is>
          <t>elk</t>
        </is>
      </c>
      <c r="D308" s="4" t="n">
        <v>2025</v>
      </c>
      <c r="E308" s="13" t="inlineStr">
        <is>
          <t>General</t>
        </is>
      </c>
      <c r="F308" s="5" t="n"/>
      <c r="G308" s="5" t="n"/>
      <c r="H308" s="5" t="n">
        <v>103</v>
      </c>
      <c r="I308" s="5" t="n">
        <v>66</v>
      </c>
      <c r="J308" s="5" t="n">
        <v>35</v>
      </c>
      <c r="K308" s="10">
        <f>IF(F308&gt;0,H308/F308,"")</f>
        <v/>
      </c>
      <c r="L308" s="16">
        <f>IF(AND(G308&gt;0,H308&gt;0),G308/H308,"")</f>
        <v/>
      </c>
    </row>
    <row r="309">
      <c r="A309" s="4" t="inlineStr">
        <is>
          <t>101</t>
        </is>
      </c>
      <c r="B309" s="4" t="n">
        <v>1</v>
      </c>
      <c r="C309" s="4" t="inlineStr">
        <is>
          <t>elk</t>
        </is>
      </c>
      <c r="D309" s="4" t="n">
        <v>2021</v>
      </c>
      <c r="E309" s="13" t="inlineStr">
        <is>
          <t>General</t>
        </is>
      </c>
      <c r="F309" s="5" t="n"/>
      <c r="G309" s="5" t="n"/>
      <c r="H309" s="5" t="n">
        <v>53</v>
      </c>
      <c r="I309" s="5" t="n">
        <v>36</v>
      </c>
      <c r="J309" s="5" t="n">
        <v>17</v>
      </c>
      <c r="K309" s="10">
        <f>IF(F309&gt;0,H309/F309,"")</f>
        <v/>
      </c>
      <c r="L309" s="16">
        <f>IF(AND(G309&gt;0,H309&gt;0),G309/H309,"")</f>
        <v/>
      </c>
    </row>
    <row r="310">
      <c r="A310" s="4" t="inlineStr">
        <is>
          <t>101</t>
        </is>
      </c>
      <c r="B310" s="4" t="n">
        <v>1</v>
      </c>
      <c r="C310" s="4" t="inlineStr">
        <is>
          <t>elk</t>
        </is>
      </c>
      <c r="D310" s="4" t="n">
        <v>2022</v>
      </c>
      <c r="E310" s="13" t="inlineStr">
        <is>
          <t>General</t>
        </is>
      </c>
      <c r="F310" s="5" t="n">
        <v>1474</v>
      </c>
      <c r="G310" s="5" t="n">
        <v>11914</v>
      </c>
      <c r="H310" s="5" t="n">
        <v>103</v>
      </c>
      <c r="I310" s="5" t="n">
        <v>70</v>
      </c>
      <c r="J310" s="5" t="n">
        <v>33</v>
      </c>
      <c r="K310" s="10">
        <f>IF(F310&gt;0,H310/F310,"")</f>
        <v/>
      </c>
      <c r="L310" s="16">
        <f>IF(AND(G310&gt;0,H310&gt;0),G310/H310,"")</f>
        <v/>
      </c>
    </row>
    <row r="311">
      <c r="A311" s="4" t="inlineStr">
        <is>
          <t>101</t>
        </is>
      </c>
      <c r="B311" s="4" t="n">
        <v>1</v>
      </c>
      <c r="C311" s="4" t="inlineStr">
        <is>
          <t>elk</t>
        </is>
      </c>
      <c r="D311" s="4" t="n">
        <v>2023</v>
      </c>
      <c r="E311" s="13" t="inlineStr">
        <is>
          <t>General</t>
        </is>
      </c>
      <c r="F311" s="5" t="n"/>
      <c r="G311" s="5" t="n"/>
      <c r="H311" s="5" t="n">
        <v>74</v>
      </c>
      <c r="I311" s="5" t="n">
        <v>59</v>
      </c>
      <c r="J311" s="5" t="n">
        <v>15</v>
      </c>
      <c r="K311" s="10">
        <f>IF(F311&gt;0,H311/F311,"")</f>
        <v/>
      </c>
      <c r="L311" s="16">
        <f>IF(AND(G311&gt;0,H311&gt;0),G311/H311,"")</f>
        <v/>
      </c>
    </row>
    <row r="312">
      <c r="A312" s="4" t="inlineStr">
        <is>
          <t>101</t>
        </is>
      </c>
      <c r="B312" s="4" t="n">
        <v>1</v>
      </c>
      <c r="C312" s="4" t="inlineStr">
        <is>
          <t>elk</t>
        </is>
      </c>
      <c r="D312" s="4" t="n">
        <v>2024</v>
      </c>
      <c r="E312" s="13" t="inlineStr">
        <is>
          <t>General</t>
        </is>
      </c>
      <c r="F312" s="5" t="n">
        <v>1819</v>
      </c>
      <c r="G312" s="5" t="n">
        <v>14444</v>
      </c>
      <c r="H312" s="5" t="n">
        <v>260</v>
      </c>
      <c r="I312" s="5" t="n">
        <v>201</v>
      </c>
      <c r="J312" s="5" t="n">
        <v>60</v>
      </c>
      <c r="K312" s="10">
        <f>IF(F312&gt;0,H312/F312,"")</f>
        <v/>
      </c>
      <c r="L312" s="16">
        <f>IF(AND(G312&gt;0,H312&gt;0),G312/H312,"")</f>
        <v/>
      </c>
    </row>
    <row r="313">
      <c r="A313" s="4" t="inlineStr">
        <is>
          <t>101</t>
        </is>
      </c>
      <c r="B313" s="4" t="n">
        <v>1</v>
      </c>
      <c r="C313" s="4" t="inlineStr">
        <is>
          <t>elk</t>
        </is>
      </c>
      <c r="D313" s="4" t="n">
        <v>2025</v>
      </c>
      <c r="E313" s="13" t="inlineStr">
        <is>
          <t>General</t>
        </is>
      </c>
      <c r="F313" s="5" t="n"/>
      <c r="G313" s="5" t="n"/>
      <c r="H313" s="5" t="n">
        <v>195</v>
      </c>
      <c r="I313" s="5" t="n">
        <v>131</v>
      </c>
      <c r="J313" s="5" t="n">
        <v>64</v>
      </c>
      <c r="K313" s="10">
        <f>IF(F313&gt;0,H313/F313,"")</f>
        <v/>
      </c>
      <c r="L313" s="16">
        <f>IF(AND(G313&gt;0,H313&gt;0),G313/H313,"")</f>
        <v/>
      </c>
    </row>
    <row r="314">
      <c r="A314" s="4" t="inlineStr">
        <is>
          <t>102</t>
        </is>
      </c>
      <c r="B314" s="4" t="n">
        <v>1</v>
      </c>
      <c r="C314" s="4" t="inlineStr">
        <is>
          <t>elk</t>
        </is>
      </c>
      <c r="D314" s="4" t="n">
        <v>2021</v>
      </c>
      <c r="E314" s="4" t="inlineStr"/>
      <c r="F314" s="5" t="n"/>
      <c r="G314" s="5" t="n"/>
      <c r="H314" s="5" t="n">
        <v>29</v>
      </c>
      <c r="I314" s="5" t="n">
        <v>29</v>
      </c>
      <c r="J314" s="5" t="n">
        <v>0</v>
      </c>
      <c r="K314" s="10">
        <f>IF(F314&gt;0,H314/F314,"")</f>
        <v/>
      </c>
      <c r="L314" s="16">
        <f>IF(AND(G314&gt;0,H314&gt;0),G314/H314,"")</f>
        <v/>
      </c>
    </row>
    <row r="315">
      <c r="A315" s="4" t="inlineStr">
        <is>
          <t>103</t>
        </is>
      </c>
      <c r="B315" s="4" t="n">
        <v>1</v>
      </c>
      <c r="C315" s="4" t="inlineStr">
        <is>
          <t>elk</t>
        </is>
      </c>
      <c r="D315" s="4" t="n">
        <v>2021</v>
      </c>
      <c r="E315" s="13" t="inlineStr">
        <is>
          <t>General</t>
        </is>
      </c>
      <c r="F315" s="5" t="n"/>
      <c r="G315" s="5" t="n"/>
      <c r="H315" s="5" t="n">
        <v>88</v>
      </c>
      <c r="I315" s="5" t="n">
        <v>71</v>
      </c>
      <c r="J315" s="5" t="n">
        <v>18</v>
      </c>
      <c r="K315" s="10">
        <f>IF(F315&gt;0,H315/F315,"")</f>
        <v/>
      </c>
      <c r="L315" s="16">
        <f>IF(AND(G315&gt;0,H315&gt;0),G315/H315,"")</f>
        <v/>
      </c>
    </row>
    <row r="316">
      <c r="A316" s="4" t="inlineStr">
        <is>
          <t>103</t>
        </is>
      </c>
      <c r="B316" s="4" t="n">
        <v>1</v>
      </c>
      <c r="C316" s="4" t="inlineStr">
        <is>
          <t>elk</t>
        </is>
      </c>
      <c r="D316" s="4" t="n">
        <v>2022</v>
      </c>
      <c r="E316" s="13" t="inlineStr">
        <is>
          <t>General</t>
        </is>
      </c>
      <c r="F316" s="5" t="n">
        <v>2737</v>
      </c>
      <c r="G316" s="5" t="n">
        <v>22224</v>
      </c>
      <c r="H316" s="5" t="n">
        <v>114</v>
      </c>
      <c r="I316" s="5" t="n">
        <v>75</v>
      </c>
      <c r="J316" s="5" t="n">
        <v>39</v>
      </c>
      <c r="K316" s="10">
        <f>IF(F316&gt;0,H316/F316,"")</f>
        <v/>
      </c>
      <c r="L316" s="16">
        <f>IF(AND(G316&gt;0,H316&gt;0),G316/H316,"")</f>
        <v/>
      </c>
    </row>
    <row r="317">
      <c r="A317" s="4" t="inlineStr">
        <is>
          <t>103</t>
        </is>
      </c>
      <c r="B317" s="4" t="n">
        <v>1</v>
      </c>
      <c r="C317" s="4" t="inlineStr">
        <is>
          <t>elk</t>
        </is>
      </c>
      <c r="D317" s="4" t="n">
        <v>2023</v>
      </c>
      <c r="E317" s="13" t="inlineStr">
        <is>
          <t>General</t>
        </is>
      </c>
      <c r="F317" s="5" t="n"/>
      <c r="G317" s="5" t="n"/>
      <c r="H317" s="5" t="n">
        <v>92</v>
      </c>
      <c r="I317" s="5" t="n">
        <v>57</v>
      </c>
      <c r="J317" s="5" t="n">
        <v>32</v>
      </c>
      <c r="K317" s="10">
        <f>IF(F317&gt;0,H317/F317,"")</f>
        <v/>
      </c>
      <c r="L317" s="16">
        <f>IF(AND(G317&gt;0,H317&gt;0),G317/H317,"")</f>
        <v/>
      </c>
    </row>
    <row r="318">
      <c r="A318" s="4" t="inlineStr">
        <is>
          <t>103</t>
        </is>
      </c>
      <c r="B318" s="4" t="n">
        <v>1</v>
      </c>
      <c r="C318" s="4" t="inlineStr">
        <is>
          <t>elk</t>
        </is>
      </c>
      <c r="D318" s="4" t="n">
        <v>2024</v>
      </c>
      <c r="E318" s="13" t="inlineStr">
        <is>
          <t>General</t>
        </is>
      </c>
      <c r="F318" s="5" t="n">
        <v>3153</v>
      </c>
      <c r="G318" s="5" t="n">
        <v>25444</v>
      </c>
      <c r="H318" s="5" t="n">
        <v>135</v>
      </c>
      <c r="I318" s="5" t="n">
        <v>93</v>
      </c>
      <c r="J318" s="5" t="n">
        <v>42</v>
      </c>
      <c r="K318" s="10">
        <f>IF(F318&gt;0,H318/F318,"")</f>
        <v/>
      </c>
      <c r="L318" s="16">
        <f>IF(AND(G318&gt;0,H318&gt;0),G318/H318,"")</f>
        <v/>
      </c>
    </row>
    <row r="319">
      <c r="A319" s="4" t="inlineStr">
        <is>
          <t>103</t>
        </is>
      </c>
      <c r="B319" s="4" t="n">
        <v>1</v>
      </c>
      <c r="C319" s="4" t="inlineStr">
        <is>
          <t>elk</t>
        </is>
      </c>
      <c r="D319" s="4" t="n">
        <v>2025</v>
      </c>
      <c r="E319" s="13" t="inlineStr">
        <is>
          <t>General</t>
        </is>
      </c>
      <c r="F319" s="5" t="n"/>
      <c r="G319" s="5" t="n"/>
      <c r="H319" s="5" t="n">
        <v>154</v>
      </c>
      <c r="I319" s="5" t="n">
        <v>103</v>
      </c>
      <c r="J319" s="5" t="n">
        <v>47</v>
      </c>
      <c r="K319" s="10">
        <f>IF(F319&gt;0,H319/F319,"")</f>
        <v/>
      </c>
      <c r="L319" s="16">
        <f>IF(AND(G319&gt;0,H319&gt;0),G319/H319,"")</f>
        <v/>
      </c>
    </row>
    <row r="320">
      <c r="A320" s="4" t="inlineStr">
        <is>
          <t>104</t>
        </is>
      </c>
      <c r="B320" s="4" t="n">
        <v>1</v>
      </c>
      <c r="C320" s="4" t="inlineStr">
        <is>
          <t>elk</t>
        </is>
      </c>
      <c r="D320" s="4" t="n">
        <v>2021</v>
      </c>
      <c r="E320" s="13" t="inlineStr">
        <is>
          <t>General</t>
        </is>
      </c>
      <c r="F320" s="5" t="n"/>
      <c r="G320" s="5" t="n"/>
      <c r="H320" s="5" t="n">
        <v>73</v>
      </c>
      <c r="I320" s="5" t="n">
        <v>63</v>
      </c>
      <c r="J320" s="5" t="n">
        <v>10</v>
      </c>
      <c r="K320" s="10">
        <f>IF(F320&gt;0,H320/F320,"")</f>
        <v/>
      </c>
      <c r="L320" s="16">
        <f>IF(AND(G320&gt;0,H320&gt;0),G320/H320,"")</f>
        <v/>
      </c>
    </row>
    <row r="321">
      <c r="A321" s="4" t="inlineStr">
        <is>
          <t>104</t>
        </is>
      </c>
      <c r="B321" s="4" t="n">
        <v>1</v>
      </c>
      <c r="C321" s="4" t="inlineStr">
        <is>
          <t>elk</t>
        </is>
      </c>
      <c r="D321" s="4" t="n">
        <v>2022</v>
      </c>
      <c r="E321" s="13" t="inlineStr">
        <is>
          <t>General</t>
        </is>
      </c>
      <c r="F321" s="5" t="n">
        <v>816</v>
      </c>
      <c r="G321" s="5" t="n">
        <v>6767</v>
      </c>
      <c r="H321" s="5" t="n">
        <v>61</v>
      </c>
      <c r="I321" s="5" t="n">
        <v>39</v>
      </c>
      <c r="J321" s="5" t="n">
        <v>22</v>
      </c>
      <c r="K321" s="10">
        <f>IF(F321&gt;0,H321/F321,"")</f>
        <v/>
      </c>
      <c r="L321" s="16">
        <f>IF(AND(G321&gt;0,H321&gt;0),G321/H321,"")</f>
        <v/>
      </c>
    </row>
    <row r="322">
      <c r="A322" s="4" t="inlineStr">
        <is>
          <t>104</t>
        </is>
      </c>
      <c r="B322" s="4" t="n">
        <v>1</v>
      </c>
      <c r="C322" s="4" t="inlineStr">
        <is>
          <t>elk</t>
        </is>
      </c>
      <c r="D322" s="4" t="n">
        <v>2023</v>
      </c>
      <c r="E322" s="13" t="inlineStr">
        <is>
          <t>General</t>
        </is>
      </c>
      <c r="F322" s="5" t="n"/>
      <c r="G322" s="5" t="n"/>
      <c r="H322" s="5" t="n">
        <v>31</v>
      </c>
      <c r="I322" s="5" t="n">
        <v>24</v>
      </c>
      <c r="J322" s="5" t="n">
        <v>8</v>
      </c>
      <c r="K322" s="10">
        <f>IF(F322&gt;0,H322/F322,"")</f>
        <v/>
      </c>
      <c r="L322" s="16">
        <f>IF(AND(G322&gt;0,H322&gt;0),G322/H322,"")</f>
        <v/>
      </c>
    </row>
    <row r="323">
      <c r="A323" s="4" t="inlineStr">
        <is>
          <t>104</t>
        </is>
      </c>
      <c r="B323" s="4" t="n">
        <v>1</v>
      </c>
      <c r="C323" s="4" t="inlineStr">
        <is>
          <t>elk</t>
        </is>
      </c>
      <c r="D323" s="4" t="n">
        <v>2024</v>
      </c>
      <c r="E323" s="13" t="inlineStr">
        <is>
          <t>General</t>
        </is>
      </c>
      <c r="F323" s="5" t="n">
        <v>1092</v>
      </c>
      <c r="G323" s="5" t="n">
        <v>9884</v>
      </c>
      <c r="H323" s="5" t="n">
        <v>78</v>
      </c>
      <c r="I323" s="5" t="n">
        <v>61</v>
      </c>
      <c r="J323" s="5" t="n">
        <v>18</v>
      </c>
      <c r="K323" s="10">
        <f>IF(F323&gt;0,H323/F323,"")</f>
        <v/>
      </c>
      <c r="L323" s="16">
        <f>IF(AND(G323&gt;0,H323&gt;0),G323/H323,"")</f>
        <v/>
      </c>
    </row>
    <row r="324">
      <c r="A324" s="4" t="inlineStr">
        <is>
          <t>104</t>
        </is>
      </c>
      <c r="B324" s="4" t="n">
        <v>1</v>
      </c>
      <c r="C324" s="4" t="inlineStr">
        <is>
          <t>elk</t>
        </is>
      </c>
      <c r="D324" s="4" t="n">
        <v>2025</v>
      </c>
      <c r="E324" s="13" t="inlineStr">
        <is>
          <t>General</t>
        </is>
      </c>
      <c r="F324" s="5" t="n"/>
      <c r="G324" s="5" t="n"/>
      <c r="H324" s="5" t="n">
        <v>91</v>
      </c>
      <c r="I324" s="5" t="n">
        <v>74</v>
      </c>
      <c r="J324" s="5" t="n">
        <v>17</v>
      </c>
      <c r="K324" s="10">
        <f>IF(F324&gt;0,H324/F324,"")</f>
        <v/>
      </c>
      <c r="L324" s="16">
        <f>IF(AND(G324&gt;0,H324&gt;0),G324/H324,"")</f>
        <v/>
      </c>
    </row>
    <row r="325">
      <c r="A325" s="4" t="inlineStr">
        <is>
          <t>109</t>
        </is>
      </c>
      <c r="B325" s="4" t="n">
        <v>1</v>
      </c>
      <c r="C325" s="4" t="inlineStr">
        <is>
          <t>elk</t>
        </is>
      </c>
      <c r="D325" s="4" t="n">
        <v>2021</v>
      </c>
      <c r="E325" s="4" t="inlineStr"/>
      <c r="F325" s="5" t="n"/>
      <c r="G325" s="5" t="n"/>
      <c r="H325" s="5" t="n">
        <v>28</v>
      </c>
      <c r="I325" s="5" t="n">
        <v>16</v>
      </c>
      <c r="J325" s="5" t="n">
        <v>12</v>
      </c>
      <c r="K325" s="10">
        <f>IF(F325&gt;0,H325/F325,"")</f>
        <v/>
      </c>
      <c r="L325" s="16">
        <f>IF(AND(G325&gt;0,H325&gt;0),G325/H325,"")</f>
        <v/>
      </c>
    </row>
    <row r="326">
      <c r="A326" s="4" t="inlineStr">
        <is>
          <t>110</t>
        </is>
      </c>
      <c r="B326" s="4" t="n">
        <v>1</v>
      </c>
      <c r="C326" s="4" t="inlineStr">
        <is>
          <t>elk</t>
        </is>
      </c>
      <c r="D326" s="4" t="n">
        <v>2021</v>
      </c>
      <c r="E326" s="13" t="inlineStr">
        <is>
          <t>General</t>
        </is>
      </c>
      <c r="F326" s="5" t="n"/>
      <c r="G326" s="5" t="n"/>
      <c r="H326" s="5" t="n">
        <v>27</v>
      </c>
      <c r="I326" s="5" t="n">
        <v>19</v>
      </c>
      <c r="J326" s="5" t="n">
        <v>8</v>
      </c>
      <c r="K326" s="10">
        <f>IF(F326&gt;0,H326/F326,"")</f>
        <v/>
      </c>
      <c r="L326" s="16">
        <f>IF(AND(G326&gt;0,H326&gt;0),G326/H326,"")</f>
        <v/>
      </c>
    </row>
    <row r="327">
      <c r="A327" s="4" t="inlineStr">
        <is>
          <t>110</t>
        </is>
      </c>
      <c r="B327" s="4" t="n">
        <v>1</v>
      </c>
      <c r="C327" s="4" t="inlineStr">
        <is>
          <t>elk</t>
        </is>
      </c>
      <c r="D327" s="4" t="n">
        <v>2022</v>
      </c>
      <c r="E327" s="13" t="inlineStr">
        <is>
          <t>General</t>
        </is>
      </c>
      <c r="F327" s="5" t="n">
        <v>685</v>
      </c>
      <c r="G327" s="5" t="n">
        <v>5280</v>
      </c>
      <c r="H327" s="5" t="n">
        <v>42</v>
      </c>
      <c r="I327" s="5" t="n">
        <v>33</v>
      </c>
      <c r="J327" s="5" t="n">
        <v>7</v>
      </c>
      <c r="K327" s="10">
        <f>IF(F327&gt;0,H327/F327,"")</f>
        <v/>
      </c>
      <c r="L327" s="16">
        <f>IF(AND(G327&gt;0,H327&gt;0),G327/H327,"")</f>
        <v/>
      </c>
    </row>
    <row r="328">
      <c r="A328" s="4" t="inlineStr">
        <is>
          <t>110</t>
        </is>
      </c>
      <c r="B328" s="4" t="n">
        <v>1</v>
      </c>
      <c r="C328" s="4" t="inlineStr">
        <is>
          <t>elk</t>
        </is>
      </c>
      <c r="D328" s="4" t="n">
        <v>2023</v>
      </c>
      <c r="E328" s="13" t="inlineStr">
        <is>
          <t>General</t>
        </is>
      </c>
      <c r="F328" s="5" t="n"/>
      <c r="G328" s="5" t="n"/>
      <c r="H328" s="5" t="n">
        <v>24</v>
      </c>
      <c r="I328" s="5" t="n">
        <v>18</v>
      </c>
      <c r="J328" s="5" t="n">
        <v>6</v>
      </c>
      <c r="K328" s="10">
        <f>IF(F328&gt;0,H328/F328,"")</f>
        <v/>
      </c>
      <c r="L328" s="16">
        <f>IF(AND(G328&gt;0,H328&gt;0),G328/H328,"")</f>
        <v/>
      </c>
    </row>
    <row r="329">
      <c r="A329" s="4" t="inlineStr">
        <is>
          <t>110</t>
        </is>
      </c>
      <c r="B329" s="4" t="n">
        <v>1</v>
      </c>
      <c r="C329" s="4" t="inlineStr">
        <is>
          <t>elk</t>
        </is>
      </c>
      <c r="D329" s="4" t="n">
        <v>2024</v>
      </c>
      <c r="E329" s="13" t="inlineStr">
        <is>
          <t>General</t>
        </is>
      </c>
      <c r="F329" s="5" t="n">
        <v>808</v>
      </c>
      <c r="G329" s="5" t="n">
        <v>6099</v>
      </c>
      <c r="H329" s="5" t="n">
        <v>52</v>
      </c>
      <c r="I329" s="5" t="n">
        <v>49</v>
      </c>
      <c r="J329" s="5" t="n">
        <v>3</v>
      </c>
      <c r="K329" s="10">
        <f>IF(F329&gt;0,H329/F329,"")</f>
        <v/>
      </c>
      <c r="L329" s="16">
        <f>IF(AND(G329&gt;0,H329&gt;0),G329/H329,"")</f>
        <v/>
      </c>
    </row>
    <row r="330">
      <c r="A330" s="4" t="inlineStr">
        <is>
          <t>110</t>
        </is>
      </c>
      <c r="B330" s="4" t="n">
        <v>1</v>
      </c>
      <c r="C330" s="4" t="inlineStr">
        <is>
          <t>elk</t>
        </is>
      </c>
      <c r="D330" s="4" t="n">
        <v>2025</v>
      </c>
      <c r="E330" s="13" t="inlineStr">
        <is>
          <t>General</t>
        </is>
      </c>
      <c r="F330" s="5" t="n"/>
      <c r="G330" s="5" t="n"/>
      <c r="H330" s="5" t="n">
        <v>40</v>
      </c>
      <c r="I330" s="5" t="n">
        <v>40</v>
      </c>
      <c r="J330" s="5" t="n">
        <v>0</v>
      </c>
      <c r="K330" s="10">
        <f>IF(F330&gt;0,H330/F330,"")</f>
        <v/>
      </c>
      <c r="L330" s="16">
        <f>IF(AND(G330&gt;0,H330&gt;0),G330/H330,"")</f>
        <v/>
      </c>
    </row>
    <row r="331">
      <c r="A331" s="4" t="inlineStr">
        <is>
          <t>120</t>
        </is>
      </c>
      <c r="B331" s="4" t="n">
        <v>1</v>
      </c>
      <c r="C331" s="4" t="inlineStr">
        <is>
          <t>elk</t>
        </is>
      </c>
      <c r="D331" s="4" t="n">
        <v>2021</v>
      </c>
      <c r="E331" s="13" t="inlineStr">
        <is>
          <t>General</t>
        </is>
      </c>
      <c r="F331" s="5" t="n"/>
      <c r="G331" s="5" t="n"/>
      <c r="H331" s="5" t="n">
        <v>36</v>
      </c>
      <c r="I331" s="5" t="n">
        <v>35</v>
      </c>
      <c r="J331" s="5" t="n">
        <v>1</v>
      </c>
      <c r="K331" s="10">
        <f>IF(F331&gt;0,H331/F331,"")</f>
        <v/>
      </c>
      <c r="L331" s="16">
        <f>IF(AND(G331&gt;0,H331&gt;0),G331/H331,"")</f>
        <v/>
      </c>
    </row>
    <row r="332">
      <c r="A332" s="4" t="inlineStr">
        <is>
          <t>120</t>
        </is>
      </c>
      <c r="B332" s="4" t="n">
        <v>1</v>
      </c>
      <c r="C332" s="4" t="inlineStr">
        <is>
          <t>elk</t>
        </is>
      </c>
      <c r="D332" s="4" t="n">
        <v>2022</v>
      </c>
      <c r="E332" s="13" t="inlineStr">
        <is>
          <t>General</t>
        </is>
      </c>
      <c r="F332" s="5" t="n">
        <v>1075</v>
      </c>
      <c r="G332" s="5" t="n">
        <v>7386</v>
      </c>
      <c r="H332" s="5" t="n">
        <v>48</v>
      </c>
      <c r="I332" s="5" t="n">
        <v>48</v>
      </c>
      <c r="J332" s="5" t="n">
        <v>0</v>
      </c>
      <c r="K332" s="10">
        <f>IF(F332&gt;0,H332/F332,"")</f>
        <v/>
      </c>
      <c r="L332" s="16">
        <f>IF(AND(G332&gt;0,H332&gt;0),G332/H332,"")</f>
        <v/>
      </c>
    </row>
    <row r="333">
      <c r="A333" s="4" t="inlineStr">
        <is>
          <t>120</t>
        </is>
      </c>
      <c r="B333" s="4" t="n">
        <v>1</v>
      </c>
      <c r="C333" s="4" t="inlineStr">
        <is>
          <t>elk</t>
        </is>
      </c>
      <c r="D333" s="4" t="n">
        <v>2023</v>
      </c>
      <c r="E333" s="13" t="inlineStr">
        <is>
          <t>General</t>
        </is>
      </c>
      <c r="F333" s="5" t="n"/>
      <c r="G333" s="5" t="n"/>
      <c r="H333" s="5" t="n">
        <v>75</v>
      </c>
      <c r="I333" s="5" t="n">
        <v>66</v>
      </c>
      <c r="J333" s="5" t="n">
        <v>6</v>
      </c>
      <c r="K333" s="10">
        <f>IF(F333&gt;0,H333/F333,"")</f>
        <v/>
      </c>
      <c r="L333" s="16">
        <f>IF(AND(G333&gt;0,H333&gt;0),G333/H333,"")</f>
        <v/>
      </c>
    </row>
    <row r="334">
      <c r="A334" s="4" t="inlineStr">
        <is>
          <t>120</t>
        </is>
      </c>
      <c r="B334" s="4" t="n">
        <v>1</v>
      </c>
      <c r="C334" s="4" t="inlineStr">
        <is>
          <t>elk</t>
        </is>
      </c>
      <c r="D334" s="4" t="n">
        <v>2024</v>
      </c>
      <c r="E334" s="13" t="inlineStr">
        <is>
          <t>General</t>
        </is>
      </c>
      <c r="F334" s="5" t="n">
        <v>1167</v>
      </c>
      <c r="G334" s="5" t="n">
        <v>8418</v>
      </c>
      <c r="H334" s="5" t="n">
        <v>49</v>
      </c>
      <c r="I334" s="5" t="n">
        <v>42</v>
      </c>
      <c r="J334" s="5" t="n">
        <v>6</v>
      </c>
      <c r="K334" s="10">
        <f>IF(F334&gt;0,H334/F334,"")</f>
        <v/>
      </c>
      <c r="L334" s="16">
        <f>IF(AND(G334&gt;0,H334&gt;0),G334/H334,"")</f>
        <v/>
      </c>
    </row>
    <row r="335">
      <c r="A335" s="4" t="inlineStr">
        <is>
          <t>120</t>
        </is>
      </c>
      <c r="B335" s="4" t="n">
        <v>1</v>
      </c>
      <c r="C335" s="4" t="inlineStr">
        <is>
          <t>elk</t>
        </is>
      </c>
      <c r="D335" s="4" t="n">
        <v>2025</v>
      </c>
      <c r="E335" s="13" t="inlineStr">
        <is>
          <t>General</t>
        </is>
      </c>
      <c r="F335" s="5" t="n"/>
      <c r="G335" s="5" t="n"/>
      <c r="H335" s="5" t="n">
        <v>66</v>
      </c>
      <c r="I335" s="5" t="n">
        <v>63</v>
      </c>
      <c r="J335" s="5" t="n">
        <v>4</v>
      </c>
      <c r="K335" s="10">
        <f>IF(F335&gt;0,H335/F335,"")</f>
        <v/>
      </c>
      <c r="L335" s="16">
        <f>IF(AND(G335&gt;0,H335&gt;0),G335/H335,"")</f>
        <v/>
      </c>
    </row>
    <row r="336">
      <c r="A336" s="4" t="inlineStr">
        <is>
          <t>121</t>
        </is>
      </c>
      <c r="B336" s="4" t="n">
        <v>1</v>
      </c>
      <c r="C336" s="4" t="inlineStr">
        <is>
          <t>elk</t>
        </is>
      </c>
      <c r="D336" s="4" t="n">
        <v>2021</v>
      </c>
      <c r="E336" s="13" t="inlineStr">
        <is>
          <t>General</t>
        </is>
      </c>
      <c r="F336" s="5" t="n"/>
      <c r="G336" s="5" t="n"/>
      <c r="H336" s="5" t="n">
        <v>216</v>
      </c>
      <c r="I336" s="5" t="n">
        <v>157</v>
      </c>
      <c r="J336" s="5" t="n">
        <v>57</v>
      </c>
      <c r="K336" s="10">
        <f>IF(F336&gt;0,H336/F336,"")</f>
        <v/>
      </c>
      <c r="L336" s="16">
        <f>IF(AND(G336&gt;0,H336&gt;0),G336/H336,"")</f>
        <v/>
      </c>
    </row>
    <row r="337">
      <c r="A337" s="4" t="inlineStr">
        <is>
          <t>121</t>
        </is>
      </c>
      <c r="B337" s="4" t="n">
        <v>1</v>
      </c>
      <c r="C337" s="4" t="inlineStr">
        <is>
          <t>elk</t>
        </is>
      </c>
      <c r="D337" s="4" t="n">
        <v>2022</v>
      </c>
      <c r="E337" s="13" t="inlineStr">
        <is>
          <t>General</t>
        </is>
      </c>
      <c r="F337" s="5" t="n">
        <v>1964</v>
      </c>
      <c r="G337" s="5" t="n">
        <v>16562</v>
      </c>
      <c r="H337" s="5" t="n">
        <v>171</v>
      </c>
      <c r="I337" s="5" t="n">
        <v>144</v>
      </c>
      <c r="J337" s="5" t="n">
        <v>27</v>
      </c>
      <c r="K337" s="10">
        <f>IF(F337&gt;0,H337/F337,"")</f>
        <v/>
      </c>
      <c r="L337" s="16">
        <f>IF(AND(G337&gt;0,H337&gt;0),G337/H337,"")</f>
        <v/>
      </c>
    </row>
    <row r="338">
      <c r="A338" s="4" t="inlineStr">
        <is>
          <t>121</t>
        </is>
      </c>
      <c r="B338" s="4" t="n">
        <v>1</v>
      </c>
      <c r="C338" s="4" t="inlineStr">
        <is>
          <t>elk</t>
        </is>
      </c>
      <c r="D338" s="4" t="n">
        <v>2023</v>
      </c>
      <c r="E338" s="13" t="inlineStr">
        <is>
          <t>General</t>
        </is>
      </c>
      <c r="F338" s="5" t="n"/>
      <c r="G338" s="5" t="n"/>
      <c r="H338" s="5" t="n">
        <v>226</v>
      </c>
      <c r="I338" s="5" t="n">
        <v>145</v>
      </c>
      <c r="J338" s="5" t="n">
        <v>76</v>
      </c>
      <c r="K338" s="10">
        <f>IF(F338&gt;0,H338/F338,"")</f>
        <v/>
      </c>
      <c r="L338" s="16">
        <f>IF(AND(G338&gt;0,H338&gt;0),G338/H338,"")</f>
        <v/>
      </c>
    </row>
    <row r="339">
      <c r="A339" s="4" t="inlineStr">
        <is>
          <t>121</t>
        </is>
      </c>
      <c r="B339" s="4" t="n">
        <v>1</v>
      </c>
      <c r="C339" s="4" t="inlineStr">
        <is>
          <t>elk</t>
        </is>
      </c>
      <c r="D339" s="4" t="n">
        <v>2024</v>
      </c>
      <c r="E339" s="13" t="inlineStr">
        <is>
          <t>General</t>
        </is>
      </c>
      <c r="F339" s="5" t="n">
        <v>2041</v>
      </c>
      <c r="G339" s="5" t="n">
        <v>17685</v>
      </c>
      <c r="H339" s="5" t="n">
        <v>246</v>
      </c>
      <c r="I339" s="5" t="n">
        <v>154</v>
      </c>
      <c r="J339" s="5" t="n">
        <v>88</v>
      </c>
      <c r="K339" s="10">
        <f>IF(F339&gt;0,H339/F339,"")</f>
        <v/>
      </c>
      <c r="L339" s="16">
        <f>IF(AND(G339&gt;0,H339&gt;0),G339/H339,"")</f>
        <v/>
      </c>
    </row>
    <row r="340">
      <c r="A340" s="4" t="inlineStr">
        <is>
          <t>121</t>
        </is>
      </c>
      <c r="B340" s="4" t="n">
        <v>1</v>
      </c>
      <c r="C340" s="4" t="inlineStr">
        <is>
          <t>elk</t>
        </is>
      </c>
      <c r="D340" s="4" t="n">
        <v>2025</v>
      </c>
      <c r="E340" s="13" t="inlineStr">
        <is>
          <t>General</t>
        </is>
      </c>
      <c r="F340" s="5" t="n"/>
      <c r="G340" s="5" t="n"/>
      <c r="H340" s="5" t="n">
        <v>237</v>
      </c>
      <c r="I340" s="5" t="n">
        <v>141</v>
      </c>
      <c r="J340" s="5" t="n">
        <v>92</v>
      </c>
      <c r="K340" s="10">
        <f>IF(F340&gt;0,H340/F340,"")</f>
        <v/>
      </c>
      <c r="L340" s="16">
        <f>IF(AND(G340&gt;0,H340&gt;0),G340/H340,"")</f>
        <v/>
      </c>
    </row>
    <row r="341">
      <c r="A341" s="4" t="inlineStr">
        <is>
          <t>122</t>
        </is>
      </c>
      <c r="B341" s="4" t="n">
        <v>1</v>
      </c>
      <c r="C341" s="4" t="inlineStr">
        <is>
          <t>elk</t>
        </is>
      </c>
      <c r="D341" s="4" t="n">
        <v>2021</v>
      </c>
      <c r="E341" s="13" t="inlineStr">
        <is>
          <t>General</t>
        </is>
      </c>
      <c r="F341" s="5" t="n"/>
      <c r="G341" s="5" t="n"/>
      <c r="H341" s="5" t="n">
        <v>65</v>
      </c>
      <c r="I341" s="5" t="n">
        <v>57</v>
      </c>
      <c r="J341" s="5" t="n">
        <v>6</v>
      </c>
      <c r="K341" s="10">
        <f>IF(F341&gt;0,H341/F341,"")</f>
        <v/>
      </c>
      <c r="L341" s="16">
        <f>IF(AND(G341&gt;0,H341&gt;0),G341/H341,"")</f>
        <v/>
      </c>
    </row>
    <row r="342">
      <c r="A342" s="4" t="inlineStr">
        <is>
          <t>122</t>
        </is>
      </c>
      <c r="B342" s="4" t="n">
        <v>1</v>
      </c>
      <c r="C342" s="4" t="inlineStr">
        <is>
          <t>elk</t>
        </is>
      </c>
      <c r="D342" s="4" t="n">
        <v>2022</v>
      </c>
      <c r="E342" s="13" t="inlineStr">
        <is>
          <t>General</t>
        </is>
      </c>
      <c r="F342" s="5" t="n">
        <v>1433</v>
      </c>
      <c r="G342" s="5" t="n">
        <v>11606</v>
      </c>
      <c r="H342" s="5" t="n">
        <v>85</v>
      </c>
      <c r="I342" s="5" t="n">
        <v>70</v>
      </c>
      <c r="J342" s="5" t="n">
        <v>15</v>
      </c>
      <c r="K342" s="10">
        <f>IF(F342&gt;0,H342/F342,"")</f>
        <v/>
      </c>
      <c r="L342" s="16">
        <f>IF(AND(G342&gt;0,H342&gt;0),G342/H342,"")</f>
        <v/>
      </c>
    </row>
    <row r="343">
      <c r="A343" s="4" t="inlineStr">
        <is>
          <t>122</t>
        </is>
      </c>
      <c r="B343" s="4" t="n">
        <v>1</v>
      </c>
      <c r="C343" s="4" t="inlineStr">
        <is>
          <t>elk</t>
        </is>
      </c>
      <c r="D343" s="4" t="n">
        <v>2023</v>
      </c>
      <c r="E343" s="13" t="inlineStr">
        <is>
          <t>General</t>
        </is>
      </c>
      <c r="F343" s="5" t="n"/>
      <c r="G343" s="5" t="n"/>
      <c r="H343" s="5" t="n">
        <v>93</v>
      </c>
      <c r="I343" s="5" t="n">
        <v>79</v>
      </c>
      <c r="J343" s="5" t="n">
        <v>14</v>
      </c>
      <c r="K343" s="10">
        <f>IF(F343&gt;0,H343/F343,"")</f>
        <v/>
      </c>
      <c r="L343" s="16">
        <f>IF(AND(G343&gt;0,H343&gt;0),G343/H343,"")</f>
        <v/>
      </c>
    </row>
    <row r="344">
      <c r="A344" s="4" t="inlineStr">
        <is>
          <t>122</t>
        </is>
      </c>
      <c r="B344" s="4" t="n">
        <v>1</v>
      </c>
      <c r="C344" s="4" t="inlineStr">
        <is>
          <t>elk</t>
        </is>
      </c>
      <c r="D344" s="4" t="n">
        <v>2024</v>
      </c>
      <c r="E344" s="13" t="inlineStr">
        <is>
          <t>General</t>
        </is>
      </c>
      <c r="F344" s="5" t="n">
        <v>1684</v>
      </c>
      <c r="G344" s="5" t="n">
        <v>14383</v>
      </c>
      <c r="H344" s="5" t="n">
        <v>104</v>
      </c>
      <c r="I344" s="5" t="n">
        <v>75</v>
      </c>
      <c r="J344" s="5" t="n">
        <v>29</v>
      </c>
      <c r="K344" s="10">
        <f>IF(F344&gt;0,H344/F344,"")</f>
        <v/>
      </c>
      <c r="L344" s="16">
        <f>IF(AND(G344&gt;0,H344&gt;0),G344/H344,"")</f>
        <v/>
      </c>
    </row>
    <row r="345">
      <c r="A345" s="4" t="inlineStr">
        <is>
          <t>122</t>
        </is>
      </c>
      <c r="B345" s="4" t="n">
        <v>1</v>
      </c>
      <c r="C345" s="4" t="inlineStr">
        <is>
          <t>elk</t>
        </is>
      </c>
      <c r="D345" s="4" t="n">
        <v>2025</v>
      </c>
      <c r="E345" s="13" t="inlineStr">
        <is>
          <t>General</t>
        </is>
      </c>
      <c r="F345" s="5" t="n"/>
      <c r="G345" s="5" t="n"/>
      <c r="H345" s="5" t="n">
        <v>135</v>
      </c>
      <c r="I345" s="5" t="n">
        <v>92</v>
      </c>
      <c r="J345" s="5" t="n">
        <v>41</v>
      </c>
      <c r="K345" s="10">
        <f>IF(F345&gt;0,H345/F345,"")</f>
        <v/>
      </c>
      <c r="L345" s="16">
        <f>IF(AND(G345&gt;0,H345&gt;0),G345/H345,"")</f>
        <v/>
      </c>
    </row>
    <row r="346">
      <c r="A346" s="4" t="inlineStr">
        <is>
          <t>123</t>
        </is>
      </c>
      <c r="B346" s="4" t="n">
        <v>1</v>
      </c>
      <c r="C346" s="4" t="inlineStr">
        <is>
          <t>elk</t>
        </is>
      </c>
      <c r="D346" s="4" t="n">
        <v>2021</v>
      </c>
      <c r="E346" s="13" t="inlineStr">
        <is>
          <t>General</t>
        </is>
      </c>
      <c r="F346" s="5" t="n"/>
      <c r="G346" s="5" t="n"/>
      <c r="H346" s="5" t="n">
        <v>44</v>
      </c>
      <c r="I346" s="5" t="n">
        <v>19</v>
      </c>
      <c r="J346" s="5" t="n">
        <v>25</v>
      </c>
      <c r="K346" s="10">
        <f>IF(F346&gt;0,H346/F346,"")</f>
        <v/>
      </c>
      <c r="L346" s="16">
        <f>IF(AND(G346&gt;0,H346&gt;0),G346/H346,"")</f>
        <v/>
      </c>
    </row>
    <row r="347">
      <c r="A347" s="4" t="inlineStr">
        <is>
          <t>123</t>
        </is>
      </c>
      <c r="B347" s="4" t="n">
        <v>1</v>
      </c>
      <c r="C347" s="4" t="inlineStr">
        <is>
          <t>elk</t>
        </is>
      </c>
      <c r="D347" s="4" t="n">
        <v>2022</v>
      </c>
      <c r="E347" s="13" t="inlineStr">
        <is>
          <t>General</t>
        </is>
      </c>
      <c r="F347" s="5" t="n">
        <v>509</v>
      </c>
      <c r="G347" s="5" t="n">
        <v>4045</v>
      </c>
      <c r="H347" s="5" t="n">
        <v>43</v>
      </c>
      <c r="I347" s="5" t="n">
        <v>19</v>
      </c>
      <c r="J347" s="5" t="n">
        <v>24</v>
      </c>
      <c r="K347" s="10">
        <f>IF(F347&gt;0,H347/F347,"")</f>
        <v/>
      </c>
      <c r="L347" s="16">
        <f>IF(AND(G347&gt;0,H347&gt;0),G347/H347,"")</f>
        <v/>
      </c>
    </row>
    <row r="348">
      <c r="A348" s="4" t="inlineStr">
        <is>
          <t>123</t>
        </is>
      </c>
      <c r="B348" s="4" t="n">
        <v>1</v>
      </c>
      <c r="C348" s="4" t="inlineStr">
        <is>
          <t>elk</t>
        </is>
      </c>
      <c r="D348" s="4" t="n">
        <v>2023</v>
      </c>
      <c r="E348" s="13" t="inlineStr">
        <is>
          <t>General</t>
        </is>
      </c>
      <c r="F348" s="5" t="n"/>
      <c r="G348" s="5" t="n"/>
      <c r="H348" s="5" t="n">
        <v>38</v>
      </c>
      <c r="I348" s="5" t="n">
        <v>24</v>
      </c>
      <c r="J348" s="5" t="n">
        <v>15</v>
      </c>
      <c r="K348" s="10">
        <f>IF(F348&gt;0,H348/F348,"")</f>
        <v/>
      </c>
      <c r="L348" s="16">
        <f>IF(AND(G348&gt;0,H348&gt;0),G348/H348,"")</f>
        <v/>
      </c>
    </row>
    <row r="349">
      <c r="A349" s="4" t="inlineStr">
        <is>
          <t>123</t>
        </is>
      </c>
      <c r="B349" s="4" t="n">
        <v>1</v>
      </c>
      <c r="C349" s="4" t="inlineStr">
        <is>
          <t>elk</t>
        </is>
      </c>
      <c r="D349" s="4" t="n">
        <v>2024</v>
      </c>
      <c r="E349" s="13" t="inlineStr">
        <is>
          <t>General</t>
        </is>
      </c>
      <c r="F349" s="5" t="n">
        <v>521</v>
      </c>
      <c r="G349" s="5" t="n">
        <v>4485</v>
      </c>
      <c r="H349" s="5" t="n">
        <v>40</v>
      </c>
      <c r="I349" s="5" t="n">
        <v>39</v>
      </c>
      <c r="J349" s="5" t="n">
        <v>2</v>
      </c>
      <c r="K349" s="10">
        <f>IF(F349&gt;0,H349/F349,"")</f>
        <v/>
      </c>
      <c r="L349" s="16">
        <f>IF(AND(G349&gt;0,H349&gt;0),G349/H349,"")</f>
        <v/>
      </c>
    </row>
    <row r="350">
      <c r="A350" s="4" t="inlineStr">
        <is>
          <t>123</t>
        </is>
      </c>
      <c r="B350" s="4" t="n">
        <v>1</v>
      </c>
      <c r="C350" s="4" t="inlineStr">
        <is>
          <t>elk</t>
        </is>
      </c>
      <c r="D350" s="4" t="n">
        <v>2025</v>
      </c>
      <c r="E350" s="13" t="inlineStr">
        <is>
          <t>General</t>
        </is>
      </c>
      <c r="F350" s="5" t="n"/>
      <c r="G350" s="5" t="n"/>
      <c r="H350" s="5" t="n">
        <v>34</v>
      </c>
      <c r="I350" s="5" t="n">
        <v>12</v>
      </c>
      <c r="J350" s="5" t="n">
        <v>22</v>
      </c>
      <c r="K350" s="10">
        <f>IF(F350&gt;0,H350/F350,"")</f>
        <v/>
      </c>
      <c r="L350" s="16">
        <f>IF(AND(G350&gt;0,H350&gt;0),G350/H350,"")</f>
        <v/>
      </c>
    </row>
    <row r="351">
      <c r="A351" s="4" t="inlineStr">
        <is>
          <t>124</t>
        </is>
      </c>
      <c r="B351" s="4" t="n">
        <v>1</v>
      </c>
      <c r="C351" s="4" t="inlineStr">
        <is>
          <t>elk</t>
        </is>
      </c>
      <c r="D351" s="4" t="n">
        <v>2021</v>
      </c>
      <c r="E351" s="13" t="inlineStr">
        <is>
          <t>General</t>
        </is>
      </c>
      <c r="F351" s="5" t="n"/>
      <c r="G351" s="5" t="n"/>
      <c r="H351" s="5" t="n">
        <v>26</v>
      </c>
      <c r="I351" s="5" t="n">
        <v>8</v>
      </c>
      <c r="J351" s="5" t="n">
        <v>18</v>
      </c>
      <c r="K351" s="10">
        <f>IF(F351&gt;0,H351/F351,"")</f>
        <v/>
      </c>
      <c r="L351" s="16">
        <f>IF(AND(G351&gt;0,H351&gt;0),G351/H351,"")</f>
        <v/>
      </c>
    </row>
    <row r="352">
      <c r="A352" s="4" t="inlineStr">
        <is>
          <t>124</t>
        </is>
      </c>
      <c r="B352" s="4" t="n">
        <v>1</v>
      </c>
      <c r="C352" s="4" t="inlineStr">
        <is>
          <t>elk</t>
        </is>
      </c>
      <c r="D352" s="4" t="n">
        <v>2022</v>
      </c>
      <c r="E352" s="13" t="inlineStr">
        <is>
          <t>General</t>
        </is>
      </c>
      <c r="F352" s="5" t="n">
        <v>268</v>
      </c>
      <c r="G352" s="5" t="n">
        <v>1780</v>
      </c>
      <c r="H352" s="5" t="n">
        <v>31</v>
      </c>
      <c r="I352" s="5" t="n">
        <v>24</v>
      </c>
      <c r="J352" s="5" t="n">
        <v>6</v>
      </c>
      <c r="K352" s="10">
        <f>IF(F352&gt;0,H352/F352,"")</f>
        <v/>
      </c>
      <c r="L352" s="16">
        <f>IF(AND(G352&gt;0,H352&gt;0),G352/H352,"")</f>
        <v/>
      </c>
    </row>
    <row r="353">
      <c r="A353" s="4" t="inlineStr">
        <is>
          <t>124</t>
        </is>
      </c>
      <c r="B353" s="4" t="n">
        <v>1</v>
      </c>
      <c r="C353" s="4" t="inlineStr">
        <is>
          <t>elk</t>
        </is>
      </c>
      <c r="D353" s="4" t="n">
        <v>2023</v>
      </c>
      <c r="E353" s="13" t="inlineStr">
        <is>
          <t>General</t>
        </is>
      </c>
      <c r="F353" s="5" t="n"/>
      <c r="G353" s="5" t="n"/>
      <c r="H353" s="5" t="n">
        <v>35</v>
      </c>
      <c r="I353" s="5" t="n">
        <v>23</v>
      </c>
      <c r="J353" s="5" t="n">
        <v>12</v>
      </c>
      <c r="K353" s="10">
        <f>IF(F353&gt;0,H353/F353,"")</f>
        <v/>
      </c>
      <c r="L353" s="16">
        <f>IF(AND(G353&gt;0,H353&gt;0),G353/H353,"")</f>
        <v/>
      </c>
    </row>
    <row r="354">
      <c r="A354" s="4" t="inlineStr">
        <is>
          <t>124</t>
        </is>
      </c>
      <c r="B354" s="4" t="n">
        <v>1</v>
      </c>
      <c r="C354" s="4" t="inlineStr">
        <is>
          <t>elk</t>
        </is>
      </c>
      <c r="D354" s="4" t="n">
        <v>2024</v>
      </c>
      <c r="E354" s="13" t="inlineStr">
        <is>
          <t>General</t>
        </is>
      </c>
      <c r="F354" s="5" t="n">
        <v>326</v>
      </c>
      <c r="G354" s="5" t="n">
        <v>2582</v>
      </c>
      <c r="H354" s="5" t="n">
        <v>41</v>
      </c>
      <c r="I354" s="5" t="n">
        <v>23</v>
      </c>
      <c r="J354" s="5" t="n">
        <v>17</v>
      </c>
      <c r="K354" s="10">
        <f>IF(F354&gt;0,H354/F354,"")</f>
        <v/>
      </c>
      <c r="L354" s="16">
        <f>IF(AND(G354&gt;0,H354&gt;0),G354/H354,"")</f>
        <v/>
      </c>
    </row>
    <row r="355">
      <c r="A355" s="4" t="inlineStr">
        <is>
          <t>124</t>
        </is>
      </c>
      <c r="B355" s="4" t="n">
        <v>1</v>
      </c>
      <c r="C355" s="4" t="inlineStr">
        <is>
          <t>elk</t>
        </is>
      </c>
      <c r="D355" s="4" t="n">
        <v>2025</v>
      </c>
      <c r="E355" s="13" t="inlineStr">
        <is>
          <t>General</t>
        </is>
      </c>
      <c r="F355" s="5" t="n"/>
      <c r="G355" s="5" t="n"/>
      <c r="H355" s="5" t="n">
        <v>33</v>
      </c>
      <c r="I355" s="5" t="n">
        <v>22</v>
      </c>
      <c r="J355" s="5" t="n">
        <v>11</v>
      </c>
      <c r="K355" s="10">
        <f>IF(F355&gt;0,H355/F355,"")</f>
        <v/>
      </c>
      <c r="L355" s="16">
        <f>IF(AND(G355&gt;0,H355&gt;0),G355/H355,"")</f>
        <v/>
      </c>
    </row>
    <row r="356">
      <c r="A356" s="4" t="inlineStr">
        <is>
          <t>130</t>
        </is>
      </c>
      <c r="B356" s="4" t="n">
        <v>1</v>
      </c>
      <c r="C356" s="4" t="inlineStr">
        <is>
          <t>elk</t>
        </is>
      </c>
      <c r="D356" s="4" t="n">
        <v>2021</v>
      </c>
      <c r="E356" s="13" t="inlineStr">
        <is>
          <t>General</t>
        </is>
      </c>
      <c r="F356" s="5" t="n"/>
      <c r="G356" s="5" t="n"/>
      <c r="H356" s="5" t="n">
        <v>40</v>
      </c>
      <c r="I356" s="5" t="n">
        <v>34</v>
      </c>
      <c r="J356" s="5" t="n">
        <v>7</v>
      </c>
      <c r="K356" s="10">
        <f>IF(F356&gt;0,H356/F356,"")</f>
        <v/>
      </c>
      <c r="L356" s="16">
        <f>IF(AND(G356&gt;0,H356&gt;0),G356/H356,"")</f>
        <v/>
      </c>
    </row>
    <row r="357">
      <c r="A357" s="4" t="inlineStr">
        <is>
          <t>130</t>
        </is>
      </c>
      <c r="B357" s="4" t="n">
        <v>1</v>
      </c>
      <c r="C357" s="4" t="inlineStr">
        <is>
          <t>elk</t>
        </is>
      </c>
      <c r="D357" s="4" t="n">
        <v>2022</v>
      </c>
      <c r="E357" s="13" t="inlineStr">
        <is>
          <t>General</t>
        </is>
      </c>
      <c r="F357" s="5" t="n">
        <v>887</v>
      </c>
      <c r="G357" s="5" t="n">
        <v>6760</v>
      </c>
      <c r="H357" s="5" t="n">
        <v>39</v>
      </c>
      <c r="I357" s="5" t="n">
        <v>29</v>
      </c>
      <c r="J357" s="5" t="n">
        <v>10</v>
      </c>
      <c r="K357" s="10">
        <f>IF(F357&gt;0,H357/F357,"")</f>
        <v/>
      </c>
      <c r="L357" s="16">
        <f>IF(AND(G357&gt;0,H357&gt;0),G357/H357,"")</f>
        <v/>
      </c>
    </row>
    <row r="358">
      <c r="A358" s="4" t="inlineStr">
        <is>
          <t>130</t>
        </is>
      </c>
      <c r="B358" s="4" t="n">
        <v>1</v>
      </c>
      <c r="C358" s="4" t="inlineStr">
        <is>
          <t>elk</t>
        </is>
      </c>
      <c r="D358" s="4" t="n">
        <v>2023</v>
      </c>
      <c r="E358" s="13" t="inlineStr">
        <is>
          <t>General</t>
        </is>
      </c>
      <c r="F358" s="5" t="n"/>
      <c r="G358" s="5" t="n"/>
      <c r="H358" s="5" t="n">
        <v>48</v>
      </c>
      <c r="I358" s="5" t="n">
        <v>39</v>
      </c>
      <c r="J358" s="5" t="n">
        <v>9</v>
      </c>
      <c r="K358" s="10">
        <f>IF(F358&gt;0,H358/F358,"")</f>
        <v/>
      </c>
      <c r="L358" s="16">
        <f>IF(AND(G358&gt;0,H358&gt;0),G358/H358,"")</f>
        <v/>
      </c>
    </row>
    <row r="359">
      <c r="A359" s="4" t="inlineStr">
        <is>
          <t>130</t>
        </is>
      </c>
      <c r="B359" s="4" t="n">
        <v>1</v>
      </c>
      <c r="C359" s="4" t="inlineStr">
        <is>
          <t>elk</t>
        </is>
      </c>
      <c r="D359" s="4" t="n">
        <v>2024</v>
      </c>
      <c r="E359" s="13" t="inlineStr">
        <is>
          <t>General</t>
        </is>
      </c>
      <c r="F359" s="5" t="n">
        <v>893</v>
      </c>
      <c r="G359" s="5" t="n">
        <v>6425</v>
      </c>
      <c r="H359" s="5" t="n">
        <v>33</v>
      </c>
      <c r="I359" s="5" t="n">
        <v>33</v>
      </c>
      <c r="J359" s="5" t="n">
        <v>0</v>
      </c>
      <c r="K359" s="10">
        <f>IF(F359&gt;0,H359/F359,"")</f>
        <v/>
      </c>
      <c r="L359" s="16">
        <f>IF(AND(G359&gt;0,H359&gt;0),G359/H359,"")</f>
        <v/>
      </c>
    </row>
    <row r="360">
      <c r="A360" s="4" t="inlineStr">
        <is>
          <t>130</t>
        </is>
      </c>
      <c r="B360" s="4" t="n">
        <v>1</v>
      </c>
      <c r="C360" s="4" t="inlineStr">
        <is>
          <t>elk</t>
        </is>
      </c>
      <c r="D360" s="4" t="n">
        <v>2025</v>
      </c>
      <c r="E360" s="13" t="inlineStr">
        <is>
          <t>General</t>
        </is>
      </c>
      <c r="F360" s="5" t="n"/>
      <c r="G360" s="5" t="n"/>
      <c r="H360" s="5" t="n">
        <v>44</v>
      </c>
      <c r="I360" s="5" t="n">
        <v>33</v>
      </c>
      <c r="J360" s="5" t="n">
        <v>11</v>
      </c>
      <c r="K360" s="10">
        <f>IF(F360&gt;0,H360/F360,"")</f>
        <v/>
      </c>
      <c r="L360" s="16">
        <f>IF(AND(G360&gt;0,H360&gt;0),G360/H360,"")</f>
        <v/>
      </c>
    </row>
    <row r="361">
      <c r="A361" s="4" t="inlineStr">
        <is>
          <t>140</t>
        </is>
      </c>
      <c r="B361" s="4" t="n">
        <v>1</v>
      </c>
      <c r="C361" s="4" t="inlineStr">
        <is>
          <t>elk</t>
        </is>
      </c>
      <c r="D361" s="4" t="n">
        <v>2021</v>
      </c>
      <c r="E361" s="13" t="inlineStr">
        <is>
          <t>General</t>
        </is>
      </c>
      <c r="F361" s="5" t="n"/>
      <c r="G361" s="5" t="n"/>
      <c r="H361" s="5" t="n">
        <v>8</v>
      </c>
      <c r="I361" s="5" t="n">
        <v>8</v>
      </c>
      <c r="J361" s="5" t="n">
        <v>0</v>
      </c>
      <c r="K361" s="10">
        <f>IF(F361&gt;0,H361/F361,"")</f>
        <v/>
      </c>
      <c r="L361" s="16">
        <f>IF(AND(G361&gt;0,H361&gt;0),G361/H361,"")</f>
        <v/>
      </c>
    </row>
    <row r="362">
      <c r="A362" s="4" t="inlineStr">
        <is>
          <t>140</t>
        </is>
      </c>
      <c r="B362" s="4" t="n">
        <v>1</v>
      </c>
      <c r="C362" s="4" t="inlineStr">
        <is>
          <t>elk</t>
        </is>
      </c>
      <c r="D362" s="4" t="n">
        <v>2022</v>
      </c>
      <c r="E362" s="13" t="inlineStr">
        <is>
          <t>General</t>
        </is>
      </c>
      <c r="F362" s="5" t="n">
        <v>431</v>
      </c>
      <c r="G362" s="5" t="n">
        <v>3275</v>
      </c>
      <c r="H362" s="5" t="n">
        <v>19</v>
      </c>
      <c r="I362" s="5" t="n">
        <v>16</v>
      </c>
      <c r="J362" s="5" t="n">
        <v>3</v>
      </c>
      <c r="K362" s="10">
        <f>IF(F362&gt;0,H362/F362,"")</f>
        <v/>
      </c>
      <c r="L362" s="16">
        <f>IF(AND(G362&gt;0,H362&gt;0),G362/H362,"")</f>
        <v/>
      </c>
    </row>
    <row r="363">
      <c r="A363" s="4" t="inlineStr">
        <is>
          <t>140</t>
        </is>
      </c>
      <c r="B363" s="4" t="n">
        <v>1</v>
      </c>
      <c r="C363" s="4" t="inlineStr">
        <is>
          <t>elk</t>
        </is>
      </c>
      <c r="D363" s="4" t="n">
        <v>2023</v>
      </c>
      <c r="E363" s="13" t="inlineStr">
        <is>
          <t>General</t>
        </is>
      </c>
      <c r="F363" s="5" t="n"/>
      <c r="G363" s="5" t="n"/>
      <c r="H363" s="5" t="n">
        <v>24</v>
      </c>
      <c r="I363" s="5" t="n">
        <v>18</v>
      </c>
      <c r="J363" s="5" t="n">
        <v>6</v>
      </c>
      <c r="K363" s="10">
        <f>IF(F363&gt;0,H363/F363,"")</f>
        <v/>
      </c>
      <c r="L363" s="16">
        <f>IF(AND(G363&gt;0,H363&gt;0),G363/H363,"")</f>
        <v/>
      </c>
    </row>
    <row r="364">
      <c r="A364" s="4" t="inlineStr">
        <is>
          <t>140</t>
        </is>
      </c>
      <c r="B364" s="4" t="n">
        <v>1</v>
      </c>
      <c r="C364" s="4" t="inlineStr">
        <is>
          <t>elk</t>
        </is>
      </c>
      <c r="D364" s="4" t="n">
        <v>2024</v>
      </c>
      <c r="E364" s="13" t="inlineStr">
        <is>
          <t>General</t>
        </is>
      </c>
      <c r="F364" s="5" t="n">
        <v>438</v>
      </c>
      <c r="G364" s="5" t="n">
        <v>4043</v>
      </c>
      <c r="H364" s="5" t="n">
        <v>12</v>
      </c>
      <c r="I364" s="5" t="n">
        <v>12</v>
      </c>
      <c r="J364" s="5" t="n">
        <v>0</v>
      </c>
      <c r="K364" s="10">
        <f>IF(F364&gt;0,H364/F364,"")</f>
        <v/>
      </c>
      <c r="L364" s="16">
        <f>IF(AND(G364&gt;0,H364&gt;0),G364/H364,"")</f>
        <v/>
      </c>
    </row>
    <row r="365">
      <c r="A365" s="4" t="inlineStr">
        <is>
          <t>140</t>
        </is>
      </c>
      <c r="B365" s="4" t="n">
        <v>1</v>
      </c>
      <c r="C365" s="4" t="inlineStr">
        <is>
          <t>elk</t>
        </is>
      </c>
      <c r="D365" s="4" t="n">
        <v>2025</v>
      </c>
      <c r="E365" s="13" t="inlineStr">
        <is>
          <t>General</t>
        </is>
      </c>
      <c r="F365" s="5" t="n"/>
      <c r="G365" s="5" t="n"/>
      <c r="H365" s="5" t="n">
        <v>33</v>
      </c>
      <c r="I365" s="5" t="n">
        <v>29</v>
      </c>
      <c r="J365" s="5" t="n">
        <v>4</v>
      </c>
      <c r="K365" s="10">
        <f>IF(F365&gt;0,H365/F365,"")</f>
        <v/>
      </c>
      <c r="L365" s="16">
        <f>IF(AND(G365&gt;0,H365&gt;0),G365/H365,"")</f>
        <v/>
      </c>
    </row>
    <row r="366">
      <c r="A366" s="4" t="inlineStr">
        <is>
          <t>141</t>
        </is>
      </c>
      <c r="B366" s="4" t="n">
        <v>1</v>
      </c>
      <c r="C366" s="4" t="inlineStr">
        <is>
          <t>elk</t>
        </is>
      </c>
      <c r="D366" s="4" t="n">
        <v>2022</v>
      </c>
      <c r="E366" s="13" t="inlineStr">
        <is>
          <t>General</t>
        </is>
      </c>
      <c r="F366" s="5" t="n">
        <v>108</v>
      </c>
      <c r="G366" s="5" t="n">
        <v>717</v>
      </c>
      <c r="H366" s="5" t="n">
        <v>16</v>
      </c>
      <c r="I366" s="5" t="n">
        <v>13</v>
      </c>
      <c r="J366" s="5" t="n">
        <v>3</v>
      </c>
      <c r="K366" s="10">
        <f>IF(F366&gt;0,H366/F366,"")</f>
        <v/>
      </c>
      <c r="L366" s="16">
        <f>IF(AND(G366&gt;0,H366&gt;0),G366/H366,"")</f>
        <v/>
      </c>
    </row>
    <row r="367">
      <c r="A367" s="4" t="inlineStr">
        <is>
          <t>141</t>
        </is>
      </c>
      <c r="B367" s="4" t="n">
        <v>1</v>
      </c>
      <c r="C367" s="4" t="inlineStr">
        <is>
          <t>elk</t>
        </is>
      </c>
      <c r="D367" s="4" t="n">
        <v>2023</v>
      </c>
      <c r="E367" s="13" t="inlineStr">
        <is>
          <t>General</t>
        </is>
      </c>
      <c r="F367" s="5" t="n"/>
      <c r="G367" s="5" t="n"/>
      <c r="H367" s="5" t="n">
        <v>12</v>
      </c>
      <c r="I367" s="5" t="n">
        <v>6</v>
      </c>
      <c r="J367" s="5" t="n">
        <v>6</v>
      </c>
      <c r="K367" s="10">
        <f>IF(F367&gt;0,H367/F367,"")</f>
        <v/>
      </c>
      <c r="L367" s="16">
        <f>IF(AND(G367&gt;0,H367&gt;0),G367/H367,"")</f>
        <v/>
      </c>
    </row>
    <row r="368">
      <c r="A368" s="4" t="inlineStr">
        <is>
          <t>141</t>
        </is>
      </c>
      <c r="B368" s="4" t="n">
        <v>1</v>
      </c>
      <c r="C368" s="4" t="inlineStr">
        <is>
          <t>elk</t>
        </is>
      </c>
      <c r="D368" s="4" t="n">
        <v>2024</v>
      </c>
      <c r="E368" s="13" t="inlineStr">
        <is>
          <t>General</t>
        </is>
      </c>
      <c r="F368" s="5" t="n">
        <v>97</v>
      </c>
      <c r="G368" s="5" t="n">
        <v>664</v>
      </c>
      <c r="H368" s="5" t="n">
        <v>9</v>
      </c>
      <c r="I368" s="5" t="n">
        <v>9</v>
      </c>
      <c r="J368" s="5" t="n">
        <v>0</v>
      </c>
      <c r="K368" s="10">
        <f>IF(F368&gt;0,H368/F368,"")</f>
        <v/>
      </c>
      <c r="L368" s="16">
        <f>IF(AND(G368&gt;0,H368&gt;0),G368/H368,"")</f>
        <v/>
      </c>
    </row>
    <row r="369">
      <c r="A369" s="4" t="inlineStr">
        <is>
          <t>141</t>
        </is>
      </c>
      <c r="B369" s="4" t="n">
        <v>1</v>
      </c>
      <c r="C369" s="4" t="inlineStr">
        <is>
          <t>elk</t>
        </is>
      </c>
      <c r="D369" s="4" t="n">
        <v>2025</v>
      </c>
      <c r="E369" s="13" t="inlineStr">
        <is>
          <t>General</t>
        </is>
      </c>
      <c r="F369" s="5" t="n"/>
      <c r="G369" s="5" t="n"/>
      <c r="H369" s="5" t="n">
        <v>15</v>
      </c>
      <c r="I369" s="5" t="n">
        <v>4</v>
      </c>
      <c r="J369" s="5" t="n">
        <v>11</v>
      </c>
      <c r="K369" s="10">
        <f>IF(F369&gt;0,H369/F369,"")</f>
        <v/>
      </c>
      <c r="L369" s="16">
        <f>IF(AND(G369&gt;0,H369&gt;0),G369/H369,"")</f>
        <v/>
      </c>
    </row>
    <row r="370">
      <c r="A370" s="4" t="inlineStr">
        <is>
          <t>150</t>
        </is>
      </c>
      <c r="B370" s="4" t="n">
        <v>1</v>
      </c>
      <c r="C370" s="4" t="inlineStr">
        <is>
          <t>elk</t>
        </is>
      </c>
      <c r="D370" s="4" t="n">
        <v>2021</v>
      </c>
      <c r="E370" s="13" t="inlineStr">
        <is>
          <t>General</t>
        </is>
      </c>
      <c r="F370" s="5" t="n"/>
      <c r="G370" s="5" t="n"/>
      <c r="H370" s="5" t="n">
        <v>41</v>
      </c>
      <c r="I370" s="5" t="n">
        <v>41</v>
      </c>
      <c r="J370" s="5" t="n">
        <v>0</v>
      </c>
      <c r="K370" s="10">
        <f>IF(F370&gt;0,H370/F370,"")</f>
        <v/>
      </c>
      <c r="L370" s="16">
        <f>IF(AND(G370&gt;0,H370&gt;0),G370/H370,"")</f>
        <v/>
      </c>
    </row>
    <row r="371">
      <c r="A371" s="4" t="inlineStr">
        <is>
          <t>150</t>
        </is>
      </c>
      <c r="B371" s="4" t="n">
        <v>1</v>
      </c>
      <c r="C371" s="4" t="inlineStr">
        <is>
          <t>elk</t>
        </is>
      </c>
      <c r="D371" s="4" t="n">
        <v>2022</v>
      </c>
      <c r="E371" s="13" t="inlineStr">
        <is>
          <t>General</t>
        </is>
      </c>
      <c r="F371" s="5" t="n">
        <v>371</v>
      </c>
      <c r="G371" s="5" t="n">
        <v>2673</v>
      </c>
      <c r="H371" s="5" t="n">
        <v>67</v>
      </c>
      <c r="I371" s="5" t="n">
        <v>67</v>
      </c>
      <c r="J371" s="5" t="n">
        <v>0</v>
      </c>
      <c r="K371" s="10">
        <f>IF(F371&gt;0,H371/F371,"")</f>
        <v/>
      </c>
      <c r="L371" s="16">
        <f>IF(AND(G371&gt;0,H371&gt;0),G371/H371,"")</f>
        <v/>
      </c>
    </row>
    <row r="372">
      <c r="A372" s="4" t="inlineStr">
        <is>
          <t>150</t>
        </is>
      </c>
      <c r="B372" s="4" t="n">
        <v>1</v>
      </c>
      <c r="C372" s="4" t="inlineStr">
        <is>
          <t>elk</t>
        </is>
      </c>
      <c r="D372" s="4" t="n">
        <v>2023</v>
      </c>
      <c r="E372" s="13" t="inlineStr">
        <is>
          <t>General</t>
        </is>
      </c>
      <c r="F372" s="5" t="n"/>
      <c r="G372" s="5" t="n"/>
      <c r="H372" s="5" t="n">
        <v>49</v>
      </c>
      <c r="I372" s="5" t="n">
        <v>49</v>
      </c>
      <c r="J372" s="5" t="n">
        <v>0</v>
      </c>
      <c r="K372" s="10">
        <f>IF(F372&gt;0,H372/F372,"")</f>
        <v/>
      </c>
      <c r="L372" s="16">
        <f>IF(AND(G372&gt;0,H372&gt;0),G372/H372,"")</f>
        <v/>
      </c>
    </row>
    <row r="373">
      <c r="A373" s="4" t="inlineStr">
        <is>
          <t>150</t>
        </is>
      </c>
      <c r="B373" s="4" t="n">
        <v>1</v>
      </c>
      <c r="C373" s="4" t="inlineStr">
        <is>
          <t>elk</t>
        </is>
      </c>
      <c r="D373" s="4" t="n">
        <v>2024</v>
      </c>
      <c r="E373" s="13" t="inlineStr">
        <is>
          <t>General</t>
        </is>
      </c>
      <c r="F373" s="5" t="n">
        <v>382</v>
      </c>
      <c r="G373" s="5" t="n">
        <v>2989</v>
      </c>
      <c r="H373" s="5" t="n">
        <v>102</v>
      </c>
      <c r="I373" s="5" t="n">
        <v>97</v>
      </c>
      <c r="J373" s="5" t="n">
        <v>6</v>
      </c>
      <c r="K373" s="10">
        <f>IF(F373&gt;0,H373/F373,"")</f>
        <v/>
      </c>
      <c r="L373" s="16">
        <f>IF(AND(G373&gt;0,H373&gt;0),G373/H373,"")</f>
        <v/>
      </c>
    </row>
    <row r="374">
      <c r="A374" s="4" t="inlineStr">
        <is>
          <t>150</t>
        </is>
      </c>
      <c r="B374" s="4" t="n">
        <v>1</v>
      </c>
      <c r="C374" s="4" t="inlineStr">
        <is>
          <t>elk</t>
        </is>
      </c>
      <c r="D374" s="4" t="n">
        <v>2025</v>
      </c>
      <c r="E374" s="13" t="inlineStr">
        <is>
          <t>General</t>
        </is>
      </c>
      <c r="F374" s="5" t="n"/>
      <c r="G374" s="5" t="n"/>
      <c r="H374" s="5" t="n">
        <v>47</v>
      </c>
      <c r="I374" s="5" t="n">
        <v>47</v>
      </c>
      <c r="J374" s="5" t="n">
        <v>0</v>
      </c>
      <c r="K374" s="10">
        <f>IF(F374&gt;0,H374/F374,"")</f>
        <v/>
      </c>
      <c r="L374" s="16">
        <f>IF(AND(G374&gt;0,H374&gt;0),G374/H374,"")</f>
        <v/>
      </c>
    </row>
    <row r="375">
      <c r="A375" s="4" t="inlineStr">
        <is>
          <t>170</t>
        </is>
      </c>
      <c r="B375" s="4" t="n">
        <v>1</v>
      </c>
      <c r="C375" s="4" t="inlineStr">
        <is>
          <t>elk</t>
        </is>
      </c>
      <c r="D375" s="4" t="n">
        <v>2021</v>
      </c>
      <c r="E375" s="13" t="inlineStr">
        <is>
          <t>General</t>
        </is>
      </c>
      <c r="F375" s="5" t="n"/>
      <c r="G375" s="5" t="n"/>
      <c r="H375" s="5" t="n">
        <v>31</v>
      </c>
      <c r="I375" s="5" t="n">
        <v>16</v>
      </c>
      <c r="J375" s="5" t="n">
        <v>15</v>
      </c>
      <c r="K375" s="10">
        <f>IF(F375&gt;0,H375/F375,"")</f>
        <v/>
      </c>
      <c r="L375" s="16">
        <f>IF(AND(G375&gt;0,H375&gt;0),G375/H375,"")</f>
        <v/>
      </c>
    </row>
    <row r="376">
      <c r="A376" s="4" t="inlineStr">
        <is>
          <t>170</t>
        </is>
      </c>
      <c r="B376" s="4" t="n">
        <v>1</v>
      </c>
      <c r="C376" s="4" t="inlineStr">
        <is>
          <t>elk</t>
        </is>
      </c>
      <c r="D376" s="4" t="n">
        <v>2022</v>
      </c>
      <c r="E376" s="13" t="inlineStr">
        <is>
          <t>General</t>
        </is>
      </c>
      <c r="F376" s="5" t="n">
        <v>455</v>
      </c>
      <c r="G376" s="5" t="n">
        <v>3422</v>
      </c>
      <c r="H376" s="5" t="n">
        <v>39</v>
      </c>
      <c r="I376" s="5" t="n">
        <v>10</v>
      </c>
      <c r="J376" s="5" t="n">
        <v>26</v>
      </c>
      <c r="K376" s="10">
        <f>IF(F376&gt;0,H376/F376,"")</f>
        <v/>
      </c>
      <c r="L376" s="16">
        <f>IF(AND(G376&gt;0,H376&gt;0),G376/H376,"")</f>
        <v/>
      </c>
    </row>
    <row r="377">
      <c r="A377" s="4" t="inlineStr">
        <is>
          <t>170</t>
        </is>
      </c>
      <c r="B377" s="4" t="n">
        <v>1</v>
      </c>
      <c r="C377" s="4" t="inlineStr">
        <is>
          <t>elk</t>
        </is>
      </c>
      <c r="D377" s="4" t="n">
        <v>2023</v>
      </c>
      <c r="E377" s="13" t="inlineStr">
        <is>
          <t>General</t>
        </is>
      </c>
      <c r="F377" s="5" t="n"/>
      <c r="G377" s="5" t="n"/>
      <c r="H377" s="5" t="n">
        <v>45</v>
      </c>
      <c r="I377" s="5" t="n">
        <v>27</v>
      </c>
      <c r="J377" s="5" t="n">
        <v>12</v>
      </c>
      <c r="K377" s="10">
        <f>IF(F377&gt;0,H377/F377,"")</f>
        <v/>
      </c>
      <c r="L377" s="16">
        <f>IF(AND(G377&gt;0,H377&gt;0),G377/H377,"")</f>
        <v/>
      </c>
    </row>
    <row r="378">
      <c r="A378" s="4" t="inlineStr">
        <is>
          <t>170</t>
        </is>
      </c>
      <c r="B378" s="4" t="n">
        <v>1</v>
      </c>
      <c r="C378" s="4" t="inlineStr">
        <is>
          <t>elk</t>
        </is>
      </c>
      <c r="D378" s="4" t="n">
        <v>2024</v>
      </c>
      <c r="E378" s="13" t="inlineStr">
        <is>
          <t>General</t>
        </is>
      </c>
      <c r="F378" s="5" t="n">
        <v>588</v>
      </c>
      <c r="G378" s="5" t="n">
        <v>4550</v>
      </c>
      <c r="H378" s="5" t="n">
        <v>56</v>
      </c>
      <c r="I378" s="5" t="n">
        <v>23</v>
      </c>
      <c r="J378" s="5" t="n">
        <v>33</v>
      </c>
      <c r="K378" s="10">
        <f>IF(F378&gt;0,H378/F378,"")</f>
        <v/>
      </c>
      <c r="L378" s="16">
        <f>IF(AND(G378&gt;0,H378&gt;0),G378/H378,"")</f>
        <v/>
      </c>
    </row>
    <row r="379">
      <c r="A379" s="4" t="inlineStr">
        <is>
          <t>170</t>
        </is>
      </c>
      <c r="B379" s="4" t="n">
        <v>1</v>
      </c>
      <c r="C379" s="4" t="inlineStr">
        <is>
          <t>elk</t>
        </is>
      </c>
      <c r="D379" s="4" t="n">
        <v>2025</v>
      </c>
      <c r="E379" s="13" t="inlineStr">
        <is>
          <t>General</t>
        </is>
      </c>
      <c r="F379" s="5" t="n"/>
      <c r="G379" s="5" t="n"/>
      <c r="H379" s="5" t="n">
        <v>67</v>
      </c>
      <c r="I379" s="5" t="n">
        <v>26</v>
      </c>
      <c r="J379" s="5" t="n">
        <v>41</v>
      </c>
      <c r="K379" s="10">
        <f>IF(F379&gt;0,H379/F379,"")</f>
        <v/>
      </c>
      <c r="L379" s="16">
        <f>IF(AND(G379&gt;0,H379&gt;0),G379/H379,"")</f>
        <v/>
      </c>
    </row>
    <row r="380">
      <c r="A380" s="4" t="inlineStr">
        <is>
          <t>200</t>
        </is>
      </c>
      <c r="B380" s="4" t="n">
        <v>2</v>
      </c>
      <c r="C380" s="4" t="inlineStr">
        <is>
          <t>elk</t>
        </is>
      </c>
      <c r="D380" s="4" t="n">
        <v>2021</v>
      </c>
      <c r="E380" s="13" t="inlineStr">
        <is>
          <t>General</t>
        </is>
      </c>
      <c r="F380" s="5" t="n"/>
      <c r="G380" s="5" t="n"/>
      <c r="H380" s="5" t="n">
        <v>16</v>
      </c>
      <c r="I380" s="5" t="n">
        <v>16</v>
      </c>
      <c r="J380" s="5" t="n">
        <v>0</v>
      </c>
      <c r="K380" s="10">
        <f>IF(F380&gt;0,H380/F380,"")</f>
        <v/>
      </c>
      <c r="L380" s="16">
        <f>IF(AND(G380&gt;0,H380&gt;0),G380/H380,"")</f>
        <v/>
      </c>
    </row>
    <row r="381">
      <c r="A381" s="4" t="inlineStr">
        <is>
          <t>200</t>
        </is>
      </c>
      <c r="B381" s="4" t="n">
        <v>2</v>
      </c>
      <c r="C381" s="4" t="inlineStr">
        <is>
          <t>elk</t>
        </is>
      </c>
      <c r="D381" s="4" t="n">
        <v>2022</v>
      </c>
      <c r="E381" s="13" t="inlineStr">
        <is>
          <t>General</t>
        </is>
      </c>
      <c r="F381" s="5" t="n">
        <v>392</v>
      </c>
      <c r="G381" s="5" t="n">
        <v>3788</v>
      </c>
      <c r="H381" s="5" t="n">
        <v>27</v>
      </c>
      <c r="I381" s="5" t="n">
        <v>26</v>
      </c>
      <c r="J381" s="5" t="n">
        <v>1</v>
      </c>
      <c r="K381" s="10">
        <f>IF(F381&gt;0,H381/F381,"")</f>
        <v/>
      </c>
      <c r="L381" s="16">
        <f>IF(AND(G381&gt;0,H381&gt;0),G381/H381,"")</f>
        <v/>
      </c>
    </row>
    <row r="382">
      <c r="A382" s="4" t="inlineStr">
        <is>
          <t>200</t>
        </is>
      </c>
      <c r="B382" s="4" t="n">
        <v>2</v>
      </c>
      <c r="C382" s="4" t="inlineStr">
        <is>
          <t>elk</t>
        </is>
      </c>
      <c r="D382" s="4" t="n">
        <v>2023</v>
      </c>
      <c r="E382" s="13" t="inlineStr">
        <is>
          <t>General</t>
        </is>
      </c>
      <c r="F382" s="5" t="n"/>
      <c r="G382" s="5" t="n"/>
      <c r="H382" s="5" t="n">
        <v>35</v>
      </c>
      <c r="I382" s="5" t="n">
        <v>30</v>
      </c>
      <c r="J382" s="5" t="n">
        <v>5</v>
      </c>
      <c r="K382" s="10">
        <f>IF(F382&gt;0,H382/F382,"")</f>
        <v/>
      </c>
      <c r="L382" s="16">
        <f>IF(AND(G382&gt;0,H382&gt;0),G382/H382,"")</f>
        <v/>
      </c>
    </row>
    <row r="383">
      <c r="A383" s="4" t="inlineStr">
        <is>
          <t>200</t>
        </is>
      </c>
      <c r="B383" s="4" t="n">
        <v>2</v>
      </c>
      <c r="C383" s="4" t="inlineStr">
        <is>
          <t>elk</t>
        </is>
      </c>
      <c r="D383" s="4" t="n">
        <v>2024</v>
      </c>
      <c r="E383" s="13" t="inlineStr">
        <is>
          <t>General</t>
        </is>
      </c>
      <c r="F383" s="5" t="n">
        <v>496</v>
      </c>
      <c r="G383" s="5" t="n">
        <v>4204</v>
      </c>
      <c r="H383" s="5" t="n">
        <v>38</v>
      </c>
      <c r="I383" s="5" t="n">
        <v>35</v>
      </c>
      <c r="J383" s="5" t="n">
        <v>3</v>
      </c>
      <c r="K383" s="10">
        <f>IF(F383&gt;0,H383/F383,"")</f>
        <v/>
      </c>
      <c r="L383" s="16">
        <f>IF(AND(G383&gt;0,H383&gt;0),G383/H383,"")</f>
        <v/>
      </c>
    </row>
    <row r="384">
      <c r="A384" s="4" t="inlineStr">
        <is>
          <t>200</t>
        </is>
      </c>
      <c r="B384" s="4" t="n">
        <v>2</v>
      </c>
      <c r="C384" s="4" t="inlineStr">
        <is>
          <t>elk</t>
        </is>
      </c>
      <c r="D384" s="4" t="n">
        <v>2025</v>
      </c>
      <c r="E384" s="13" t="inlineStr">
        <is>
          <t>General</t>
        </is>
      </c>
      <c r="F384" s="5" t="n"/>
      <c r="G384" s="5" t="n"/>
      <c r="H384" s="5" t="n">
        <v>20</v>
      </c>
      <c r="I384" s="5" t="n">
        <v>18</v>
      </c>
      <c r="J384" s="5" t="n">
        <v>1</v>
      </c>
      <c r="K384" s="10">
        <f>IF(F384&gt;0,H384/F384,"")</f>
        <v/>
      </c>
      <c r="L384" s="16">
        <f>IF(AND(G384&gt;0,H384&gt;0),G384/H384,"")</f>
        <v/>
      </c>
    </row>
    <row r="385">
      <c r="A385" s="4" t="inlineStr">
        <is>
          <t>201</t>
        </is>
      </c>
      <c r="B385" s="4" t="n">
        <v>2</v>
      </c>
      <c r="C385" s="4" t="inlineStr">
        <is>
          <t>elk</t>
        </is>
      </c>
      <c r="D385" s="4" t="n">
        <v>2021</v>
      </c>
      <c r="E385" s="13" t="inlineStr">
        <is>
          <t>General</t>
        </is>
      </c>
      <c r="F385" s="5" t="n"/>
      <c r="G385" s="5" t="n"/>
      <c r="H385" s="5" t="n">
        <v>121</v>
      </c>
      <c r="I385" s="5" t="n">
        <v>76</v>
      </c>
      <c r="J385" s="5" t="n">
        <v>42</v>
      </c>
      <c r="K385" s="10">
        <f>IF(F385&gt;0,H385/F385,"")</f>
        <v/>
      </c>
      <c r="L385" s="16">
        <f>IF(AND(G385&gt;0,H385&gt;0),G385/H385,"")</f>
        <v/>
      </c>
    </row>
    <row r="386">
      <c r="A386" s="4" t="inlineStr">
        <is>
          <t>201</t>
        </is>
      </c>
      <c r="B386" s="4" t="n">
        <v>2</v>
      </c>
      <c r="C386" s="4" t="inlineStr">
        <is>
          <t>elk</t>
        </is>
      </c>
      <c r="D386" s="4" t="n">
        <v>2022</v>
      </c>
      <c r="E386" s="13" t="inlineStr">
        <is>
          <t>General</t>
        </is>
      </c>
      <c r="F386" s="5" t="n">
        <v>2276</v>
      </c>
      <c r="G386" s="5" t="n">
        <v>17321</v>
      </c>
      <c r="H386" s="5" t="n">
        <v>245</v>
      </c>
      <c r="I386" s="5" t="n">
        <v>153</v>
      </c>
      <c r="J386" s="5" t="n">
        <v>92</v>
      </c>
      <c r="K386" s="10">
        <f>IF(F386&gt;0,H386/F386,"")</f>
        <v/>
      </c>
      <c r="L386" s="16">
        <f>IF(AND(G386&gt;0,H386&gt;0),G386/H386,"")</f>
        <v/>
      </c>
    </row>
    <row r="387">
      <c r="A387" s="4" t="inlineStr">
        <is>
          <t>201</t>
        </is>
      </c>
      <c r="B387" s="4" t="n">
        <v>2</v>
      </c>
      <c r="C387" s="4" t="inlineStr">
        <is>
          <t>elk</t>
        </is>
      </c>
      <c r="D387" s="4" t="n">
        <v>2023</v>
      </c>
      <c r="E387" s="13" t="inlineStr">
        <is>
          <t>General</t>
        </is>
      </c>
      <c r="F387" s="5" t="n"/>
      <c r="G387" s="5" t="n"/>
      <c r="H387" s="5" t="n">
        <v>287</v>
      </c>
      <c r="I387" s="5" t="n">
        <v>207</v>
      </c>
      <c r="J387" s="5" t="n">
        <v>77</v>
      </c>
      <c r="K387" s="10">
        <f>IF(F387&gt;0,H387/F387,"")</f>
        <v/>
      </c>
      <c r="L387" s="16">
        <f>IF(AND(G387&gt;0,H387&gt;0),G387/H387,"")</f>
        <v/>
      </c>
    </row>
    <row r="388">
      <c r="A388" s="4" t="inlineStr">
        <is>
          <t>201</t>
        </is>
      </c>
      <c r="B388" s="4" t="n">
        <v>2</v>
      </c>
      <c r="C388" s="4" t="inlineStr">
        <is>
          <t>elk</t>
        </is>
      </c>
      <c r="D388" s="4" t="n">
        <v>2024</v>
      </c>
      <c r="E388" s="13" t="inlineStr">
        <is>
          <t>General</t>
        </is>
      </c>
      <c r="F388" s="5" t="n">
        <v>2503</v>
      </c>
      <c r="G388" s="5" t="n">
        <v>21002</v>
      </c>
      <c r="H388" s="5" t="n">
        <v>327</v>
      </c>
      <c r="I388" s="5" t="n">
        <v>150</v>
      </c>
      <c r="J388" s="5" t="n">
        <v>174</v>
      </c>
      <c r="K388" s="10">
        <f>IF(F388&gt;0,H388/F388,"")</f>
        <v/>
      </c>
      <c r="L388" s="16">
        <f>IF(AND(G388&gt;0,H388&gt;0),G388/H388,"")</f>
        <v/>
      </c>
    </row>
    <row r="389">
      <c r="A389" s="4" t="inlineStr">
        <is>
          <t>201</t>
        </is>
      </c>
      <c r="B389" s="4" t="n">
        <v>2</v>
      </c>
      <c r="C389" s="4" t="inlineStr">
        <is>
          <t>elk</t>
        </is>
      </c>
      <c r="D389" s="4" t="n">
        <v>2025</v>
      </c>
      <c r="E389" s="13" t="inlineStr">
        <is>
          <t>General</t>
        </is>
      </c>
      <c r="F389" s="5" t="n"/>
      <c r="G389" s="5" t="n"/>
      <c r="H389" s="5" t="n">
        <v>274</v>
      </c>
      <c r="I389" s="5" t="n">
        <v>116</v>
      </c>
      <c r="J389" s="5" t="n">
        <v>158</v>
      </c>
      <c r="K389" s="10">
        <f>IF(F389&gt;0,H389/F389,"")</f>
        <v/>
      </c>
      <c r="L389" s="16">
        <f>IF(AND(G389&gt;0,H389&gt;0),G389/H389,"")</f>
        <v/>
      </c>
    </row>
    <row r="390">
      <c r="A390" s="4" t="inlineStr">
        <is>
          <t>202</t>
        </is>
      </c>
      <c r="B390" s="4" t="n">
        <v>2</v>
      </c>
      <c r="C390" s="4" t="inlineStr">
        <is>
          <t>elk</t>
        </is>
      </c>
      <c r="D390" s="4" t="n">
        <v>2021</v>
      </c>
      <c r="E390" s="13" t="inlineStr">
        <is>
          <t>General</t>
        </is>
      </c>
      <c r="F390" s="5" t="n"/>
      <c r="G390" s="5" t="n"/>
      <c r="H390" s="5" t="n">
        <v>89</v>
      </c>
      <c r="I390" s="5" t="n">
        <v>71</v>
      </c>
      <c r="J390" s="5" t="n">
        <v>19</v>
      </c>
      <c r="K390" s="10">
        <f>IF(F390&gt;0,H390/F390,"")</f>
        <v/>
      </c>
      <c r="L390" s="16">
        <f>IF(AND(G390&gt;0,H390&gt;0),G390/H390,"")</f>
        <v/>
      </c>
    </row>
    <row r="391">
      <c r="A391" s="4" t="inlineStr">
        <is>
          <t>202</t>
        </is>
      </c>
      <c r="B391" s="4" t="n">
        <v>2</v>
      </c>
      <c r="C391" s="4" t="inlineStr">
        <is>
          <t>elk</t>
        </is>
      </c>
      <c r="D391" s="4" t="n">
        <v>2022</v>
      </c>
      <c r="E391" s="13" t="inlineStr">
        <is>
          <t>General</t>
        </is>
      </c>
      <c r="F391" s="5" t="n">
        <v>1094</v>
      </c>
      <c r="G391" s="5" t="n">
        <v>8326</v>
      </c>
      <c r="H391" s="5" t="n">
        <v>59</v>
      </c>
      <c r="I391" s="5" t="n">
        <v>49</v>
      </c>
      <c r="J391" s="5" t="n">
        <v>10</v>
      </c>
      <c r="K391" s="10">
        <f>IF(F391&gt;0,H391/F391,"")</f>
        <v/>
      </c>
      <c r="L391" s="16">
        <f>IF(AND(G391&gt;0,H391&gt;0),G391/H391,"")</f>
        <v/>
      </c>
    </row>
    <row r="392">
      <c r="A392" s="4" t="inlineStr">
        <is>
          <t>202</t>
        </is>
      </c>
      <c r="B392" s="4" t="n">
        <v>2</v>
      </c>
      <c r="C392" s="4" t="inlineStr">
        <is>
          <t>elk</t>
        </is>
      </c>
      <c r="D392" s="4" t="n">
        <v>2023</v>
      </c>
      <c r="E392" s="13" t="inlineStr">
        <is>
          <t>General</t>
        </is>
      </c>
      <c r="F392" s="5" t="n"/>
      <c r="G392" s="5" t="n"/>
      <c r="H392" s="5" t="n">
        <v>58</v>
      </c>
      <c r="I392" s="5" t="n">
        <v>53</v>
      </c>
      <c r="J392" s="5" t="n">
        <v>5</v>
      </c>
      <c r="K392" s="10">
        <f>IF(F392&gt;0,H392/F392,"")</f>
        <v/>
      </c>
      <c r="L392" s="16">
        <f>IF(AND(G392&gt;0,H392&gt;0),G392/H392,"")</f>
        <v/>
      </c>
    </row>
    <row r="393">
      <c r="A393" s="4" t="inlineStr">
        <is>
          <t>202</t>
        </is>
      </c>
      <c r="B393" s="4" t="n">
        <v>2</v>
      </c>
      <c r="C393" s="4" t="inlineStr">
        <is>
          <t>elk</t>
        </is>
      </c>
      <c r="D393" s="4" t="n">
        <v>2024</v>
      </c>
      <c r="E393" s="13" t="inlineStr">
        <is>
          <t>General</t>
        </is>
      </c>
      <c r="F393" s="5" t="n">
        <v>1136</v>
      </c>
      <c r="G393" s="5" t="n">
        <v>9486</v>
      </c>
      <c r="H393" s="5" t="n">
        <v>90</v>
      </c>
      <c r="I393" s="5" t="n">
        <v>74</v>
      </c>
      <c r="J393" s="5" t="n">
        <v>14</v>
      </c>
      <c r="K393" s="10">
        <f>IF(F393&gt;0,H393/F393,"")</f>
        <v/>
      </c>
      <c r="L393" s="16">
        <f>IF(AND(G393&gt;0,H393&gt;0),G393/H393,"")</f>
        <v/>
      </c>
    </row>
    <row r="394">
      <c r="A394" s="4" t="inlineStr">
        <is>
          <t>202</t>
        </is>
      </c>
      <c r="B394" s="4" t="n">
        <v>2</v>
      </c>
      <c r="C394" s="4" t="inlineStr">
        <is>
          <t>elk</t>
        </is>
      </c>
      <c r="D394" s="4" t="n">
        <v>2025</v>
      </c>
      <c r="E394" s="13" t="inlineStr">
        <is>
          <t>General</t>
        </is>
      </c>
      <c r="F394" s="5" t="n"/>
      <c r="G394" s="5" t="n"/>
      <c r="H394" s="5" t="n">
        <v>79</v>
      </c>
      <c r="I394" s="5" t="n">
        <v>64</v>
      </c>
      <c r="J394" s="5" t="n">
        <v>15</v>
      </c>
      <c r="K394" s="10">
        <f>IF(F394&gt;0,H394/F394,"")</f>
        <v/>
      </c>
      <c r="L394" s="16">
        <f>IF(AND(G394&gt;0,H394&gt;0),G394/H394,"")</f>
        <v/>
      </c>
    </row>
    <row r="395">
      <c r="A395" s="4" t="inlineStr">
        <is>
          <t>203</t>
        </is>
      </c>
      <c r="B395" s="4" t="n">
        <v>2</v>
      </c>
      <c r="C395" s="4" t="inlineStr">
        <is>
          <t>elk</t>
        </is>
      </c>
      <c r="D395" s="4" t="n">
        <v>2021</v>
      </c>
      <c r="E395" s="4" t="inlineStr"/>
      <c r="F395" s="5" t="n"/>
      <c r="G395" s="5" t="n"/>
      <c r="H395" s="5" t="n">
        <v>53</v>
      </c>
      <c r="I395" s="5" t="n">
        <v>22</v>
      </c>
      <c r="J395" s="5" t="n">
        <v>29</v>
      </c>
      <c r="K395" s="10">
        <f>IF(F395&gt;0,H395/F395,"")</f>
        <v/>
      </c>
      <c r="L395" s="16">
        <f>IF(AND(G395&gt;0,H395&gt;0),G395/H395,"")</f>
        <v/>
      </c>
    </row>
    <row r="396">
      <c r="A396" s="4" t="inlineStr">
        <is>
          <t>204</t>
        </is>
      </c>
      <c r="B396" s="4" t="n">
        <v>2</v>
      </c>
      <c r="C396" s="4" t="inlineStr">
        <is>
          <t>elk</t>
        </is>
      </c>
      <c r="D396" s="4" t="n">
        <v>2021</v>
      </c>
      <c r="E396" s="13" t="inlineStr">
        <is>
          <t>General</t>
        </is>
      </c>
      <c r="F396" s="5" t="n"/>
      <c r="G396" s="5" t="n"/>
      <c r="H396" s="5" t="n">
        <v>112</v>
      </c>
      <c r="I396" s="5" t="n">
        <v>67</v>
      </c>
      <c r="J396" s="5" t="n">
        <v>45</v>
      </c>
      <c r="K396" s="10">
        <f>IF(F396&gt;0,H396/F396,"")</f>
        <v/>
      </c>
      <c r="L396" s="16">
        <f>IF(AND(G396&gt;0,H396&gt;0),G396/H396,"")</f>
        <v/>
      </c>
    </row>
    <row r="397">
      <c r="A397" s="4" t="inlineStr">
        <is>
          <t>204</t>
        </is>
      </c>
      <c r="B397" s="4" t="n">
        <v>2</v>
      </c>
      <c r="C397" s="4" t="inlineStr">
        <is>
          <t>elk</t>
        </is>
      </c>
      <c r="D397" s="4" t="n">
        <v>2022</v>
      </c>
      <c r="E397" s="13" t="inlineStr">
        <is>
          <t>General</t>
        </is>
      </c>
      <c r="F397" s="5" t="n">
        <v>927</v>
      </c>
      <c r="G397" s="5" t="n">
        <v>6836</v>
      </c>
      <c r="H397" s="5" t="n">
        <v>110</v>
      </c>
      <c r="I397" s="5" t="n">
        <v>86</v>
      </c>
      <c r="J397" s="5" t="n">
        <v>24</v>
      </c>
      <c r="K397" s="10">
        <f>IF(F397&gt;0,H397/F397,"")</f>
        <v/>
      </c>
      <c r="L397" s="16">
        <f>IF(AND(G397&gt;0,H397&gt;0),G397/H397,"")</f>
        <v/>
      </c>
    </row>
    <row r="398">
      <c r="A398" s="4" t="inlineStr">
        <is>
          <t>204</t>
        </is>
      </c>
      <c r="B398" s="4" t="n">
        <v>2</v>
      </c>
      <c r="C398" s="4" t="inlineStr">
        <is>
          <t>elk</t>
        </is>
      </c>
      <c r="D398" s="4" t="n">
        <v>2023</v>
      </c>
      <c r="E398" s="13" t="inlineStr">
        <is>
          <t>General</t>
        </is>
      </c>
      <c r="F398" s="5" t="n"/>
      <c r="G398" s="5" t="n"/>
      <c r="H398" s="5" t="n">
        <v>58</v>
      </c>
      <c r="I398" s="5" t="n">
        <v>24</v>
      </c>
      <c r="J398" s="5" t="n">
        <v>34</v>
      </c>
      <c r="K398" s="10">
        <f>IF(F398&gt;0,H398/F398,"")</f>
        <v/>
      </c>
      <c r="L398" s="16">
        <f>IF(AND(G398&gt;0,H398&gt;0),G398/H398,"")</f>
        <v/>
      </c>
    </row>
    <row r="399">
      <c r="A399" s="4" t="inlineStr">
        <is>
          <t>204</t>
        </is>
      </c>
      <c r="B399" s="4" t="n">
        <v>2</v>
      </c>
      <c r="C399" s="4" t="inlineStr">
        <is>
          <t>elk</t>
        </is>
      </c>
      <c r="D399" s="4" t="n">
        <v>2024</v>
      </c>
      <c r="E399" s="13" t="inlineStr">
        <is>
          <t>General</t>
        </is>
      </c>
      <c r="F399" s="5" t="n">
        <v>1057</v>
      </c>
      <c r="G399" s="5" t="n">
        <v>7560</v>
      </c>
      <c r="H399" s="5" t="n">
        <v>76</v>
      </c>
      <c r="I399" s="5" t="n">
        <v>44</v>
      </c>
      <c r="J399" s="5" t="n">
        <v>32</v>
      </c>
      <c r="K399" s="10">
        <f>IF(F399&gt;0,H399/F399,"")</f>
        <v/>
      </c>
      <c r="L399" s="16">
        <f>IF(AND(G399&gt;0,H399&gt;0),G399/H399,"")</f>
        <v/>
      </c>
    </row>
    <row r="400">
      <c r="A400" s="4" t="inlineStr">
        <is>
          <t>204</t>
        </is>
      </c>
      <c r="B400" s="4" t="n">
        <v>2</v>
      </c>
      <c r="C400" s="4" t="inlineStr">
        <is>
          <t>elk</t>
        </is>
      </c>
      <c r="D400" s="4" t="n">
        <v>2025</v>
      </c>
      <c r="E400" s="13" t="inlineStr">
        <is>
          <t>General</t>
        </is>
      </c>
      <c r="F400" s="5" t="n"/>
      <c r="G400" s="5" t="n"/>
      <c r="H400" s="5" t="n">
        <v>113</v>
      </c>
      <c r="I400" s="5" t="n">
        <v>63</v>
      </c>
      <c r="J400" s="5" t="n">
        <v>50</v>
      </c>
      <c r="K400" s="10">
        <f>IF(F400&gt;0,H400/F400,"")</f>
        <v/>
      </c>
      <c r="L400" s="16">
        <f>IF(AND(G400&gt;0,H400&gt;0),G400/H400,"")</f>
        <v/>
      </c>
    </row>
    <row r="401">
      <c r="A401" s="4" t="inlineStr">
        <is>
          <t>210</t>
        </is>
      </c>
      <c r="B401" s="4" t="n">
        <v>2</v>
      </c>
      <c r="C401" s="4" t="inlineStr">
        <is>
          <t>elk</t>
        </is>
      </c>
      <c r="D401" s="4" t="n">
        <v>2021</v>
      </c>
      <c r="E401" s="13" t="inlineStr">
        <is>
          <t>General</t>
        </is>
      </c>
      <c r="F401" s="5" t="n"/>
      <c r="G401" s="5" t="n"/>
      <c r="H401" s="5" t="n">
        <v>188</v>
      </c>
      <c r="I401" s="5" t="n">
        <v>110</v>
      </c>
      <c r="J401" s="5" t="n">
        <v>72</v>
      </c>
      <c r="K401" s="10">
        <f>IF(F401&gt;0,H401/F401,"")</f>
        <v/>
      </c>
      <c r="L401" s="16">
        <f>IF(AND(G401&gt;0,H401&gt;0),G401/H401,"")</f>
        <v/>
      </c>
    </row>
    <row r="402">
      <c r="A402" s="4" t="inlineStr">
        <is>
          <t>210</t>
        </is>
      </c>
      <c r="B402" s="4" t="n">
        <v>2</v>
      </c>
      <c r="C402" s="4" t="inlineStr">
        <is>
          <t>elk</t>
        </is>
      </c>
      <c r="D402" s="4" t="n">
        <v>2022</v>
      </c>
      <c r="E402" s="13" t="inlineStr">
        <is>
          <t>General</t>
        </is>
      </c>
      <c r="F402" s="5" t="n">
        <v>1067</v>
      </c>
      <c r="G402" s="5" t="n">
        <v>8139</v>
      </c>
      <c r="H402" s="5" t="n">
        <v>165</v>
      </c>
      <c r="I402" s="5" t="n">
        <v>117</v>
      </c>
      <c r="J402" s="5" t="n">
        <v>48</v>
      </c>
      <c r="K402" s="10">
        <f>IF(F402&gt;0,H402/F402,"")</f>
        <v/>
      </c>
      <c r="L402" s="16">
        <f>IF(AND(G402&gt;0,H402&gt;0),G402/H402,"")</f>
        <v/>
      </c>
    </row>
    <row r="403">
      <c r="A403" s="4" t="inlineStr">
        <is>
          <t>210</t>
        </is>
      </c>
      <c r="B403" s="4" t="n">
        <v>2</v>
      </c>
      <c r="C403" s="4" t="inlineStr">
        <is>
          <t>elk</t>
        </is>
      </c>
      <c r="D403" s="4" t="n">
        <v>2023</v>
      </c>
      <c r="E403" s="13" t="inlineStr">
        <is>
          <t>General</t>
        </is>
      </c>
      <c r="F403" s="5" t="n"/>
      <c r="G403" s="5" t="n"/>
      <c r="H403" s="5" t="n">
        <v>145</v>
      </c>
      <c r="I403" s="5" t="n">
        <v>111</v>
      </c>
      <c r="J403" s="5" t="n">
        <v>35</v>
      </c>
      <c r="K403" s="10">
        <f>IF(F403&gt;0,H403/F403,"")</f>
        <v/>
      </c>
      <c r="L403" s="16">
        <f>IF(AND(G403&gt;0,H403&gt;0),G403/H403,"")</f>
        <v/>
      </c>
    </row>
    <row r="404">
      <c r="A404" s="4" t="inlineStr">
        <is>
          <t>210</t>
        </is>
      </c>
      <c r="B404" s="4" t="n">
        <v>2</v>
      </c>
      <c r="C404" s="4" t="inlineStr">
        <is>
          <t>elk</t>
        </is>
      </c>
      <c r="D404" s="4" t="n">
        <v>2024</v>
      </c>
      <c r="E404" s="13" t="inlineStr">
        <is>
          <t>General</t>
        </is>
      </c>
      <c r="F404" s="5" t="n">
        <v>1058</v>
      </c>
      <c r="G404" s="5" t="n">
        <v>7844</v>
      </c>
      <c r="H404" s="5" t="n">
        <v>162</v>
      </c>
      <c r="I404" s="5" t="n">
        <v>85</v>
      </c>
      <c r="J404" s="5" t="n">
        <v>77</v>
      </c>
      <c r="K404" s="10">
        <f>IF(F404&gt;0,H404/F404,"")</f>
        <v/>
      </c>
      <c r="L404" s="16">
        <f>IF(AND(G404&gt;0,H404&gt;0),G404/H404,"")</f>
        <v/>
      </c>
    </row>
    <row r="405">
      <c r="A405" s="4" t="inlineStr">
        <is>
          <t>210</t>
        </is>
      </c>
      <c r="B405" s="4" t="n">
        <v>2</v>
      </c>
      <c r="C405" s="4" t="inlineStr">
        <is>
          <t>elk</t>
        </is>
      </c>
      <c r="D405" s="4" t="n">
        <v>2025</v>
      </c>
      <c r="E405" s="13" t="inlineStr">
        <is>
          <t>General</t>
        </is>
      </c>
      <c r="F405" s="5" t="n"/>
      <c r="G405" s="5" t="n"/>
      <c r="H405" s="5" t="n">
        <v>172</v>
      </c>
      <c r="I405" s="5" t="n">
        <v>96</v>
      </c>
      <c r="J405" s="5" t="n">
        <v>70</v>
      </c>
      <c r="K405" s="10">
        <f>IF(F405&gt;0,H405/F405,"")</f>
        <v/>
      </c>
      <c r="L405" s="16">
        <f>IF(AND(G405&gt;0,H405&gt;0),G405/H405,"")</f>
        <v/>
      </c>
    </row>
    <row r="406">
      <c r="A406" s="4" t="inlineStr">
        <is>
          <t>211</t>
        </is>
      </c>
      <c r="B406" s="4" t="n">
        <v>2</v>
      </c>
      <c r="C406" s="4" t="inlineStr">
        <is>
          <t>elk</t>
        </is>
      </c>
      <c r="D406" s="4" t="n">
        <v>2021</v>
      </c>
      <c r="E406" s="13" t="inlineStr">
        <is>
          <t>General</t>
        </is>
      </c>
      <c r="F406" s="5" t="n"/>
      <c r="G406" s="5" t="n"/>
      <c r="H406" s="5" t="n">
        <v>125</v>
      </c>
      <c r="I406" s="5" t="n">
        <v>80</v>
      </c>
      <c r="J406" s="5" t="n">
        <v>42</v>
      </c>
      <c r="K406" s="10">
        <f>IF(F406&gt;0,H406/F406,"")</f>
        <v/>
      </c>
      <c r="L406" s="16">
        <f>IF(AND(G406&gt;0,H406&gt;0),G406/H406,"")</f>
        <v/>
      </c>
    </row>
    <row r="407">
      <c r="A407" s="4" t="inlineStr">
        <is>
          <t>211</t>
        </is>
      </c>
      <c r="B407" s="4" t="n">
        <v>2</v>
      </c>
      <c r="C407" s="4" t="inlineStr">
        <is>
          <t>elk</t>
        </is>
      </c>
      <c r="D407" s="4" t="n">
        <v>2022</v>
      </c>
      <c r="E407" s="13" t="inlineStr">
        <is>
          <t>General</t>
        </is>
      </c>
      <c r="F407" s="5" t="n">
        <v>776</v>
      </c>
      <c r="G407" s="5" t="n">
        <v>6684</v>
      </c>
      <c r="H407" s="5" t="n">
        <v>114</v>
      </c>
      <c r="I407" s="5" t="n">
        <v>103</v>
      </c>
      <c r="J407" s="5" t="n">
        <v>11</v>
      </c>
      <c r="K407" s="10">
        <f>IF(F407&gt;0,H407/F407,"")</f>
        <v/>
      </c>
      <c r="L407" s="16">
        <f>IF(AND(G407&gt;0,H407&gt;0),G407/H407,"")</f>
        <v/>
      </c>
    </row>
    <row r="408">
      <c r="A408" s="4" t="inlineStr">
        <is>
          <t>211</t>
        </is>
      </c>
      <c r="B408" s="4" t="n">
        <v>2</v>
      </c>
      <c r="C408" s="4" t="inlineStr">
        <is>
          <t>elk</t>
        </is>
      </c>
      <c r="D408" s="4" t="n">
        <v>2023</v>
      </c>
      <c r="E408" s="13" t="inlineStr">
        <is>
          <t>General</t>
        </is>
      </c>
      <c r="F408" s="5" t="n"/>
      <c r="G408" s="5" t="n"/>
      <c r="H408" s="5" t="n">
        <v>108</v>
      </c>
      <c r="I408" s="5" t="n">
        <v>73</v>
      </c>
      <c r="J408" s="5" t="n">
        <v>27</v>
      </c>
      <c r="K408" s="10">
        <f>IF(F408&gt;0,H408/F408,"")</f>
        <v/>
      </c>
      <c r="L408" s="16">
        <f>IF(AND(G408&gt;0,H408&gt;0),G408/H408,"")</f>
        <v/>
      </c>
    </row>
    <row r="409">
      <c r="A409" s="4" t="inlineStr">
        <is>
          <t>211</t>
        </is>
      </c>
      <c r="B409" s="4" t="n">
        <v>2</v>
      </c>
      <c r="C409" s="4" t="inlineStr">
        <is>
          <t>elk</t>
        </is>
      </c>
      <c r="D409" s="4" t="n">
        <v>2024</v>
      </c>
      <c r="E409" s="13" t="inlineStr">
        <is>
          <t>General</t>
        </is>
      </c>
      <c r="F409" s="5" t="n">
        <v>832</v>
      </c>
      <c r="G409" s="5" t="n">
        <v>7042</v>
      </c>
      <c r="H409" s="5" t="n">
        <v>124</v>
      </c>
      <c r="I409" s="5" t="n">
        <v>85</v>
      </c>
      <c r="J409" s="5" t="n">
        <v>39</v>
      </c>
      <c r="K409" s="10">
        <f>IF(F409&gt;0,H409/F409,"")</f>
        <v/>
      </c>
      <c r="L409" s="16">
        <f>IF(AND(G409&gt;0,H409&gt;0),G409/H409,"")</f>
        <v/>
      </c>
    </row>
    <row r="410">
      <c r="A410" s="4" t="inlineStr">
        <is>
          <t>211</t>
        </is>
      </c>
      <c r="B410" s="4" t="n">
        <v>2</v>
      </c>
      <c r="C410" s="4" t="inlineStr">
        <is>
          <t>elk</t>
        </is>
      </c>
      <c r="D410" s="4" t="n">
        <v>2025</v>
      </c>
      <c r="E410" s="13" t="inlineStr">
        <is>
          <t>General</t>
        </is>
      </c>
      <c r="F410" s="5" t="n"/>
      <c r="G410" s="5" t="n"/>
      <c r="H410" s="5" t="n">
        <v>100</v>
      </c>
      <c r="I410" s="5" t="n">
        <v>61</v>
      </c>
      <c r="J410" s="5" t="n">
        <v>35</v>
      </c>
      <c r="K410" s="10">
        <f>IF(F410&gt;0,H410/F410,"")</f>
        <v/>
      </c>
      <c r="L410" s="16">
        <f>IF(AND(G410&gt;0,H410&gt;0),G410/H410,"")</f>
        <v/>
      </c>
    </row>
    <row r="411">
      <c r="A411" s="4" t="inlineStr">
        <is>
          <t>212</t>
        </is>
      </c>
      <c r="B411" s="4" t="n">
        <v>2</v>
      </c>
      <c r="C411" s="4" t="inlineStr">
        <is>
          <t>elk</t>
        </is>
      </c>
      <c r="D411" s="4" t="n">
        <v>2021</v>
      </c>
      <c r="E411" s="13" t="inlineStr">
        <is>
          <t>General</t>
        </is>
      </c>
      <c r="F411" s="5" t="n"/>
      <c r="G411" s="5" t="n"/>
      <c r="H411" s="5" t="n">
        <v>30</v>
      </c>
      <c r="I411" s="5" t="n">
        <v>25</v>
      </c>
      <c r="J411" s="5" t="n">
        <v>2</v>
      </c>
      <c r="K411" s="10">
        <f>IF(F411&gt;0,H411/F411,"")</f>
        <v/>
      </c>
      <c r="L411" s="16">
        <f>IF(AND(G411&gt;0,H411&gt;0),G411/H411,"")</f>
        <v/>
      </c>
    </row>
    <row r="412">
      <c r="A412" s="4" t="inlineStr">
        <is>
          <t>212</t>
        </is>
      </c>
      <c r="B412" s="4" t="n">
        <v>2</v>
      </c>
      <c r="C412" s="4" t="inlineStr">
        <is>
          <t>elk</t>
        </is>
      </c>
      <c r="D412" s="4" t="n">
        <v>2022</v>
      </c>
      <c r="E412" s="13" t="inlineStr">
        <is>
          <t>General</t>
        </is>
      </c>
      <c r="F412" s="5" t="n">
        <v>455</v>
      </c>
      <c r="G412" s="5" t="n">
        <v>3233</v>
      </c>
      <c r="H412" s="5" t="n">
        <v>54</v>
      </c>
      <c r="I412" s="5" t="n">
        <v>45</v>
      </c>
      <c r="J412" s="5" t="n">
        <v>9</v>
      </c>
      <c r="K412" s="10">
        <f>IF(F412&gt;0,H412/F412,"")</f>
        <v/>
      </c>
      <c r="L412" s="16">
        <f>IF(AND(G412&gt;0,H412&gt;0),G412/H412,"")</f>
        <v/>
      </c>
    </row>
    <row r="413">
      <c r="A413" s="4" t="inlineStr">
        <is>
          <t>212</t>
        </is>
      </c>
      <c r="B413" s="4" t="n">
        <v>2</v>
      </c>
      <c r="C413" s="4" t="inlineStr">
        <is>
          <t>elk</t>
        </is>
      </c>
      <c r="D413" s="4" t="n">
        <v>2023</v>
      </c>
      <c r="E413" s="13" t="inlineStr">
        <is>
          <t>General</t>
        </is>
      </c>
      <c r="F413" s="5" t="n"/>
      <c r="G413" s="5" t="n"/>
      <c r="H413" s="5" t="n">
        <v>43</v>
      </c>
      <c r="I413" s="5" t="n">
        <v>43</v>
      </c>
      <c r="J413" s="5" t="n">
        <v>0</v>
      </c>
      <c r="K413" s="10">
        <f>IF(F413&gt;0,H413/F413,"")</f>
        <v/>
      </c>
      <c r="L413" s="16">
        <f>IF(AND(G413&gt;0,H413&gt;0),G413/H413,"")</f>
        <v/>
      </c>
    </row>
    <row r="414">
      <c r="A414" s="4" t="inlineStr">
        <is>
          <t>212</t>
        </is>
      </c>
      <c r="B414" s="4" t="n">
        <v>2</v>
      </c>
      <c r="C414" s="4" t="inlineStr">
        <is>
          <t>elk</t>
        </is>
      </c>
      <c r="D414" s="4" t="n">
        <v>2024</v>
      </c>
      <c r="E414" s="13" t="inlineStr">
        <is>
          <t>General</t>
        </is>
      </c>
      <c r="F414" s="5" t="n">
        <v>449</v>
      </c>
      <c r="G414" s="5" t="n">
        <v>3573</v>
      </c>
      <c r="H414" s="5" t="n">
        <v>26</v>
      </c>
      <c r="I414" s="5" t="n">
        <v>14</v>
      </c>
      <c r="J414" s="5" t="n">
        <v>11</v>
      </c>
      <c r="K414" s="10">
        <f>IF(F414&gt;0,H414/F414,"")</f>
        <v/>
      </c>
      <c r="L414" s="16">
        <f>IF(AND(G414&gt;0,H414&gt;0),G414/H414,"")</f>
        <v/>
      </c>
    </row>
    <row r="415">
      <c r="A415" s="4" t="inlineStr">
        <is>
          <t>212</t>
        </is>
      </c>
      <c r="B415" s="4" t="n">
        <v>2</v>
      </c>
      <c r="C415" s="4" t="inlineStr">
        <is>
          <t>elk</t>
        </is>
      </c>
      <c r="D415" s="4" t="n">
        <v>2025</v>
      </c>
      <c r="E415" s="13" t="inlineStr">
        <is>
          <t>General</t>
        </is>
      </c>
      <c r="F415" s="5" t="n"/>
      <c r="G415" s="5" t="n"/>
      <c r="H415" s="5" t="n">
        <v>38</v>
      </c>
      <c r="I415" s="5" t="n">
        <v>26</v>
      </c>
      <c r="J415" s="5" t="n">
        <v>12</v>
      </c>
      <c r="K415" s="10">
        <f>IF(F415&gt;0,H415/F415,"")</f>
        <v/>
      </c>
      <c r="L415" s="16">
        <f>IF(AND(G415&gt;0,H415&gt;0),G415/H415,"")</f>
        <v/>
      </c>
    </row>
    <row r="416">
      <c r="A416" s="4" t="inlineStr">
        <is>
          <t>213</t>
        </is>
      </c>
      <c r="B416" s="4" t="n">
        <v>2</v>
      </c>
      <c r="C416" s="4" t="inlineStr">
        <is>
          <t>elk</t>
        </is>
      </c>
      <c r="D416" s="4" t="n">
        <v>2021</v>
      </c>
      <c r="E416" s="13" t="inlineStr">
        <is>
          <t>General</t>
        </is>
      </c>
      <c r="F416" s="5" t="n"/>
      <c r="G416" s="5" t="n"/>
      <c r="H416" s="5" t="n">
        <v>349</v>
      </c>
      <c r="I416" s="5" t="n">
        <v>172</v>
      </c>
      <c r="J416" s="5" t="n">
        <v>170</v>
      </c>
      <c r="K416" s="10">
        <f>IF(F416&gt;0,H416/F416,"")</f>
        <v/>
      </c>
      <c r="L416" s="16">
        <f>IF(AND(G416&gt;0,H416&gt;0),G416/H416,"")</f>
        <v/>
      </c>
    </row>
    <row r="417">
      <c r="A417" s="4" t="inlineStr">
        <is>
          <t>213</t>
        </is>
      </c>
      <c r="B417" s="4" t="n">
        <v>2</v>
      </c>
      <c r="C417" s="4" t="inlineStr">
        <is>
          <t>elk</t>
        </is>
      </c>
      <c r="D417" s="4" t="n">
        <v>2022</v>
      </c>
      <c r="E417" s="13" t="inlineStr">
        <is>
          <t>General</t>
        </is>
      </c>
      <c r="F417" s="5" t="n">
        <v>1278</v>
      </c>
      <c r="G417" s="5" t="n">
        <v>10959</v>
      </c>
      <c r="H417" s="5" t="n">
        <v>334</v>
      </c>
      <c r="I417" s="5" t="n">
        <v>156</v>
      </c>
      <c r="J417" s="5" t="n">
        <v>178</v>
      </c>
      <c r="K417" s="10">
        <f>IF(F417&gt;0,H417/F417,"")</f>
        <v/>
      </c>
      <c r="L417" s="16">
        <f>IF(AND(G417&gt;0,H417&gt;0),G417/H417,"")</f>
        <v/>
      </c>
    </row>
    <row r="418">
      <c r="A418" s="4" t="inlineStr">
        <is>
          <t>213</t>
        </is>
      </c>
      <c r="B418" s="4" t="n">
        <v>2</v>
      </c>
      <c r="C418" s="4" t="inlineStr">
        <is>
          <t>elk</t>
        </is>
      </c>
      <c r="D418" s="4" t="n">
        <v>2023</v>
      </c>
      <c r="E418" s="13" t="inlineStr">
        <is>
          <t>General</t>
        </is>
      </c>
      <c r="F418" s="5" t="n"/>
      <c r="G418" s="5" t="n"/>
      <c r="H418" s="5" t="n">
        <v>294</v>
      </c>
      <c r="I418" s="5" t="n">
        <v>168</v>
      </c>
      <c r="J418" s="5" t="n">
        <v>124</v>
      </c>
      <c r="K418" s="10">
        <f>IF(F418&gt;0,H418/F418,"")</f>
        <v/>
      </c>
      <c r="L418" s="16">
        <f>IF(AND(G418&gt;0,H418&gt;0),G418/H418,"")</f>
        <v/>
      </c>
    </row>
    <row r="419">
      <c r="A419" s="4" t="inlineStr">
        <is>
          <t>213</t>
        </is>
      </c>
      <c r="B419" s="4" t="n">
        <v>2</v>
      </c>
      <c r="C419" s="4" t="inlineStr">
        <is>
          <t>elk</t>
        </is>
      </c>
      <c r="D419" s="4" t="n">
        <v>2024</v>
      </c>
      <c r="E419" s="13" t="inlineStr">
        <is>
          <t>General</t>
        </is>
      </c>
      <c r="F419" s="5" t="n">
        <v>1570</v>
      </c>
      <c r="G419" s="5" t="n">
        <v>15171</v>
      </c>
      <c r="H419" s="5" t="n">
        <v>369</v>
      </c>
      <c r="I419" s="5" t="n">
        <v>182</v>
      </c>
      <c r="J419" s="5" t="n">
        <v>185</v>
      </c>
      <c r="K419" s="10">
        <f>IF(F419&gt;0,H419/F419,"")</f>
        <v/>
      </c>
      <c r="L419" s="16">
        <f>IF(AND(G419&gt;0,H419&gt;0),G419/H419,"")</f>
        <v/>
      </c>
    </row>
    <row r="420">
      <c r="A420" s="4" t="inlineStr">
        <is>
          <t>213</t>
        </is>
      </c>
      <c r="B420" s="4" t="n">
        <v>2</v>
      </c>
      <c r="C420" s="4" t="inlineStr">
        <is>
          <t>elk</t>
        </is>
      </c>
      <c r="D420" s="4" t="n">
        <v>2025</v>
      </c>
      <c r="E420" s="13" t="inlineStr">
        <is>
          <t>General</t>
        </is>
      </c>
      <c r="F420" s="5" t="n"/>
      <c r="G420" s="5" t="n"/>
      <c r="H420" s="5" t="n">
        <v>325</v>
      </c>
      <c r="I420" s="5" t="n">
        <v>137</v>
      </c>
      <c r="J420" s="5" t="n">
        <v>184</v>
      </c>
      <c r="K420" s="10">
        <f>IF(F420&gt;0,H420/F420,"")</f>
        <v/>
      </c>
      <c r="L420" s="16">
        <f>IF(AND(G420&gt;0,H420&gt;0),G420/H420,"")</f>
        <v/>
      </c>
    </row>
    <row r="421">
      <c r="A421" s="4" t="inlineStr">
        <is>
          <t>214</t>
        </is>
      </c>
      <c r="B421" s="4" t="n">
        <v>2</v>
      </c>
      <c r="C421" s="4" t="inlineStr">
        <is>
          <t>elk</t>
        </is>
      </c>
      <c r="D421" s="4" t="n">
        <v>2021</v>
      </c>
      <c r="E421" s="13" t="inlineStr">
        <is>
          <t>General</t>
        </is>
      </c>
      <c r="F421" s="5" t="n"/>
      <c r="G421" s="5" t="n"/>
      <c r="H421" s="5" t="n">
        <v>15</v>
      </c>
      <c r="I421" s="5" t="n">
        <v>15</v>
      </c>
      <c r="J421" s="5" t="n">
        <v>0</v>
      </c>
      <c r="K421" s="10">
        <f>IF(F421&gt;0,H421/F421,"")</f>
        <v/>
      </c>
      <c r="L421" s="16">
        <f>IF(AND(G421&gt;0,H421&gt;0),G421/H421,"")</f>
        <v/>
      </c>
    </row>
    <row r="422">
      <c r="A422" s="4" t="inlineStr">
        <is>
          <t>214</t>
        </is>
      </c>
      <c r="B422" s="4" t="n">
        <v>2</v>
      </c>
      <c r="C422" s="4" t="inlineStr">
        <is>
          <t>elk</t>
        </is>
      </c>
      <c r="D422" s="4" t="n">
        <v>2022</v>
      </c>
      <c r="E422" s="13" t="inlineStr">
        <is>
          <t>General</t>
        </is>
      </c>
      <c r="F422" s="5" t="n">
        <v>326</v>
      </c>
      <c r="G422" s="5" t="n">
        <v>2434</v>
      </c>
      <c r="H422" s="5" t="n">
        <v>43</v>
      </c>
      <c r="I422" s="5" t="n">
        <v>41</v>
      </c>
      <c r="J422" s="5" t="n">
        <v>3</v>
      </c>
      <c r="K422" s="10">
        <f>IF(F422&gt;0,H422/F422,"")</f>
        <v/>
      </c>
      <c r="L422" s="16">
        <f>IF(AND(G422&gt;0,H422&gt;0),G422/H422,"")</f>
        <v/>
      </c>
    </row>
    <row r="423">
      <c r="A423" s="4" t="inlineStr">
        <is>
          <t>214</t>
        </is>
      </c>
      <c r="B423" s="4" t="n">
        <v>2</v>
      </c>
      <c r="C423" s="4" t="inlineStr">
        <is>
          <t>elk</t>
        </is>
      </c>
      <c r="D423" s="4" t="n">
        <v>2023</v>
      </c>
      <c r="E423" s="13" t="inlineStr">
        <is>
          <t>General</t>
        </is>
      </c>
      <c r="F423" s="5" t="n"/>
      <c r="G423" s="5" t="n"/>
      <c r="H423" s="5" t="n">
        <v>59</v>
      </c>
      <c r="I423" s="5" t="n">
        <v>59</v>
      </c>
      <c r="J423" s="5" t="n">
        <v>0</v>
      </c>
      <c r="K423" s="10">
        <f>IF(F423&gt;0,H423/F423,"")</f>
        <v/>
      </c>
      <c r="L423" s="16">
        <f>IF(AND(G423&gt;0,H423&gt;0),G423/H423,"")</f>
        <v/>
      </c>
    </row>
    <row r="424">
      <c r="A424" s="4" t="inlineStr">
        <is>
          <t>214</t>
        </is>
      </c>
      <c r="B424" s="4" t="n">
        <v>2</v>
      </c>
      <c r="C424" s="4" t="inlineStr">
        <is>
          <t>elk</t>
        </is>
      </c>
      <c r="D424" s="4" t="n">
        <v>2024</v>
      </c>
      <c r="E424" s="13" t="inlineStr">
        <is>
          <t>General</t>
        </is>
      </c>
      <c r="F424" s="5" t="n">
        <v>393</v>
      </c>
      <c r="G424" s="5" t="n">
        <v>3474</v>
      </c>
      <c r="H424" s="5" t="n">
        <v>25</v>
      </c>
      <c r="I424" s="5" t="n">
        <v>19</v>
      </c>
      <c r="J424" s="5" t="n">
        <v>6</v>
      </c>
      <c r="K424" s="10">
        <f>IF(F424&gt;0,H424/F424,"")</f>
        <v/>
      </c>
      <c r="L424" s="16">
        <f>IF(AND(G424&gt;0,H424&gt;0),G424/H424,"")</f>
        <v/>
      </c>
    </row>
    <row r="425">
      <c r="A425" s="4" t="inlineStr">
        <is>
          <t>214</t>
        </is>
      </c>
      <c r="B425" s="4" t="n">
        <v>2</v>
      </c>
      <c r="C425" s="4" t="inlineStr">
        <is>
          <t>elk</t>
        </is>
      </c>
      <c r="D425" s="4" t="n">
        <v>2025</v>
      </c>
      <c r="E425" s="13" t="inlineStr">
        <is>
          <t>General</t>
        </is>
      </c>
      <c r="F425" s="5" t="n"/>
      <c r="G425" s="5" t="n"/>
      <c r="H425" s="5" t="n">
        <v>25</v>
      </c>
      <c r="I425" s="5" t="n">
        <v>22</v>
      </c>
      <c r="J425" s="5" t="n">
        <v>4</v>
      </c>
      <c r="K425" s="10">
        <f>IF(F425&gt;0,H425/F425,"")</f>
        <v/>
      </c>
      <c r="L425" s="16">
        <f>IF(AND(G425&gt;0,H425&gt;0),G425/H425,"")</f>
        <v/>
      </c>
    </row>
    <row r="426">
      <c r="A426" s="4" t="inlineStr">
        <is>
          <t>215</t>
        </is>
      </c>
      <c r="B426" s="4" t="n">
        <v>2</v>
      </c>
      <c r="C426" s="4" t="inlineStr">
        <is>
          <t>elk</t>
        </is>
      </c>
      <c r="D426" s="4" t="n">
        <v>2021</v>
      </c>
      <c r="E426" s="13" t="inlineStr">
        <is>
          <t>General</t>
        </is>
      </c>
      <c r="F426" s="5" t="n"/>
      <c r="G426" s="5" t="n"/>
      <c r="H426" s="5" t="n">
        <v>298</v>
      </c>
      <c r="I426" s="5" t="n">
        <v>153</v>
      </c>
      <c r="J426" s="5" t="n">
        <v>145</v>
      </c>
      <c r="K426" s="10">
        <f>IF(F426&gt;0,H426/F426,"")</f>
        <v/>
      </c>
      <c r="L426" s="16">
        <f>IF(AND(G426&gt;0,H426&gt;0),G426/H426,"")</f>
        <v/>
      </c>
    </row>
    <row r="427">
      <c r="A427" s="4" t="inlineStr">
        <is>
          <t>215</t>
        </is>
      </c>
      <c r="B427" s="4" t="n">
        <v>2</v>
      </c>
      <c r="C427" s="4" t="inlineStr">
        <is>
          <t>elk</t>
        </is>
      </c>
      <c r="D427" s="4" t="n">
        <v>2022</v>
      </c>
      <c r="E427" s="13" t="inlineStr">
        <is>
          <t>General</t>
        </is>
      </c>
      <c r="F427" s="5" t="n">
        <v>1909</v>
      </c>
      <c r="G427" s="5" t="n">
        <v>14851</v>
      </c>
      <c r="H427" s="5" t="n">
        <v>327</v>
      </c>
      <c r="I427" s="5" t="n">
        <v>226</v>
      </c>
      <c r="J427" s="5" t="n">
        <v>91</v>
      </c>
      <c r="K427" s="10">
        <f>IF(F427&gt;0,H427/F427,"")</f>
        <v/>
      </c>
      <c r="L427" s="16">
        <f>IF(AND(G427&gt;0,H427&gt;0),G427/H427,"")</f>
        <v/>
      </c>
    </row>
    <row r="428">
      <c r="A428" s="4" t="inlineStr">
        <is>
          <t>215</t>
        </is>
      </c>
      <c r="B428" s="4" t="n">
        <v>2</v>
      </c>
      <c r="C428" s="4" t="inlineStr">
        <is>
          <t>elk</t>
        </is>
      </c>
      <c r="D428" s="4" t="n">
        <v>2023</v>
      </c>
      <c r="E428" s="13" t="inlineStr">
        <is>
          <t>General</t>
        </is>
      </c>
      <c r="F428" s="5" t="n"/>
      <c r="G428" s="5" t="n"/>
      <c r="H428" s="5" t="n">
        <v>331</v>
      </c>
      <c r="I428" s="5" t="n">
        <v>208</v>
      </c>
      <c r="J428" s="5" t="n">
        <v>117</v>
      </c>
      <c r="K428" s="10">
        <f>IF(F428&gt;0,H428/F428,"")</f>
        <v/>
      </c>
      <c r="L428" s="16">
        <f>IF(AND(G428&gt;0,H428&gt;0),G428/H428,"")</f>
        <v/>
      </c>
    </row>
    <row r="429">
      <c r="A429" s="4" t="inlineStr">
        <is>
          <t>215</t>
        </is>
      </c>
      <c r="B429" s="4" t="n">
        <v>2</v>
      </c>
      <c r="C429" s="4" t="inlineStr">
        <is>
          <t>elk</t>
        </is>
      </c>
      <c r="D429" s="4" t="n">
        <v>2024</v>
      </c>
      <c r="E429" s="13" t="inlineStr">
        <is>
          <t>General</t>
        </is>
      </c>
      <c r="F429" s="5" t="n">
        <v>2076</v>
      </c>
      <c r="G429" s="5" t="n">
        <v>18232</v>
      </c>
      <c r="H429" s="5" t="n">
        <v>284</v>
      </c>
      <c r="I429" s="5" t="n">
        <v>151</v>
      </c>
      <c r="J429" s="5" t="n">
        <v>134</v>
      </c>
      <c r="K429" s="10">
        <f>IF(F429&gt;0,H429/F429,"")</f>
        <v/>
      </c>
      <c r="L429" s="16">
        <f>IF(AND(G429&gt;0,H429&gt;0),G429/H429,"")</f>
        <v/>
      </c>
    </row>
    <row r="430">
      <c r="A430" s="4" t="inlineStr">
        <is>
          <t>215</t>
        </is>
      </c>
      <c r="B430" s="4" t="n">
        <v>2</v>
      </c>
      <c r="C430" s="4" t="inlineStr">
        <is>
          <t>elk</t>
        </is>
      </c>
      <c r="D430" s="4" t="n">
        <v>2025</v>
      </c>
      <c r="E430" s="13" t="inlineStr">
        <is>
          <t>General</t>
        </is>
      </c>
      <c r="F430" s="5" t="n"/>
      <c r="G430" s="5" t="n"/>
      <c r="H430" s="5" t="n">
        <v>346</v>
      </c>
      <c r="I430" s="5" t="n">
        <v>215</v>
      </c>
      <c r="J430" s="5" t="n">
        <v>129</v>
      </c>
      <c r="K430" s="10">
        <f>IF(F430&gt;0,H430/F430,"")</f>
        <v/>
      </c>
      <c r="L430" s="16">
        <f>IF(AND(G430&gt;0,H430&gt;0),G430/H430,"")</f>
        <v/>
      </c>
    </row>
    <row r="431">
      <c r="A431" s="4" t="inlineStr">
        <is>
          <t>216</t>
        </is>
      </c>
      <c r="B431" s="4" t="n">
        <v>2</v>
      </c>
      <c r="C431" s="4" t="inlineStr">
        <is>
          <t>elk</t>
        </is>
      </c>
      <c r="D431" s="4" t="n">
        <v>2021</v>
      </c>
      <c r="E431" s="13" t="inlineStr">
        <is>
          <t>General</t>
        </is>
      </c>
      <c r="F431" s="5" t="n"/>
      <c r="G431" s="5" t="n"/>
      <c r="H431" s="5" t="n">
        <v>49</v>
      </c>
      <c r="I431" s="5" t="n">
        <v>28</v>
      </c>
      <c r="J431" s="5" t="n">
        <v>20</v>
      </c>
      <c r="K431" s="10">
        <f>IF(F431&gt;0,H431/F431,"")</f>
        <v/>
      </c>
      <c r="L431" s="16">
        <f>IF(AND(G431&gt;0,H431&gt;0),G431/H431,"")</f>
        <v/>
      </c>
    </row>
    <row r="432">
      <c r="A432" s="4" t="inlineStr">
        <is>
          <t>216</t>
        </is>
      </c>
      <c r="B432" s="4" t="n">
        <v>2</v>
      </c>
      <c r="C432" s="4" t="inlineStr">
        <is>
          <t>elk</t>
        </is>
      </c>
      <c r="D432" s="4" t="n">
        <v>2022</v>
      </c>
      <c r="E432" s="13" t="inlineStr">
        <is>
          <t>General</t>
        </is>
      </c>
      <c r="F432" s="5" t="n">
        <v>500</v>
      </c>
      <c r="G432" s="5" t="n">
        <v>3345</v>
      </c>
      <c r="H432" s="5" t="n">
        <v>58</v>
      </c>
      <c r="I432" s="5" t="n">
        <v>35</v>
      </c>
      <c r="J432" s="5" t="n">
        <v>23</v>
      </c>
      <c r="K432" s="10">
        <f>IF(F432&gt;0,H432/F432,"")</f>
        <v/>
      </c>
      <c r="L432" s="16">
        <f>IF(AND(G432&gt;0,H432&gt;0),G432/H432,"")</f>
        <v/>
      </c>
    </row>
    <row r="433">
      <c r="A433" s="4" t="inlineStr">
        <is>
          <t>216</t>
        </is>
      </c>
      <c r="B433" s="4" t="n">
        <v>2</v>
      </c>
      <c r="C433" s="4" t="inlineStr">
        <is>
          <t>elk</t>
        </is>
      </c>
      <c r="D433" s="4" t="n">
        <v>2023</v>
      </c>
      <c r="E433" s="13" t="inlineStr">
        <is>
          <t>General</t>
        </is>
      </c>
      <c r="F433" s="5" t="n"/>
      <c r="G433" s="5" t="n"/>
      <c r="H433" s="5" t="n">
        <v>39</v>
      </c>
      <c r="I433" s="5" t="n">
        <v>21</v>
      </c>
      <c r="J433" s="5" t="n">
        <v>13</v>
      </c>
      <c r="K433" s="10">
        <f>IF(F433&gt;0,H433/F433,"")</f>
        <v/>
      </c>
      <c r="L433" s="16">
        <f>IF(AND(G433&gt;0,H433&gt;0),G433/H433,"")</f>
        <v/>
      </c>
    </row>
    <row r="434">
      <c r="A434" s="4" t="inlineStr">
        <is>
          <t>216</t>
        </is>
      </c>
      <c r="B434" s="4" t="n">
        <v>2</v>
      </c>
      <c r="C434" s="4" t="inlineStr">
        <is>
          <t>elk</t>
        </is>
      </c>
      <c r="D434" s="4" t="n">
        <v>2024</v>
      </c>
      <c r="E434" s="13" t="inlineStr">
        <is>
          <t>General</t>
        </is>
      </c>
      <c r="F434" s="5" t="n">
        <v>463</v>
      </c>
      <c r="G434" s="5" t="n">
        <v>3455</v>
      </c>
      <c r="H434" s="5" t="n">
        <v>50</v>
      </c>
      <c r="I434" s="5" t="n">
        <v>24</v>
      </c>
      <c r="J434" s="5" t="n">
        <v>25</v>
      </c>
      <c r="K434" s="10">
        <f>IF(F434&gt;0,H434/F434,"")</f>
        <v/>
      </c>
      <c r="L434" s="16">
        <f>IF(AND(G434&gt;0,H434&gt;0),G434/H434,"")</f>
        <v/>
      </c>
    </row>
    <row r="435">
      <c r="A435" s="4" t="inlineStr">
        <is>
          <t>216</t>
        </is>
      </c>
      <c r="B435" s="4" t="n">
        <v>2</v>
      </c>
      <c r="C435" s="4" t="inlineStr">
        <is>
          <t>elk</t>
        </is>
      </c>
      <c r="D435" s="4" t="n">
        <v>2025</v>
      </c>
      <c r="E435" s="13" t="inlineStr">
        <is>
          <t>General</t>
        </is>
      </c>
      <c r="F435" s="5" t="n"/>
      <c r="G435" s="5" t="n"/>
      <c r="H435" s="5" t="n">
        <v>44</v>
      </c>
      <c r="I435" s="5" t="n">
        <v>15</v>
      </c>
      <c r="J435" s="5" t="n">
        <v>29</v>
      </c>
      <c r="K435" s="10">
        <f>IF(F435&gt;0,H435/F435,"")</f>
        <v/>
      </c>
      <c r="L435" s="16">
        <f>IF(AND(G435&gt;0,H435&gt;0),G435/H435,"")</f>
        <v/>
      </c>
    </row>
    <row r="436">
      <c r="A436" s="4" t="inlineStr">
        <is>
          <t>217</t>
        </is>
      </c>
      <c r="B436" s="4" t="n">
        <v>2</v>
      </c>
      <c r="C436" s="4" t="inlineStr">
        <is>
          <t>elk</t>
        </is>
      </c>
      <c r="D436" s="4" t="n">
        <v>2021</v>
      </c>
      <c r="E436" s="15" t="inlineStr">
        <is>
          <t>Draw</t>
        </is>
      </c>
      <c r="F436" s="5" t="n"/>
      <c r="G436" s="5" t="n"/>
      <c r="H436" s="5" t="n">
        <v>81</v>
      </c>
      <c r="I436" s="5" t="n">
        <v>47</v>
      </c>
      <c r="J436" s="5" t="n">
        <v>34</v>
      </c>
      <c r="K436" s="10">
        <f>IF(F436&gt;0,H436/F436,"")</f>
        <v/>
      </c>
      <c r="L436" s="16">
        <f>IF(AND(G436&gt;0,H436&gt;0),G436/H436,"")</f>
        <v/>
      </c>
    </row>
    <row r="437">
      <c r="A437" s="4" t="inlineStr">
        <is>
          <t>217</t>
        </is>
      </c>
      <c r="B437" s="4" t="n">
        <v>2</v>
      </c>
      <c r="C437" s="4" t="inlineStr">
        <is>
          <t>elk</t>
        </is>
      </c>
      <c r="D437" s="4" t="n">
        <v>2022</v>
      </c>
      <c r="E437" s="15" t="inlineStr">
        <is>
          <t>Draw</t>
        </is>
      </c>
      <c r="F437" s="5" t="n">
        <v>444</v>
      </c>
      <c r="G437" s="5" t="n">
        <v>3361</v>
      </c>
      <c r="H437" s="5" t="n">
        <v>109</v>
      </c>
      <c r="I437" s="5" t="n">
        <v>57</v>
      </c>
      <c r="J437" s="5" t="n">
        <v>53</v>
      </c>
      <c r="K437" s="10">
        <f>IF(F437&gt;0,H437/F437,"")</f>
        <v/>
      </c>
      <c r="L437" s="16">
        <f>IF(AND(G437&gt;0,H437&gt;0),G437/H437,"")</f>
        <v/>
      </c>
    </row>
    <row r="438">
      <c r="A438" s="4" t="inlineStr">
        <is>
          <t>217</t>
        </is>
      </c>
      <c r="B438" s="4" t="n">
        <v>2</v>
      </c>
      <c r="C438" s="4" t="inlineStr">
        <is>
          <t>elk</t>
        </is>
      </c>
      <c r="D438" s="4" t="n">
        <v>2023</v>
      </c>
      <c r="E438" s="15" t="inlineStr">
        <is>
          <t>Draw</t>
        </is>
      </c>
      <c r="F438" s="5" t="n"/>
      <c r="G438" s="5" t="n"/>
      <c r="H438" s="5" t="n">
        <v>87</v>
      </c>
      <c r="I438" s="5" t="n">
        <v>60</v>
      </c>
      <c r="J438" s="5" t="n">
        <v>25</v>
      </c>
      <c r="K438" s="10">
        <f>IF(F438&gt;0,H438/F438,"")</f>
        <v/>
      </c>
      <c r="L438" s="16">
        <f>IF(AND(G438&gt;0,H438&gt;0),G438/H438,"")</f>
        <v/>
      </c>
    </row>
    <row r="439">
      <c r="A439" s="4" t="inlineStr">
        <is>
          <t>217</t>
        </is>
      </c>
      <c r="B439" s="4" t="n">
        <v>2</v>
      </c>
      <c r="C439" s="4" t="inlineStr">
        <is>
          <t>elk</t>
        </is>
      </c>
      <c r="D439" s="4" t="n">
        <v>2024</v>
      </c>
      <c r="E439" s="15" t="inlineStr">
        <is>
          <t>Draw</t>
        </is>
      </c>
      <c r="F439" s="5" t="n">
        <v>544</v>
      </c>
      <c r="G439" s="5" t="n">
        <v>4378</v>
      </c>
      <c r="H439" s="5" t="n">
        <v>92</v>
      </c>
      <c r="I439" s="5" t="n">
        <v>47</v>
      </c>
      <c r="J439" s="5" t="n">
        <v>43</v>
      </c>
      <c r="K439" s="10">
        <f>IF(F439&gt;0,H439/F439,"")</f>
        <v/>
      </c>
      <c r="L439" s="16">
        <f>IF(AND(G439&gt;0,H439&gt;0),G439/H439,"")</f>
        <v/>
      </c>
    </row>
    <row r="440">
      <c r="A440" s="4" t="inlineStr">
        <is>
          <t>217</t>
        </is>
      </c>
      <c r="B440" s="4" t="n">
        <v>2</v>
      </c>
      <c r="C440" s="4" t="inlineStr">
        <is>
          <t>elk</t>
        </is>
      </c>
      <c r="D440" s="4" t="n">
        <v>2025</v>
      </c>
      <c r="E440" s="15" t="inlineStr">
        <is>
          <t>Draw</t>
        </is>
      </c>
      <c r="F440" s="5" t="n"/>
      <c r="G440" s="5" t="n"/>
      <c r="H440" s="5" t="n">
        <v>105</v>
      </c>
      <c r="I440" s="5" t="n">
        <v>66</v>
      </c>
      <c r="J440" s="5" t="n">
        <v>39</v>
      </c>
      <c r="K440" s="10">
        <f>IF(F440&gt;0,H440/F440,"")</f>
        <v/>
      </c>
      <c r="L440" s="16">
        <f>IF(AND(G440&gt;0,H440&gt;0),G440/H440,"")</f>
        <v/>
      </c>
    </row>
    <row r="441">
      <c r="A441" s="4" t="inlineStr">
        <is>
          <t>240</t>
        </is>
      </c>
      <c r="B441" s="4" t="n">
        <v>2</v>
      </c>
      <c r="C441" s="4" t="inlineStr">
        <is>
          <t>elk</t>
        </is>
      </c>
      <c r="D441" s="4" t="n">
        <v>2021</v>
      </c>
      <c r="E441" s="13" t="inlineStr">
        <is>
          <t>General</t>
        </is>
      </c>
      <c r="F441" s="5" t="n"/>
      <c r="G441" s="5" t="n"/>
      <c r="H441" s="5" t="n">
        <v>207</v>
      </c>
      <c r="I441" s="5" t="n">
        <v>82</v>
      </c>
      <c r="J441" s="5" t="n">
        <v>124</v>
      </c>
      <c r="K441" s="10">
        <f>IF(F441&gt;0,H441/F441,"")</f>
        <v/>
      </c>
      <c r="L441" s="16">
        <f>IF(AND(G441&gt;0,H441&gt;0),G441/H441,"")</f>
        <v/>
      </c>
    </row>
    <row r="442">
      <c r="A442" s="4" t="inlineStr">
        <is>
          <t>240</t>
        </is>
      </c>
      <c r="B442" s="4" t="n">
        <v>2</v>
      </c>
      <c r="C442" s="4" t="inlineStr">
        <is>
          <t>elk</t>
        </is>
      </c>
      <c r="D442" s="4" t="n">
        <v>2022</v>
      </c>
      <c r="E442" s="13" t="inlineStr">
        <is>
          <t>General</t>
        </is>
      </c>
      <c r="F442" s="5" t="n">
        <v>1266</v>
      </c>
      <c r="G442" s="5" t="n">
        <v>9421</v>
      </c>
      <c r="H442" s="5" t="n">
        <v>203</v>
      </c>
      <c r="I442" s="5" t="n">
        <v>104</v>
      </c>
      <c r="J442" s="5" t="n">
        <v>99</v>
      </c>
      <c r="K442" s="10">
        <f>IF(F442&gt;0,H442/F442,"")</f>
        <v/>
      </c>
      <c r="L442" s="16">
        <f>IF(AND(G442&gt;0,H442&gt;0),G442/H442,"")</f>
        <v/>
      </c>
    </row>
    <row r="443">
      <c r="A443" s="4" t="inlineStr">
        <is>
          <t>240</t>
        </is>
      </c>
      <c r="B443" s="4" t="n">
        <v>2</v>
      </c>
      <c r="C443" s="4" t="inlineStr">
        <is>
          <t>elk</t>
        </is>
      </c>
      <c r="D443" s="4" t="n">
        <v>2023</v>
      </c>
      <c r="E443" s="13" t="inlineStr">
        <is>
          <t>General</t>
        </is>
      </c>
      <c r="F443" s="5" t="n"/>
      <c r="G443" s="5" t="n"/>
      <c r="H443" s="5" t="n">
        <v>136</v>
      </c>
      <c r="I443" s="5" t="n">
        <v>89</v>
      </c>
      <c r="J443" s="5" t="n">
        <v>43</v>
      </c>
      <c r="K443" s="10">
        <f>IF(F443&gt;0,H443/F443,"")</f>
        <v/>
      </c>
      <c r="L443" s="16">
        <f>IF(AND(G443&gt;0,H443&gt;0),G443/H443,"")</f>
        <v/>
      </c>
    </row>
    <row r="444">
      <c r="A444" s="4" t="inlineStr">
        <is>
          <t>240</t>
        </is>
      </c>
      <c r="B444" s="4" t="n">
        <v>2</v>
      </c>
      <c r="C444" s="4" t="inlineStr">
        <is>
          <t>elk</t>
        </is>
      </c>
      <c r="D444" s="4" t="n">
        <v>2024</v>
      </c>
      <c r="E444" s="13" t="inlineStr">
        <is>
          <t>General</t>
        </is>
      </c>
      <c r="F444" s="5" t="n">
        <v>1209</v>
      </c>
      <c r="G444" s="5" t="n">
        <v>8811</v>
      </c>
      <c r="H444" s="5" t="n">
        <v>120</v>
      </c>
      <c r="I444" s="5" t="n">
        <v>68</v>
      </c>
      <c r="J444" s="5" t="n">
        <v>47</v>
      </c>
      <c r="K444" s="10">
        <f>IF(F444&gt;0,H444/F444,"")</f>
        <v/>
      </c>
      <c r="L444" s="16">
        <f>IF(AND(G444&gt;0,H444&gt;0),G444/H444,"")</f>
        <v/>
      </c>
    </row>
    <row r="445">
      <c r="A445" s="4" t="inlineStr">
        <is>
          <t>240</t>
        </is>
      </c>
      <c r="B445" s="4" t="n">
        <v>2</v>
      </c>
      <c r="C445" s="4" t="inlineStr">
        <is>
          <t>elk</t>
        </is>
      </c>
      <c r="D445" s="4" t="n">
        <v>2025</v>
      </c>
      <c r="E445" s="13" t="inlineStr">
        <is>
          <t>General</t>
        </is>
      </c>
      <c r="F445" s="5" t="n"/>
      <c r="G445" s="5" t="n"/>
      <c r="H445" s="5" t="n">
        <v>136</v>
      </c>
      <c r="I445" s="5" t="n">
        <v>68</v>
      </c>
      <c r="J445" s="5" t="n">
        <v>69</v>
      </c>
      <c r="K445" s="10">
        <f>IF(F445&gt;0,H445/F445,"")</f>
        <v/>
      </c>
      <c r="L445" s="16">
        <f>IF(AND(G445&gt;0,H445&gt;0),G445/H445,"")</f>
        <v/>
      </c>
    </row>
    <row r="446">
      <c r="A446" s="4" t="inlineStr">
        <is>
          <t>250</t>
        </is>
      </c>
      <c r="B446" s="4" t="n">
        <v>2</v>
      </c>
      <c r="C446" s="4" t="inlineStr">
        <is>
          <t>elk</t>
        </is>
      </c>
      <c r="D446" s="4" t="n">
        <v>2021</v>
      </c>
      <c r="E446" s="15" t="inlineStr">
        <is>
          <t>Draw</t>
        </is>
      </c>
      <c r="F446" s="5" t="n"/>
      <c r="G446" s="5" t="n"/>
      <c r="H446" s="5" t="n">
        <v>36</v>
      </c>
      <c r="I446" s="5" t="n">
        <v>29</v>
      </c>
      <c r="J446" s="5" t="n">
        <v>7</v>
      </c>
      <c r="K446" s="10">
        <f>IF(F446&gt;0,H446/F446,"")</f>
        <v/>
      </c>
      <c r="L446" s="16">
        <f>IF(AND(G446&gt;0,H446&gt;0),G446/H446,"")</f>
        <v/>
      </c>
    </row>
    <row r="447">
      <c r="A447" s="4" t="inlineStr">
        <is>
          <t>250</t>
        </is>
      </c>
      <c r="B447" s="4" t="n">
        <v>2</v>
      </c>
      <c r="C447" s="4" t="inlineStr">
        <is>
          <t>elk</t>
        </is>
      </c>
      <c r="D447" s="4" t="n">
        <v>2022</v>
      </c>
      <c r="E447" s="15" t="inlineStr">
        <is>
          <t>Draw</t>
        </is>
      </c>
      <c r="F447" s="5" t="n">
        <v>138</v>
      </c>
      <c r="G447" s="5" t="n">
        <v>1410</v>
      </c>
      <c r="H447" s="5" t="n">
        <v>30</v>
      </c>
      <c r="I447" s="5" t="n">
        <v>26</v>
      </c>
      <c r="J447" s="5" t="n">
        <v>4</v>
      </c>
      <c r="K447" s="10">
        <f>IF(F447&gt;0,H447/F447,"")</f>
        <v/>
      </c>
      <c r="L447" s="16">
        <f>IF(AND(G447&gt;0,H447&gt;0),G447/H447,"")</f>
        <v/>
      </c>
    </row>
    <row r="448">
      <c r="A448" s="4" t="inlineStr">
        <is>
          <t>250</t>
        </is>
      </c>
      <c r="B448" s="4" t="n">
        <v>2</v>
      </c>
      <c r="C448" s="4" t="inlineStr">
        <is>
          <t>elk</t>
        </is>
      </c>
      <c r="D448" s="4" t="n">
        <v>2023</v>
      </c>
      <c r="E448" s="15" t="inlineStr">
        <is>
          <t>Draw</t>
        </is>
      </c>
      <c r="F448" s="5" t="n"/>
      <c r="G448" s="5" t="n"/>
      <c r="H448" s="5" t="n">
        <v>18</v>
      </c>
      <c r="I448" s="5" t="n">
        <v>14</v>
      </c>
      <c r="J448" s="5" t="n">
        <v>4</v>
      </c>
      <c r="K448" s="10">
        <f>IF(F448&gt;0,H448/F448,"")</f>
        <v/>
      </c>
      <c r="L448" s="16">
        <f>IF(AND(G448&gt;0,H448&gt;0),G448/H448,"")</f>
        <v/>
      </c>
    </row>
    <row r="449">
      <c r="A449" s="4" t="inlineStr">
        <is>
          <t>250</t>
        </is>
      </c>
      <c r="B449" s="4" t="n">
        <v>2</v>
      </c>
      <c r="C449" s="4" t="inlineStr">
        <is>
          <t>elk</t>
        </is>
      </c>
      <c r="D449" s="4" t="n">
        <v>2024</v>
      </c>
      <c r="E449" s="15" t="inlineStr">
        <is>
          <t>Draw</t>
        </is>
      </c>
      <c r="F449" s="5" t="n">
        <v>130</v>
      </c>
      <c r="G449" s="5" t="n">
        <v>1517</v>
      </c>
      <c r="H449" s="5" t="n">
        <v>51</v>
      </c>
      <c r="I449" s="5" t="n">
        <v>36</v>
      </c>
      <c r="J449" s="5" t="n">
        <v>15</v>
      </c>
      <c r="K449" s="10">
        <f>IF(F449&gt;0,H449/F449,"")</f>
        <v/>
      </c>
      <c r="L449" s="16">
        <f>IF(AND(G449&gt;0,H449&gt;0),G449/H449,"")</f>
        <v/>
      </c>
    </row>
    <row r="450">
      <c r="A450" s="4" t="inlineStr">
        <is>
          <t>250</t>
        </is>
      </c>
      <c r="B450" s="4" t="n">
        <v>2</v>
      </c>
      <c r="C450" s="4" t="inlineStr">
        <is>
          <t>elk</t>
        </is>
      </c>
      <c r="D450" s="4" t="n">
        <v>2025</v>
      </c>
      <c r="E450" s="15" t="inlineStr">
        <is>
          <t>Draw</t>
        </is>
      </c>
      <c r="F450" s="5" t="n"/>
      <c r="G450" s="5" t="n"/>
      <c r="H450" s="5" t="n">
        <v>38</v>
      </c>
      <c r="I450" s="5" t="n">
        <v>17</v>
      </c>
      <c r="J450" s="5" t="n">
        <v>21</v>
      </c>
      <c r="K450" s="10">
        <f>IF(F450&gt;0,H450/F450,"")</f>
        <v/>
      </c>
      <c r="L450" s="16">
        <f>IF(AND(G450&gt;0,H450&gt;0),G450/H450,"")</f>
        <v/>
      </c>
    </row>
    <row r="451">
      <c r="A451" s="4" t="inlineStr">
        <is>
          <t>260</t>
        </is>
      </c>
      <c r="B451" s="4" t="n">
        <v>2</v>
      </c>
      <c r="C451" s="4" t="inlineStr">
        <is>
          <t>elk</t>
        </is>
      </c>
      <c r="D451" s="4" t="n">
        <v>2021</v>
      </c>
      <c r="E451" s="13" t="inlineStr">
        <is>
          <t>General</t>
        </is>
      </c>
      <c r="F451" s="5" t="n"/>
      <c r="G451" s="5" t="n"/>
      <c r="H451" s="5" t="n">
        <v>43</v>
      </c>
      <c r="I451" s="5" t="n">
        <v>27</v>
      </c>
      <c r="J451" s="5" t="n">
        <v>16</v>
      </c>
      <c r="K451" s="10">
        <f>IF(F451&gt;0,H451/F451,"")</f>
        <v/>
      </c>
      <c r="L451" s="16">
        <f>IF(AND(G451&gt;0,H451&gt;0),G451/H451,"")</f>
        <v/>
      </c>
    </row>
    <row r="452">
      <c r="A452" s="4" t="inlineStr">
        <is>
          <t>260</t>
        </is>
      </c>
      <c r="B452" s="4" t="n">
        <v>2</v>
      </c>
      <c r="C452" s="4" t="inlineStr">
        <is>
          <t>elk</t>
        </is>
      </c>
      <c r="D452" s="4" t="n">
        <v>2022</v>
      </c>
      <c r="E452" s="13" t="inlineStr">
        <is>
          <t>General</t>
        </is>
      </c>
      <c r="F452" s="5" t="n">
        <v>283</v>
      </c>
      <c r="G452" s="5" t="n">
        <v>2079</v>
      </c>
      <c r="H452" s="5" t="n">
        <v>16</v>
      </c>
      <c r="I452" s="5" t="n">
        <v>9</v>
      </c>
      <c r="J452" s="5" t="n">
        <v>6</v>
      </c>
      <c r="K452" s="10">
        <f>IF(F452&gt;0,H452/F452,"")</f>
        <v/>
      </c>
      <c r="L452" s="16">
        <f>IF(AND(G452&gt;0,H452&gt;0),G452/H452,"")</f>
        <v/>
      </c>
    </row>
    <row r="453">
      <c r="A453" s="4" t="inlineStr">
        <is>
          <t>260</t>
        </is>
      </c>
      <c r="B453" s="4" t="n">
        <v>2</v>
      </c>
      <c r="C453" s="4" t="inlineStr">
        <is>
          <t>elk</t>
        </is>
      </c>
      <c r="D453" s="4" t="n">
        <v>2023</v>
      </c>
      <c r="E453" s="13" t="inlineStr">
        <is>
          <t>General</t>
        </is>
      </c>
      <c r="F453" s="5" t="n"/>
      <c r="G453" s="5" t="n"/>
      <c r="H453" s="5" t="n">
        <v>32</v>
      </c>
      <c r="I453" s="5" t="n">
        <v>12</v>
      </c>
      <c r="J453" s="5" t="n">
        <v>17</v>
      </c>
      <c r="K453" s="10">
        <f>IF(F453&gt;0,H453/F453,"")</f>
        <v/>
      </c>
      <c r="L453" s="16">
        <f>IF(AND(G453&gt;0,H453&gt;0),G453/H453,"")</f>
        <v/>
      </c>
    </row>
    <row r="454">
      <c r="A454" s="4" t="inlineStr">
        <is>
          <t>260</t>
        </is>
      </c>
      <c r="B454" s="4" t="n">
        <v>2</v>
      </c>
      <c r="C454" s="4" t="inlineStr">
        <is>
          <t>elk</t>
        </is>
      </c>
      <c r="D454" s="4" t="n">
        <v>2024</v>
      </c>
      <c r="E454" s="13" t="inlineStr">
        <is>
          <t>General</t>
        </is>
      </c>
      <c r="F454" s="5" t="n">
        <v>447</v>
      </c>
      <c r="G454" s="5" t="n">
        <v>3199</v>
      </c>
      <c r="H454" s="5" t="n">
        <v>50</v>
      </c>
      <c r="I454" s="5" t="n">
        <v>24</v>
      </c>
      <c r="J454" s="5" t="n">
        <v>24</v>
      </c>
      <c r="K454" s="10">
        <f>IF(F454&gt;0,H454/F454,"")</f>
        <v/>
      </c>
      <c r="L454" s="16">
        <f>IF(AND(G454&gt;0,H454&gt;0),G454/H454,"")</f>
        <v/>
      </c>
    </row>
    <row r="455">
      <c r="A455" s="4" t="inlineStr">
        <is>
          <t>260</t>
        </is>
      </c>
      <c r="B455" s="4" t="n">
        <v>2</v>
      </c>
      <c r="C455" s="4" t="inlineStr">
        <is>
          <t>elk</t>
        </is>
      </c>
      <c r="D455" s="4" t="n">
        <v>2025</v>
      </c>
      <c r="E455" s="13" t="inlineStr">
        <is>
          <t>General</t>
        </is>
      </c>
      <c r="F455" s="5" t="n"/>
      <c r="G455" s="5" t="n"/>
      <c r="H455" s="5" t="n">
        <v>33</v>
      </c>
      <c r="I455" s="5" t="n">
        <v>15</v>
      </c>
      <c r="J455" s="5" t="n">
        <v>19</v>
      </c>
      <c r="K455" s="10">
        <f>IF(F455&gt;0,H455/F455,"")</f>
        <v/>
      </c>
      <c r="L455" s="16">
        <f>IF(AND(G455&gt;0,H455&gt;0),G455/H455,"")</f>
        <v/>
      </c>
    </row>
    <row r="456">
      <c r="A456" s="4" t="inlineStr">
        <is>
          <t>261</t>
        </is>
      </c>
      <c r="B456" s="4" t="n">
        <v>2</v>
      </c>
      <c r="C456" s="4" t="inlineStr">
        <is>
          <t>elk</t>
        </is>
      </c>
      <c r="D456" s="4" t="n">
        <v>2021</v>
      </c>
      <c r="E456" s="13" t="inlineStr">
        <is>
          <t>General</t>
        </is>
      </c>
      <c r="F456" s="5" t="n"/>
      <c r="G456" s="5" t="n"/>
      <c r="H456" s="5" t="n">
        <v>54</v>
      </c>
      <c r="I456" s="5" t="n">
        <v>47</v>
      </c>
      <c r="J456" s="5" t="n">
        <v>7</v>
      </c>
      <c r="K456" s="10">
        <f>IF(F456&gt;0,H456/F456,"")</f>
        <v/>
      </c>
      <c r="L456" s="16">
        <f>IF(AND(G456&gt;0,H456&gt;0),G456/H456,"")</f>
        <v/>
      </c>
    </row>
    <row r="457">
      <c r="A457" s="4" t="inlineStr">
        <is>
          <t>261</t>
        </is>
      </c>
      <c r="B457" s="4" t="n">
        <v>2</v>
      </c>
      <c r="C457" s="4" t="inlineStr">
        <is>
          <t>elk</t>
        </is>
      </c>
      <c r="D457" s="4" t="n">
        <v>2022</v>
      </c>
      <c r="E457" s="13" t="inlineStr">
        <is>
          <t>General</t>
        </is>
      </c>
      <c r="F457" s="5" t="n">
        <v>520</v>
      </c>
      <c r="G457" s="5" t="n">
        <v>3671</v>
      </c>
      <c r="H457" s="5" t="n">
        <v>89</v>
      </c>
      <c r="I457" s="5" t="n">
        <v>56</v>
      </c>
      <c r="J457" s="5" t="n">
        <v>30</v>
      </c>
      <c r="K457" s="10">
        <f>IF(F457&gt;0,H457/F457,"")</f>
        <v/>
      </c>
      <c r="L457" s="16">
        <f>IF(AND(G457&gt;0,H457&gt;0),G457/H457,"")</f>
        <v/>
      </c>
    </row>
    <row r="458">
      <c r="A458" s="4" t="inlineStr">
        <is>
          <t>261</t>
        </is>
      </c>
      <c r="B458" s="4" t="n">
        <v>2</v>
      </c>
      <c r="C458" s="4" t="inlineStr">
        <is>
          <t>elk</t>
        </is>
      </c>
      <c r="D458" s="4" t="n">
        <v>2023</v>
      </c>
      <c r="E458" s="13" t="inlineStr">
        <is>
          <t>General</t>
        </is>
      </c>
      <c r="F458" s="5" t="n"/>
      <c r="G458" s="5" t="n"/>
      <c r="H458" s="5" t="n">
        <v>25</v>
      </c>
      <c r="I458" s="5" t="n">
        <v>12</v>
      </c>
      <c r="J458" s="5" t="n">
        <v>14</v>
      </c>
      <c r="K458" s="10">
        <f>IF(F458&gt;0,H458/F458,"")</f>
        <v/>
      </c>
      <c r="L458" s="16">
        <f>IF(AND(G458&gt;0,H458&gt;0),G458/H458,"")</f>
        <v/>
      </c>
    </row>
    <row r="459">
      <c r="A459" s="4" t="inlineStr">
        <is>
          <t>261</t>
        </is>
      </c>
      <c r="B459" s="4" t="n">
        <v>2</v>
      </c>
      <c r="C459" s="4" t="inlineStr">
        <is>
          <t>elk</t>
        </is>
      </c>
      <c r="D459" s="4" t="n">
        <v>2024</v>
      </c>
      <c r="E459" s="13" t="inlineStr">
        <is>
          <t>General</t>
        </is>
      </c>
      <c r="F459" s="5" t="n">
        <v>473</v>
      </c>
      <c r="G459" s="5" t="n">
        <v>3809</v>
      </c>
      <c r="H459" s="5" t="n">
        <v>48</v>
      </c>
      <c r="I459" s="5" t="n">
        <v>29</v>
      </c>
      <c r="J459" s="5" t="n">
        <v>19</v>
      </c>
      <c r="K459" s="10">
        <f>IF(F459&gt;0,H459/F459,"")</f>
        <v/>
      </c>
      <c r="L459" s="16">
        <f>IF(AND(G459&gt;0,H459&gt;0),G459/H459,"")</f>
        <v/>
      </c>
    </row>
    <row r="460">
      <c r="A460" s="4" t="inlineStr">
        <is>
          <t>261</t>
        </is>
      </c>
      <c r="B460" s="4" t="n">
        <v>2</v>
      </c>
      <c r="C460" s="4" t="inlineStr">
        <is>
          <t>elk</t>
        </is>
      </c>
      <c r="D460" s="4" t="n">
        <v>2025</v>
      </c>
      <c r="E460" s="13" t="inlineStr">
        <is>
          <t>General</t>
        </is>
      </c>
      <c r="F460" s="5" t="n"/>
      <c r="G460" s="5" t="n"/>
      <c r="H460" s="5" t="n">
        <v>57</v>
      </c>
      <c r="I460" s="5" t="n">
        <v>36</v>
      </c>
      <c r="J460" s="5" t="n">
        <v>21</v>
      </c>
      <c r="K460" s="10">
        <f>IF(F460&gt;0,H460/F460,"")</f>
        <v/>
      </c>
      <c r="L460" s="16">
        <f>IF(AND(G460&gt;0,H460&gt;0),G460/H460,"")</f>
        <v/>
      </c>
    </row>
    <row r="461">
      <c r="A461" s="4" t="inlineStr">
        <is>
          <t>262</t>
        </is>
      </c>
      <c r="B461" s="4" t="n">
        <v>2</v>
      </c>
      <c r="C461" s="4" t="inlineStr">
        <is>
          <t>elk</t>
        </is>
      </c>
      <c r="D461" s="4" t="n">
        <v>2021</v>
      </c>
      <c r="E461" s="13" t="inlineStr">
        <is>
          <t>General</t>
        </is>
      </c>
      <c r="F461" s="5" t="n"/>
      <c r="G461" s="5" t="n"/>
      <c r="H461" s="5" t="n">
        <v>122</v>
      </c>
      <c r="I461" s="5" t="n">
        <v>4</v>
      </c>
      <c r="J461" s="5" t="n">
        <v>114</v>
      </c>
      <c r="K461" s="10">
        <f>IF(F461&gt;0,H461/F461,"")</f>
        <v/>
      </c>
      <c r="L461" s="16">
        <f>IF(AND(G461&gt;0,H461&gt;0),G461/H461,"")</f>
        <v/>
      </c>
    </row>
    <row r="462">
      <c r="A462" s="4" t="inlineStr">
        <is>
          <t>262</t>
        </is>
      </c>
      <c r="B462" s="4" t="n">
        <v>2</v>
      </c>
      <c r="C462" s="4" t="inlineStr">
        <is>
          <t>elk</t>
        </is>
      </c>
      <c r="D462" s="4" t="n">
        <v>2022</v>
      </c>
      <c r="E462" s="13" t="inlineStr">
        <is>
          <t>General</t>
        </is>
      </c>
      <c r="F462" s="5" t="n">
        <v>362</v>
      </c>
      <c r="G462" s="5" t="n">
        <v>2352</v>
      </c>
      <c r="H462" s="5" t="n">
        <v>109</v>
      </c>
      <c r="I462" s="5" t="n">
        <v>20</v>
      </c>
      <c r="J462" s="5" t="n">
        <v>89</v>
      </c>
      <c r="K462" s="10">
        <f>IF(F462&gt;0,H462/F462,"")</f>
        <v/>
      </c>
      <c r="L462" s="16">
        <f>IF(AND(G462&gt;0,H462&gt;0),G462/H462,"")</f>
        <v/>
      </c>
    </row>
    <row r="463">
      <c r="A463" s="4" t="inlineStr">
        <is>
          <t>262</t>
        </is>
      </c>
      <c r="B463" s="4" t="n">
        <v>2</v>
      </c>
      <c r="C463" s="4" t="inlineStr">
        <is>
          <t>elk</t>
        </is>
      </c>
      <c r="D463" s="4" t="n">
        <v>2023</v>
      </c>
      <c r="E463" s="13" t="inlineStr">
        <is>
          <t>General</t>
        </is>
      </c>
      <c r="F463" s="5" t="n"/>
      <c r="G463" s="5" t="n"/>
      <c r="H463" s="5" t="n">
        <v>113</v>
      </c>
      <c r="I463" s="5" t="n">
        <v>21</v>
      </c>
      <c r="J463" s="5" t="n">
        <v>86</v>
      </c>
      <c r="K463" s="10">
        <f>IF(F463&gt;0,H463/F463,"")</f>
        <v/>
      </c>
      <c r="L463" s="16">
        <f>IF(AND(G463&gt;0,H463&gt;0),G463/H463,"")</f>
        <v/>
      </c>
    </row>
    <row r="464">
      <c r="A464" s="4" t="inlineStr">
        <is>
          <t>262</t>
        </is>
      </c>
      <c r="B464" s="4" t="n">
        <v>2</v>
      </c>
      <c r="C464" s="4" t="inlineStr">
        <is>
          <t>elk</t>
        </is>
      </c>
      <c r="D464" s="4" t="n">
        <v>2024</v>
      </c>
      <c r="E464" s="13" t="inlineStr">
        <is>
          <t>General</t>
        </is>
      </c>
      <c r="F464" s="5" t="n">
        <v>378</v>
      </c>
      <c r="G464" s="5" t="n">
        <v>2804</v>
      </c>
      <c r="H464" s="5" t="n">
        <v>93</v>
      </c>
      <c r="I464" s="5" t="n">
        <v>9</v>
      </c>
      <c r="J464" s="5" t="n">
        <v>84</v>
      </c>
      <c r="K464" s="10">
        <f>IF(F464&gt;0,H464/F464,"")</f>
        <v/>
      </c>
      <c r="L464" s="16">
        <f>IF(AND(G464&gt;0,H464&gt;0),G464/H464,"")</f>
        <v/>
      </c>
    </row>
    <row r="465">
      <c r="A465" s="4" t="inlineStr">
        <is>
          <t>262</t>
        </is>
      </c>
      <c r="B465" s="4" t="n">
        <v>2</v>
      </c>
      <c r="C465" s="4" t="inlineStr">
        <is>
          <t>elk</t>
        </is>
      </c>
      <c r="D465" s="4" t="n">
        <v>2025</v>
      </c>
      <c r="E465" s="13" t="inlineStr">
        <is>
          <t>General</t>
        </is>
      </c>
      <c r="F465" s="5" t="n"/>
      <c r="G465" s="5" t="n"/>
      <c r="H465" s="5" t="n">
        <v>184</v>
      </c>
      <c r="I465" s="5" t="n">
        <v>36</v>
      </c>
      <c r="J465" s="5" t="n">
        <v>141</v>
      </c>
      <c r="K465" s="10">
        <f>IF(F465&gt;0,H465/F465,"")</f>
        <v/>
      </c>
      <c r="L465" s="16">
        <f>IF(AND(G465&gt;0,H465&gt;0),G465/H465,"")</f>
        <v/>
      </c>
    </row>
    <row r="466">
      <c r="A466" s="4" t="inlineStr">
        <is>
          <t>270</t>
        </is>
      </c>
      <c r="B466" s="4" t="n">
        <v>2</v>
      </c>
      <c r="C466" s="4" t="inlineStr">
        <is>
          <t>elk</t>
        </is>
      </c>
      <c r="D466" s="4" t="n">
        <v>2021</v>
      </c>
      <c r="E466" s="15" t="inlineStr">
        <is>
          <t>Draw</t>
        </is>
      </c>
      <c r="F466" s="5" t="n"/>
      <c r="G466" s="5" t="n"/>
      <c r="H466" s="5" t="n">
        <v>408</v>
      </c>
      <c r="I466" s="5" t="n">
        <v>268</v>
      </c>
      <c r="J466" s="5" t="n">
        <v>140</v>
      </c>
      <c r="K466" s="10">
        <f>IF(F466&gt;0,H466/F466,"")</f>
        <v/>
      </c>
      <c r="L466" s="16">
        <f>IF(AND(G466&gt;0,H466&gt;0),G466/H466,"")</f>
        <v/>
      </c>
    </row>
    <row r="467">
      <c r="A467" s="4" t="inlineStr">
        <is>
          <t>270</t>
        </is>
      </c>
      <c r="B467" s="4" t="n">
        <v>2</v>
      </c>
      <c r="C467" s="4" t="inlineStr">
        <is>
          <t>elk</t>
        </is>
      </c>
      <c r="D467" s="4" t="n">
        <v>2022</v>
      </c>
      <c r="E467" s="15" t="inlineStr">
        <is>
          <t>Draw</t>
        </is>
      </c>
      <c r="F467" s="5" t="n">
        <v>2876</v>
      </c>
      <c r="G467" s="5" t="n">
        <v>22919</v>
      </c>
      <c r="H467" s="5" t="n">
        <v>633</v>
      </c>
      <c r="I467" s="5" t="n">
        <v>342</v>
      </c>
      <c r="J467" s="5" t="n">
        <v>283</v>
      </c>
      <c r="K467" s="10">
        <f>IF(F467&gt;0,H467/F467,"")</f>
        <v/>
      </c>
      <c r="L467" s="16">
        <f>IF(AND(G467&gt;0,H467&gt;0),G467/H467,"")</f>
        <v/>
      </c>
    </row>
    <row r="468">
      <c r="A468" s="4" t="inlineStr">
        <is>
          <t>270</t>
        </is>
      </c>
      <c r="B468" s="4" t="n">
        <v>2</v>
      </c>
      <c r="C468" s="4" t="inlineStr">
        <is>
          <t>elk</t>
        </is>
      </c>
      <c r="D468" s="4" t="n">
        <v>2023</v>
      </c>
      <c r="E468" s="15" t="inlineStr">
        <is>
          <t>Draw</t>
        </is>
      </c>
      <c r="F468" s="5" t="n"/>
      <c r="G468" s="5" t="n"/>
      <c r="H468" s="5" t="n">
        <v>424</v>
      </c>
      <c r="I468" s="5" t="n">
        <v>234</v>
      </c>
      <c r="J468" s="5" t="n">
        <v>184</v>
      </c>
      <c r="K468" s="10">
        <f>IF(F468&gt;0,H468/F468,"")</f>
        <v/>
      </c>
      <c r="L468" s="16">
        <f>IF(AND(G468&gt;0,H468&gt;0),G468/H468,"")</f>
        <v/>
      </c>
    </row>
    <row r="469">
      <c r="A469" s="4" t="inlineStr">
        <is>
          <t>270</t>
        </is>
      </c>
      <c r="B469" s="4" t="n">
        <v>2</v>
      </c>
      <c r="C469" s="4" t="inlineStr">
        <is>
          <t>elk</t>
        </is>
      </c>
      <c r="D469" s="4" t="n">
        <v>2024</v>
      </c>
      <c r="E469" s="15" t="inlineStr">
        <is>
          <t>Draw</t>
        </is>
      </c>
      <c r="F469" s="5" t="n">
        <v>3320</v>
      </c>
      <c r="G469" s="5" t="n">
        <v>29984</v>
      </c>
      <c r="H469" s="5" t="n">
        <v>662</v>
      </c>
      <c r="I469" s="5" t="n">
        <v>321</v>
      </c>
      <c r="J469" s="5" t="n">
        <v>333</v>
      </c>
      <c r="K469" s="10">
        <f>IF(F469&gt;0,H469/F469,"")</f>
        <v/>
      </c>
      <c r="L469" s="16">
        <f>IF(AND(G469&gt;0,H469&gt;0),G469/H469,"")</f>
        <v/>
      </c>
    </row>
    <row r="470">
      <c r="A470" s="4" t="inlineStr">
        <is>
          <t>270</t>
        </is>
      </c>
      <c r="B470" s="4" t="n">
        <v>2</v>
      </c>
      <c r="C470" s="4" t="inlineStr">
        <is>
          <t>elk</t>
        </is>
      </c>
      <c r="D470" s="4" t="n">
        <v>2025</v>
      </c>
      <c r="E470" s="15" t="inlineStr">
        <is>
          <t>Draw</t>
        </is>
      </c>
      <c r="F470" s="5" t="n"/>
      <c r="G470" s="5" t="n"/>
      <c r="H470" s="5" t="n">
        <v>621</v>
      </c>
      <c r="I470" s="5" t="n">
        <v>312</v>
      </c>
      <c r="J470" s="5" t="n">
        <v>301</v>
      </c>
      <c r="K470" s="10">
        <f>IF(F470&gt;0,H470/F470,"")</f>
        <v/>
      </c>
      <c r="L470" s="16">
        <f>IF(AND(G470&gt;0,H470&gt;0),G470/H470,"")</f>
        <v/>
      </c>
    </row>
    <row r="471">
      <c r="A471" s="4" t="inlineStr">
        <is>
          <t>280</t>
        </is>
      </c>
      <c r="B471" s="4" t="n">
        <v>2</v>
      </c>
      <c r="C471" s="4" t="inlineStr">
        <is>
          <t>elk</t>
        </is>
      </c>
      <c r="D471" s="4" t="n">
        <v>2021</v>
      </c>
      <c r="E471" s="13" t="inlineStr">
        <is>
          <t>General</t>
        </is>
      </c>
      <c r="F471" s="5" t="n"/>
      <c r="G471" s="5" t="n"/>
      <c r="H471" s="5" t="n">
        <v>22</v>
      </c>
      <c r="I471" s="5" t="n">
        <v>22</v>
      </c>
      <c r="J471" s="5" t="n">
        <v>0</v>
      </c>
      <c r="K471" s="10">
        <f>IF(F471&gt;0,H471/F471,"")</f>
        <v/>
      </c>
      <c r="L471" s="16">
        <f>IF(AND(G471&gt;0,H471&gt;0),G471/H471,"")</f>
        <v/>
      </c>
    </row>
    <row r="472">
      <c r="A472" s="4" t="inlineStr">
        <is>
          <t>280</t>
        </is>
      </c>
      <c r="B472" s="4" t="n">
        <v>2</v>
      </c>
      <c r="C472" s="4" t="inlineStr">
        <is>
          <t>elk</t>
        </is>
      </c>
      <c r="D472" s="4" t="n">
        <v>2022</v>
      </c>
      <c r="E472" s="13" t="inlineStr">
        <is>
          <t>General</t>
        </is>
      </c>
      <c r="F472" s="5" t="n">
        <v>196</v>
      </c>
      <c r="G472" s="5" t="n">
        <v>1643</v>
      </c>
      <c r="H472" s="5" t="n">
        <v>32</v>
      </c>
      <c r="I472" s="5" t="n">
        <v>26</v>
      </c>
      <c r="J472" s="5" t="n">
        <v>7</v>
      </c>
      <c r="K472" s="10">
        <f>IF(F472&gt;0,H472/F472,"")</f>
        <v/>
      </c>
      <c r="L472" s="16">
        <f>IF(AND(G472&gt;0,H472&gt;0),G472/H472,"")</f>
        <v/>
      </c>
    </row>
    <row r="473">
      <c r="A473" s="4" t="inlineStr">
        <is>
          <t>280</t>
        </is>
      </c>
      <c r="B473" s="4" t="n">
        <v>2</v>
      </c>
      <c r="C473" s="4" t="inlineStr">
        <is>
          <t>elk</t>
        </is>
      </c>
      <c r="D473" s="4" t="n">
        <v>2023</v>
      </c>
      <c r="E473" s="13" t="inlineStr">
        <is>
          <t>General</t>
        </is>
      </c>
      <c r="F473" s="5" t="n"/>
      <c r="G473" s="5" t="n"/>
      <c r="H473" s="5" t="n">
        <v>21</v>
      </c>
      <c r="I473" s="5" t="n">
        <v>21</v>
      </c>
      <c r="J473" s="5" t="n">
        <v>0</v>
      </c>
      <c r="K473" s="10">
        <f>IF(F473&gt;0,H473/F473,"")</f>
        <v/>
      </c>
      <c r="L473" s="16">
        <f>IF(AND(G473&gt;0,H473&gt;0),G473/H473,"")</f>
        <v/>
      </c>
    </row>
    <row r="474">
      <c r="A474" s="4" t="inlineStr">
        <is>
          <t>280</t>
        </is>
      </c>
      <c r="B474" s="4" t="n">
        <v>2</v>
      </c>
      <c r="C474" s="4" t="inlineStr">
        <is>
          <t>elk</t>
        </is>
      </c>
      <c r="D474" s="4" t="n">
        <v>2024</v>
      </c>
      <c r="E474" s="13" t="inlineStr">
        <is>
          <t>General</t>
        </is>
      </c>
      <c r="F474" s="5" t="n">
        <v>212</v>
      </c>
      <c r="G474" s="5" t="n">
        <v>1509</v>
      </c>
      <c r="H474" s="5" t="n">
        <v>44</v>
      </c>
      <c r="I474" s="5" t="n">
        <v>44</v>
      </c>
      <c r="J474" s="5" t="n">
        <v>0</v>
      </c>
      <c r="K474" s="10">
        <f>IF(F474&gt;0,H474/F474,"")</f>
        <v/>
      </c>
      <c r="L474" s="16">
        <f>IF(AND(G474&gt;0,H474&gt;0),G474/H474,"")</f>
        <v/>
      </c>
    </row>
    <row r="475">
      <c r="A475" s="4" t="inlineStr">
        <is>
          <t>280</t>
        </is>
      </c>
      <c r="B475" s="4" t="n">
        <v>2</v>
      </c>
      <c r="C475" s="4" t="inlineStr">
        <is>
          <t>elk</t>
        </is>
      </c>
      <c r="D475" s="4" t="n">
        <v>2025</v>
      </c>
      <c r="E475" s="13" t="inlineStr">
        <is>
          <t>General</t>
        </is>
      </c>
      <c r="F475" s="5" t="n"/>
      <c r="G475" s="5" t="n"/>
      <c r="H475" s="5" t="n">
        <v>17</v>
      </c>
      <c r="I475" s="5" t="n">
        <v>14</v>
      </c>
      <c r="J475" s="5" t="n">
        <v>4</v>
      </c>
      <c r="K475" s="10">
        <f>IF(F475&gt;0,H475/F475,"")</f>
        <v/>
      </c>
      <c r="L475" s="16">
        <f>IF(AND(G475&gt;0,H475&gt;0),G475/H475,"")</f>
        <v/>
      </c>
    </row>
    <row r="476">
      <c r="A476" s="4" t="inlineStr">
        <is>
          <t>281</t>
        </is>
      </c>
      <c r="B476" s="4" t="n">
        <v>2</v>
      </c>
      <c r="C476" s="4" t="inlineStr">
        <is>
          <t>elk</t>
        </is>
      </c>
      <c r="D476" s="4" t="n">
        <v>2021</v>
      </c>
      <c r="E476" s="13" t="inlineStr">
        <is>
          <t>General</t>
        </is>
      </c>
      <c r="F476" s="5" t="n"/>
      <c r="G476" s="5" t="n"/>
      <c r="H476" s="5" t="n">
        <v>52</v>
      </c>
      <c r="I476" s="5" t="n">
        <v>43</v>
      </c>
      <c r="J476" s="5" t="n">
        <v>9</v>
      </c>
      <c r="K476" s="10">
        <f>IF(F476&gt;0,H476/F476,"")</f>
        <v/>
      </c>
      <c r="L476" s="16">
        <f>IF(AND(G476&gt;0,H476&gt;0),G476/H476,"")</f>
        <v/>
      </c>
    </row>
    <row r="477">
      <c r="A477" s="4" t="inlineStr">
        <is>
          <t>281</t>
        </is>
      </c>
      <c r="B477" s="4" t="n">
        <v>2</v>
      </c>
      <c r="C477" s="4" t="inlineStr">
        <is>
          <t>elk</t>
        </is>
      </c>
      <c r="D477" s="4" t="n">
        <v>2022</v>
      </c>
      <c r="E477" s="13" t="inlineStr">
        <is>
          <t>General</t>
        </is>
      </c>
      <c r="F477" s="5" t="n">
        <v>997</v>
      </c>
      <c r="G477" s="5" t="n">
        <v>6801</v>
      </c>
      <c r="H477" s="5" t="n">
        <v>102</v>
      </c>
      <c r="I477" s="5" t="n">
        <v>77</v>
      </c>
      <c r="J477" s="5" t="n">
        <v>22</v>
      </c>
      <c r="K477" s="10">
        <f>IF(F477&gt;0,H477/F477,"")</f>
        <v/>
      </c>
      <c r="L477" s="16">
        <f>IF(AND(G477&gt;0,H477&gt;0),G477/H477,"")</f>
        <v/>
      </c>
    </row>
    <row r="478">
      <c r="A478" s="4" t="inlineStr">
        <is>
          <t>281</t>
        </is>
      </c>
      <c r="B478" s="4" t="n">
        <v>2</v>
      </c>
      <c r="C478" s="4" t="inlineStr">
        <is>
          <t>elk</t>
        </is>
      </c>
      <c r="D478" s="4" t="n">
        <v>2023</v>
      </c>
      <c r="E478" s="13" t="inlineStr">
        <is>
          <t>General</t>
        </is>
      </c>
      <c r="F478" s="5" t="n"/>
      <c r="G478" s="5" t="n"/>
      <c r="H478" s="5" t="n">
        <v>79</v>
      </c>
      <c r="I478" s="5" t="n">
        <v>68</v>
      </c>
      <c r="J478" s="5" t="n">
        <v>11</v>
      </c>
      <c r="K478" s="10">
        <f>IF(F478&gt;0,H478/F478,"")</f>
        <v/>
      </c>
      <c r="L478" s="16">
        <f>IF(AND(G478&gt;0,H478&gt;0),G478/H478,"")</f>
        <v/>
      </c>
    </row>
    <row r="479">
      <c r="A479" s="4" t="inlineStr">
        <is>
          <t>281</t>
        </is>
      </c>
      <c r="B479" s="4" t="n">
        <v>2</v>
      </c>
      <c r="C479" s="4" t="inlineStr">
        <is>
          <t>elk</t>
        </is>
      </c>
      <c r="D479" s="4" t="n">
        <v>2024</v>
      </c>
      <c r="E479" s="13" t="inlineStr">
        <is>
          <t>General</t>
        </is>
      </c>
      <c r="F479" s="5" t="n">
        <v>1213</v>
      </c>
      <c r="G479" s="5" t="n">
        <v>9303</v>
      </c>
      <c r="H479" s="5" t="n">
        <v>83</v>
      </c>
      <c r="I479" s="5" t="n">
        <v>53</v>
      </c>
      <c r="J479" s="5" t="n">
        <v>30</v>
      </c>
      <c r="K479" s="10">
        <f>IF(F479&gt;0,H479/F479,"")</f>
        <v/>
      </c>
      <c r="L479" s="16">
        <f>IF(AND(G479&gt;0,H479&gt;0),G479/H479,"")</f>
        <v/>
      </c>
    </row>
    <row r="480">
      <c r="A480" s="4" t="inlineStr">
        <is>
          <t>281</t>
        </is>
      </c>
      <c r="B480" s="4" t="n">
        <v>2</v>
      </c>
      <c r="C480" s="4" t="inlineStr">
        <is>
          <t>elk</t>
        </is>
      </c>
      <c r="D480" s="4" t="n">
        <v>2025</v>
      </c>
      <c r="E480" s="13" t="inlineStr">
        <is>
          <t>General</t>
        </is>
      </c>
      <c r="F480" s="5" t="n"/>
      <c r="G480" s="5" t="n"/>
      <c r="H480" s="5" t="n">
        <v>77</v>
      </c>
      <c r="I480" s="5" t="n">
        <v>60</v>
      </c>
      <c r="J480" s="5" t="n">
        <v>14</v>
      </c>
      <c r="K480" s="10">
        <f>IF(F480&gt;0,H480/F480,"")</f>
        <v/>
      </c>
      <c r="L480" s="16">
        <f>IF(AND(G480&gt;0,H480&gt;0),G480/H480,"")</f>
        <v/>
      </c>
    </row>
    <row r="481">
      <c r="A481" s="4" t="inlineStr">
        <is>
          <t>282</t>
        </is>
      </c>
      <c r="B481" s="4" t="n">
        <v>2</v>
      </c>
      <c r="C481" s="4" t="inlineStr">
        <is>
          <t>elk</t>
        </is>
      </c>
      <c r="D481" s="4" t="n">
        <v>2021</v>
      </c>
      <c r="E481" s="13" t="inlineStr">
        <is>
          <t>General</t>
        </is>
      </c>
      <c r="F481" s="5" t="n"/>
      <c r="G481" s="5" t="n"/>
      <c r="H481" s="5" t="n">
        <v>17</v>
      </c>
      <c r="I481" s="5" t="n">
        <v>12</v>
      </c>
      <c r="J481" s="5" t="n">
        <v>5</v>
      </c>
      <c r="K481" s="10">
        <f>IF(F481&gt;0,H481/F481,"")</f>
        <v/>
      </c>
      <c r="L481" s="16">
        <f>IF(AND(G481&gt;0,H481&gt;0),G481/H481,"")</f>
        <v/>
      </c>
    </row>
    <row r="482">
      <c r="A482" s="4" t="inlineStr">
        <is>
          <t>282</t>
        </is>
      </c>
      <c r="B482" s="4" t="n">
        <v>2</v>
      </c>
      <c r="C482" s="4" t="inlineStr">
        <is>
          <t>elk</t>
        </is>
      </c>
      <c r="D482" s="4" t="n">
        <v>2022</v>
      </c>
      <c r="E482" s="13" t="inlineStr">
        <is>
          <t>General</t>
        </is>
      </c>
      <c r="F482" s="5" t="n">
        <v>293</v>
      </c>
      <c r="G482" s="5" t="n">
        <v>1783</v>
      </c>
      <c r="H482" s="5" t="n">
        <v>26</v>
      </c>
      <c r="I482" s="5" t="n">
        <v>9</v>
      </c>
      <c r="J482" s="5" t="n">
        <v>17</v>
      </c>
      <c r="K482" s="10">
        <f>IF(F482&gt;0,H482/F482,"")</f>
        <v/>
      </c>
      <c r="L482" s="16">
        <f>IF(AND(G482&gt;0,H482&gt;0),G482/H482,"")</f>
        <v/>
      </c>
    </row>
    <row r="483">
      <c r="A483" s="4" t="inlineStr">
        <is>
          <t>282</t>
        </is>
      </c>
      <c r="B483" s="4" t="n">
        <v>2</v>
      </c>
      <c r="C483" s="4" t="inlineStr">
        <is>
          <t>elk</t>
        </is>
      </c>
      <c r="D483" s="4" t="n">
        <v>2023</v>
      </c>
      <c r="E483" s="13" t="inlineStr">
        <is>
          <t>General</t>
        </is>
      </c>
      <c r="F483" s="5" t="n"/>
      <c r="G483" s="5" t="n"/>
      <c r="H483" s="5" t="n">
        <v>4</v>
      </c>
      <c r="I483" s="5" t="n">
        <v>0</v>
      </c>
      <c r="J483" s="5" t="n">
        <v>4</v>
      </c>
      <c r="K483" s="10">
        <f>IF(F483&gt;0,H483/F483,"")</f>
        <v/>
      </c>
      <c r="L483" s="16">
        <f>IF(AND(G483&gt;0,H483&gt;0),G483/H483,"")</f>
        <v/>
      </c>
    </row>
    <row r="484">
      <c r="A484" s="4" t="inlineStr">
        <is>
          <t>282</t>
        </is>
      </c>
      <c r="B484" s="4" t="n">
        <v>2</v>
      </c>
      <c r="C484" s="4" t="inlineStr">
        <is>
          <t>elk</t>
        </is>
      </c>
      <c r="D484" s="4" t="n">
        <v>2024</v>
      </c>
      <c r="E484" s="13" t="inlineStr">
        <is>
          <t>General</t>
        </is>
      </c>
      <c r="F484" s="5" t="n">
        <v>261</v>
      </c>
      <c r="G484" s="5" t="n">
        <v>1680</v>
      </c>
      <c r="H484" s="5" t="n">
        <v>21</v>
      </c>
      <c r="I484" s="5" t="n">
        <v>8</v>
      </c>
      <c r="J484" s="5" t="n">
        <v>10</v>
      </c>
      <c r="K484" s="10">
        <f>IF(F484&gt;0,H484/F484,"")</f>
        <v/>
      </c>
      <c r="L484" s="16">
        <f>IF(AND(G484&gt;0,H484&gt;0),G484/H484,"")</f>
        <v/>
      </c>
    </row>
    <row r="485">
      <c r="A485" s="4" t="inlineStr">
        <is>
          <t>282</t>
        </is>
      </c>
      <c r="B485" s="4" t="n">
        <v>2</v>
      </c>
      <c r="C485" s="4" t="inlineStr">
        <is>
          <t>elk</t>
        </is>
      </c>
      <c r="D485" s="4" t="n">
        <v>2025</v>
      </c>
      <c r="E485" s="13" t="inlineStr">
        <is>
          <t>General</t>
        </is>
      </c>
      <c r="F485" s="5" t="n"/>
      <c r="G485" s="5" t="n"/>
      <c r="H485" s="5" t="n">
        <v>31</v>
      </c>
      <c r="I485" s="5" t="n">
        <v>12</v>
      </c>
      <c r="J485" s="5" t="n">
        <v>19</v>
      </c>
      <c r="K485" s="10">
        <f>IF(F485&gt;0,H485/F485,"")</f>
        <v/>
      </c>
      <c r="L485" s="16">
        <f>IF(AND(G485&gt;0,H485&gt;0),G485/H485,"")</f>
        <v/>
      </c>
    </row>
    <row r="486">
      <c r="A486" s="4" t="inlineStr">
        <is>
          <t>283</t>
        </is>
      </c>
      <c r="B486" s="4" t="n">
        <v>2</v>
      </c>
      <c r="C486" s="4" t="inlineStr">
        <is>
          <t>elk</t>
        </is>
      </c>
      <c r="D486" s="4" t="n">
        <v>2021</v>
      </c>
      <c r="E486" s="4" t="inlineStr"/>
      <c r="F486" s="5" t="n"/>
      <c r="G486" s="5" t="n"/>
      <c r="H486" s="5" t="n">
        <v>44</v>
      </c>
      <c r="I486" s="5" t="n">
        <v>40</v>
      </c>
      <c r="J486" s="5" t="n">
        <v>4</v>
      </c>
      <c r="K486" s="10">
        <f>IF(F486&gt;0,H486/F486,"")</f>
        <v/>
      </c>
      <c r="L486" s="16">
        <f>IF(AND(G486&gt;0,H486&gt;0),G486/H486,"")</f>
        <v/>
      </c>
    </row>
    <row r="487">
      <c r="A487" s="4" t="inlineStr">
        <is>
          <t>284</t>
        </is>
      </c>
      <c r="B487" s="4" t="n">
        <v>2</v>
      </c>
      <c r="C487" s="4" t="inlineStr">
        <is>
          <t>elk</t>
        </is>
      </c>
      <c r="D487" s="4" t="n">
        <v>2021</v>
      </c>
      <c r="E487" s="13" t="inlineStr">
        <is>
          <t>General</t>
        </is>
      </c>
      <c r="F487" s="5" t="n"/>
      <c r="G487" s="5" t="n"/>
      <c r="H487" s="5" t="n">
        <v>43</v>
      </c>
      <c r="I487" s="5" t="n">
        <v>31</v>
      </c>
      <c r="J487" s="5" t="n">
        <v>12</v>
      </c>
      <c r="K487" s="10">
        <f>IF(F487&gt;0,H487/F487,"")</f>
        <v/>
      </c>
      <c r="L487" s="16">
        <f>IF(AND(G487&gt;0,H487&gt;0),G487/H487,"")</f>
        <v/>
      </c>
    </row>
    <row r="488">
      <c r="A488" s="4" t="inlineStr">
        <is>
          <t>284</t>
        </is>
      </c>
      <c r="B488" s="4" t="n">
        <v>2</v>
      </c>
      <c r="C488" s="4" t="inlineStr">
        <is>
          <t>elk</t>
        </is>
      </c>
      <c r="D488" s="4" t="n">
        <v>2022</v>
      </c>
      <c r="E488" s="13" t="inlineStr">
        <is>
          <t>General</t>
        </is>
      </c>
      <c r="F488" s="5" t="n">
        <v>167</v>
      </c>
      <c r="G488" s="5" t="n">
        <v>1557</v>
      </c>
      <c r="H488" s="5" t="n">
        <v>12</v>
      </c>
      <c r="I488" s="5" t="n">
        <v>7</v>
      </c>
      <c r="J488" s="5" t="n">
        <v>6</v>
      </c>
      <c r="K488" s="10">
        <f>IF(F488&gt;0,H488/F488,"")</f>
        <v/>
      </c>
      <c r="L488" s="16">
        <f>IF(AND(G488&gt;0,H488&gt;0),G488/H488,"")</f>
        <v/>
      </c>
    </row>
    <row r="489">
      <c r="A489" s="4" t="inlineStr">
        <is>
          <t>284</t>
        </is>
      </c>
      <c r="B489" s="4" t="n">
        <v>2</v>
      </c>
      <c r="C489" s="4" t="inlineStr">
        <is>
          <t>elk</t>
        </is>
      </c>
      <c r="D489" s="4" t="n">
        <v>2023</v>
      </c>
      <c r="E489" s="13" t="inlineStr">
        <is>
          <t>General</t>
        </is>
      </c>
      <c r="F489" s="5" t="n"/>
      <c r="G489" s="5" t="n"/>
      <c r="H489" s="5" t="n">
        <v>26</v>
      </c>
      <c r="I489" s="5" t="n">
        <v>18</v>
      </c>
      <c r="J489" s="5" t="n">
        <v>8</v>
      </c>
      <c r="K489" s="10">
        <f>IF(F489&gt;0,H489/F489,"")</f>
        <v/>
      </c>
      <c r="L489" s="16">
        <f>IF(AND(G489&gt;0,H489&gt;0),G489/H489,"")</f>
        <v/>
      </c>
    </row>
    <row r="490">
      <c r="A490" s="4" t="inlineStr">
        <is>
          <t>284</t>
        </is>
      </c>
      <c r="B490" s="4" t="n">
        <v>2</v>
      </c>
      <c r="C490" s="4" t="inlineStr">
        <is>
          <t>elk</t>
        </is>
      </c>
      <c r="D490" s="4" t="n">
        <v>2024</v>
      </c>
      <c r="E490" s="13" t="inlineStr">
        <is>
          <t>General</t>
        </is>
      </c>
      <c r="F490" s="5" t="n">
        <v>221</v>
      </c>
      <c r="G490" s="5" t="n">
        <v>2395</v>
      </c>
      <c r="H490" s="5" t="n">
        <v>32</v>
      </c>
      <c r="I490" s="5" t="n">
        <v>9</v>
      </c>
      <c r="J490" s="5" t="n">
        <v>24</v>
      </c>
      <c r="K490" s="10">
        <f>IF(F490&gt;0,H490/F490,"")</f>
        <v/>
      </c>
      <c r="L490" s="16">
        <f>IF(AND(G490&gt;0,H490&gt;0),G490/H490,"")</f>
        <v/>
      </c>
    </row>
    <row r="491">
      <c r="A491" s="4" t="inlineStr">
        <is>
          <t>284</t>
        </is>
      </c>
      <c r="B491" s="4" t="n">
        <v>2</v>
      </c>
      <c r="C491" s="4" t="inlineStr">
        <is>
          <t>elk</t>
        </is>
      </c>
      <c r="D491" s="4" t="n">
        <v>2025</v>
      </c>
      <c r="E491" s="13" t="inlineStr">
        <is>
          <t>General</t>
        </is>
      </c>
      <c r="F491" s="5" t="n"/>
      <c r="G491" s="5" t="n"/>
      <c r="H491" s="5" t="n">
        <v>15</v>
      </c>
      <c r="I491" s="5" t="n">
        <v>7</v>
      </c>
      <c r="J491" s="5" t="n">
        <v>7</v>
      </c>
      <c r="K491" s="10">
        <f>IF(F491&gt;0,H491/F491,"")</f>
        <v/>
      </c>
      <c r="L491" s="16">
        <f>IF(AND(G491&gt;0,H491&gt;0),G491/H491,"")</f>
        <v/>
      </c>
    </row>
    <row r="492">
      <c r="A492" s="4" t="inlineStr">
        <is>
          <t>285</t>
        </is>
      </c>
      <c r="B492" s="4" t="n">
        <v>2</v>
      </c>
      <c r="C492" s="4" t="inlineStr">
        <is>
          <t>elk</t>
        </is>
      </c>
      <c r="D492" s="4" t="n">
        <v>2021</v>
      </c>
      <c r="E492" s="13" t="inlineStr">
        <is>
          <t>General</t>
        </is>
      </c>
      <c r="F492" s="5" t="n"/>
      <c r="G492" s="5" t="n"/>
      <c r="H492" s="5" t="n">
        <v>70</v>
      </c>
      <c r="I492" s="5" t="n">
        <v>54</v>
      </c>
      <c r="J492" s="5" t="n">
        <v>16</v>
      </c>
      <c r="K492" s="10">
        <f>IF(F492&gt;0,H492/F492,"")</f>
        <v/>
      </c>
      <c r="L492" s="16">
        <f>IF(AND(G492&gt;0,H492&gt;0),G492/H492,"")</f>
        <v/>
      </c>
    </row>
    <row r="493">
      <c r="A493" s="4" t="inlineStr">
        <is>
          <t>285</t>
        </is>
      </c>
      <c r="B493" s="4" t="n">
        <v>2</v>
      </c>
      <c r="C493" s="4" t="inlineStr">
        <is>
          <t>elk</t>
        </is>
      </c>
      <c r="D493" s="4" t="n">
        <v>2022</v>
      </c>
      <c r="E493" s="13" t="inlineStr">
        <is>
          <t>General</t>
        </is>
      </c>
      <c r="F493" s="5" t="n">
        <v>1545</v>
      </c>
      <c r="G493" s="5" t="n">
        <v>11964</v>
      </c>
      <c r="H493" s="5" t="n">
        <v>87</v>
      </c>
      <c r="I493" s="5" t="n">
        <v>61</v>
      </c>
      <c r="J493" s="5" t="n">
        <v>23</v>
      </c>
      <c r="K493" s="10">
        <f>IF(F493&gt;0,H493/F493,"")</f>
        <v/>
      </c>
      <c r="L493" s="16">
        <f>IF(AND(G493&gt;0,H493&gt;0),G493/H493,"")</f>
        <v/>
      </c>
    </row>
    <row r="494">
      <c r="A494" s="4" t="inlineStr">
        <is>
          <t>285</t>
        </is>
      </c>
      <c r="B494" s="4" t="n">
        <v>2</v>
      </c>
      <c r="C494" s="4" t="inlineStr">
        <is>
          <t>elk</t>
        </is>
      </c>
      <c r="D494" s="4" t="n">
        <v>2023</v>
      </c>
      <c r="E494" s="13" t="inlineStr">
        <is>
          <t>General</t>
        </is>
      </c>
      <c r="F494" s="5" t="n"/>
      <c r="G494" s="5" t="n"/>
      <c r="H494" s="5" t="n">
        <v>89</v>
      </c>
      <c r="I494" s="5" t="n">
        <v>61</v>
      </c>
      <c r="J494" s="5" t="n">
        <v>28</v>
      </c>
      <c r="K494" s="10">
        <f>IF(F494&gt;0,H494/F494,"")</f>
        <v/>
      </c>
      <c r="L494" s="16">
        <f>IF(AND(G494&gt;0,H494&gt;0),G494/H494,"")</f>
        <v/>
      </c>
    </row>
    <row r="495">
      <c r="A495" s="4" t="inlineStr">
        <is>
          <t>285</t>
        </is>
      </c>
      <c r="B495" s="4" t="n">
        <v>2</v>
      </c>
      <c r="C495" s="4" t="inlineStr">
        <is>
          <t>elk</t>
        </is>
      </c>
      <c r="D495" s="4" t="n">
        <v>2024</v>
      </c>
      <c r="E495" s="13" t="inlineStr">
        <is>
          <t>General</t>
        </is>
      </c>
      <c r="F495" s="5" t="n">
        <v>1798</v>
      </c>
      <c r="G495" s="5" t="n">
        <v>15286</v>
      </c>
      <c r="H495" s="5" t="n">
        <v>56</v>
      </c>
      <c r="I495" s="5" t="n">
        <v>51</v>
      </c>
      <c r="J495" s="5" t="n">
        <v>5</v>
      </c>
      <c r="K495" s="10">
        <f>IF(F495&gt;0,H495/F495,"")</f>
        <v/>
      </c>
      <c r="L495" s="16">
        <f>IF(AND(G495&gt;0,H495&gt;0),G495/H495,"")</f>
        <v/>
      </c>
    </row>
    <row r="496">
      <c r="A496" s="4" t="inlineStr">
        <is>
          <t>285</t>
        </is>
      </c>
      <c r="B496" s="4" t="n">
        <v>2</v>
      </c>
      <c r="C496" s="4" t="inlineStr">
        <is>
          <t>elk</t>
        </is>
      </c>
      <c r="D496" s="4" t="n">
        <v>2025</v>
      </c>
      <c r="E496" s="13" t="inlineStr">
        <is>
          <t>General</t>
        </is>
      </c>
      <c r="F496" s="5" t="n"/>
      <c r="G496" s="5" t="n"/>
      <c r="H496" s="5" t="n">
        <v>113</v>
      </c>
      <c r="I496" s="5" t="n">
        <v>88</v>
      </c>
      <c r="J496" s="5" t="n">
        <v>25</v>
      </c>
      <c r="K496" s="10">
        <f>IF(F496&gt;0,H496/F496,"")</f>
        <v/>
      </c>
      <c r="L496" s="16">
        <f>IF(AND(G496&gt;0,H496&gt;0),G496/H496,"")</f>
        <v/>
      </c>
    </row>
    <row r="497">
      <c r="A497" s="4" t="inlineStr">
        <is>
          <t>290</t>
        </is>
      </c>
      <c r="B497" s="4" t="n">
        <v>2</v>
      </c>
      <c r="C497" s="4" t="inlineStr">
        <is>
          <t>elk</t>
        </is>
      </c>
      <c r="D497" s="4" t="n">
        <v>2021</v>
      </c>
      <c r="E497" s="13" t="inlineStr">
        <is>
          <t>General</t>
        </is>
      </c>
      <c r="F497" s="5" t="n"/>
      <c r="G497" s="5" t="n"/>
      <c r="H497" s="5" t="n">
        <v>42</v>
      </c>
      <c r="I497" s="5" t="n">
        <v>22</v>
      </c>
      <c r="J497" s="5" t="n">
        <v>20</v>
      </c>
      <c r="K497" s="10">
        <f>IF(F497&gt;0,H497/F497,"")</f>
        <v/>
      </c>
      <c r="L497" s="16">
        <f>IF(AND(G497&gt;0,H497&gt;0),G497/H497,"")</f>
        <v/>
      </c>
    </row>
    <row r="498">
      <c r="A498" s="4" t="inlineStr">
        <is>
          <t>290</t>
        </is>
      </c>
      <c r="B498" s="4" t="n">
        <v>2</v>
      </c>
      <c r="C498" s="4" t="inlineStr">
        <is>
          <t>elk</t>
        </is>
      </c>
      <c r="D498" s="4" t="n">
        <v>2022</v>
      </c>
      <c r="E498" s="13" t="inlineStr">
        <is>
          <t>General</t>
        </is>
      </c>
      <c r="F498" s="5" t="n">
        <v>177</v>
      </c>
      <c r="G498" s="5" t="n">
        <v>935</v>
      </c>
      <c r="H498" s="5" t="n">
        <v>26</v>
      </c>
      <c r="I498" s="5" t="n">
        <v>13</v>
      </c>
      <c r="J498" s="5" t="n">
        <v>14</v>
      </c>
      <c r="K498" s="10">
        <f>IF(F498&gt;0,H498/F498,"")</f>
        <v/>
      </c>
      <c r="L498" s="16">
        <f>IF(AND(G498&gt;0,H498&gt;0),G498/H498,"")</f>
        <v/>
      </c>
    </row>
    <row r="499">
      <c r="A499" s="4" t="inlineStr">
        <is>
          <t>290</t>
        </is>
      </c>
      <c r="B499" s="4" t="n">
        <v>2</v>
      </c>
      <c r="C499" s="4" t="inlineStr">
        <is>
          <t>elk</t>
        </is>
      </c>
      <c r="D499" s="4" t="n">
        <v>2023</v>
      </c>
      <c r="E499" s="13" t="inlineStr">
        <is>
          <t>General</t>
        </is>
      </c>
      <c r="F499" s="5" t="n"/>
      <c r="G499" s="5" t="n"/>
      <c r="H499" s="5" t="n">
        <v>46</v>
      </c>
      <c r="I499" s="5" t="n">
        <v>20</v>
      </c>
      <c r="J499" s="5" t="n">
        <v>27</v>
      </c>
      <c r="K499" s="10">
        <f>IF(F499&gt;0,H499/F499,"")</f>
        <v/>
      </c>
      <c r="L499" s="16">
        <f>IF(AND(G499&gt;0,H499&gt;0),G499/H499,"")</f>
        <v/>
      </c>
    </row>
    <row r="500">
      <c r="A500" s="4" t="inlineStr">
        <is>
          <t>290</t>
        </is>
      </c>
      <c r="B500" s="4" t="n">
        <v>2</v>
      </c>
      <c r="C500" s="4" t="inlineStr">
        <is>
          <t>elk</t>
        </is>
      </c>
      <c r="D500" s="4" t="n">
        <v>2024</v>
      </c>
      <c r="E500" s="13" t="inlineStr">
        <is>
          <t>General</t>
        </is>
      </c>
      <c r="F500" s="5" t="n">
        <v>264</v>
      </c>
      <c r="G500" s="5" t="n">
        <v>1731</v>
      </c>
      <c r="H500" s="5" t="n">
        <v>52</v>
      </c>
      <c r="I500" s="5" t="n">
        <v>31</v>
      </c>
      <c r="J500" s="5" t="n">
        <v>21</v>
      </c>
      <c r="K500" s="10">
        <f>IF(F500&gt;0,H500/F500,"")</f>
        <v/>
      </c>
      <c r="L500" s="16">
        <f>IF(AND(G500&gt;0,H500&gt;0),G500/H500,"")</f>
        <v/>
      </c>
    </row>
    <row r="501">
      <c r="A501" s="4" t="inlineStr">
        <is>
          <t>290</t>
        </is>
      </c>
      <c r="B501" s="4" t="n">
        <v>2</v>
      </c>
      <c r="C501" s="4" t="inlineStr">
        <is>
          <t>elk</t>
        </is>
      </c>
      <c r="D501" s="4" t="n">
        <v>2025</v>
      </c>
      <c r="E501" s="13" t="inlineStr">
        <is>
          <t>General</t>
        </is>
      </c>
      <c r="F501" s="5" t="n"/>
      <c r="G501" s="5" t="n"/>
      <c r="H501" s="5" t="n">
        <v>80</v>
      </c>
      <c r="I501" s="5" t="n">
        <v>22</v>
      </c>
      <c r="J501" s="5" t="n">
        <v>59</v>
      </c>
      <c r="K501" s="10">
        <f>IF(F501&gt;0,H501/F501,"")</f>
        <v/>
      </c>
      <c r="L501" s="16">
        <f>IF(AND(G501&gt;0,H501&gt;0),G501/H501,"")</f>
        <v/>
      </c>
    </row>
    <row r="502">
      <c r="A502" s="4" t="inlineStr">
        <is>
          <t>291</t>
        </is>
      </c>
      <c r="B502" s="4" t="n">
        <v>2</v>
      </c>
      <c r="C502" s="4" t="inlineStr">
        <is>
          <t>elk</t>
        </is>
      </c>
      <c r="D502" s="4" t="n">
        <v>2021</v>
      </c>
      <c r="E502" s="13" t="inlineStr">
        <is>
          <t>General</t>
        </is>
      </c>
      <c r="F502" s="5" t="n"/>
      <c r="G502" s="5" t="n"/>
      <c r="H502" s="5" t="n">
        <v>86</v>
      </c>
      <c r="I502" s="5" t="n">
        <v>51</v>
      </c>
      <c r="J502" s="5" t="n">
        <v>35</v>
      </c>
      <c r="K502" s="10">
        <f>IF(F502&gt;0,H502/F502,"")</f>
        <v/>
      </c>
      <c r="L502" s="16">
        <f>IF(AND(G502&gt;0,H502&gt;0),G502/H502,"")</f>
        <v/>
      </c>
    </row>
    <row r="503">
      <c r="A503" s="4" t="inlineStr">
        <is>
          <t>291</t>
        </is>
      </c>
      <c r="B503" s="4" t="n">
        <v>2</v>
      </c>
      <c r="C503" s="4" t="inlineStr">
        <is>
          <t>elk</t>
        </is>
      </c>
      <c r="D503" s="4" t="n">
        <v>2022</v>
      </c>
      <c r="E503" s="13" t="inlineStr">
        <is>
          <t>General</t>
        </is>
      </c>
      <c r="F503" s="5" t="n">
        <v>625</v>
      </c>
      <c r="G503" s="5" t="n">
        <v>4665</v>
      </c>
      <c r="H503" s="5" t="n">
        <v>137</v>
      </c>
      <c r="I503" s="5" t="n">
        <v>98</v>
      </c>
      <c r="J503" s="5" t="n">
        <v>39</v>
      </c>
      <c r="K503" s="10">
        <f>IF(F503&gt;0,H503/F503,"")</f>
        <v/>
      </c>
      <c r="L503" s="16">
        <f>IF(AND(G503&gt;0,H503&gt;0),G503/H503,"")</f>
        <v/>
      </c>
    </row>
    <row r="504">
      <c r="A504" s="4" t="inlineStr">
        <is>
          <t>291</t>
        </is>
      </c>
      <c r="B504" s="4" t="n">
        <v>2</v>
      </c>
      <c r="C504" s="4" t="inlineStr">
        <is>
          <t>elk</t>
        </is>
      </c>
      <c r="D504" s="4" t="n">
        <v>2023</v>
      </c>
      <c r="E504" s="13" t="inlineStr">
        <is>
          <t>General</t>
        </is>
      </c>
      <c r="F504" s="5" t="n"/>
      <c r="G504" s="5" t="n"/>
      <c r="H504" s="5" t="n">
        <v>102</v>
      </c>
      <c r="I504" s="5" t="n">
        <v>59</v>
      </c>
      <c r="J504" s="5" t="n">
        <v>38</v>
      </c>
      <c r="K504" s="10">
        <f>IF(F504&gt;0,H504/F504,"")</f>
        <v/>
      </c>
      <c r="L504" s="16">
        <f>IF(AND(G504&gt;0,H504&gt;0),G504/H504,"")</f>
        <v/>
      </c>
    </row>
    <row r="505">
      <c r="A505" s="4" t="inlineStr">
        <is>
          <t>291</t>
        </is>
      </c>
      <c r="B505" s="4" t="n">
        <v>2</v>
      </c>
      <c r="C505" s="4" t="inlineStr">
        <is>
          <t>elk</t>
        </is>
      </c>
      <c r="D505" s="4" t="n">
        <v>2024</v>
      </c>
      <c r="E505" s="13" t="inlineStr">
        <is>
          <t>General</t>
        </is>
      </c>
      <c r="F505" s="5" t="n">
        <v>652</v>
      </c>
      <c r="G505" s="5" t="n">
        <v>4653</v>
      </c>
      <c r="H505" s="5" t="n">
        <v>122</v>
      </c>
      <c r="I505" s="5" t="n">
        <v>62</v>
      </c>
      <c r="J505" s="5" t="n">
        <v>61</v>
      </c>
      <c r="K505" s="10">
        <f>IF(F505&gt;0,H505/F505,"")</f>
        <v/>
      </c>
      <c r="L505" s="16">
        <f>IF(AND(G505&gt;0,H505&gt;0),G505/H505,"")</f>
        <v/>
      </c>
    </row>
    <row r="506">
      <c r="A506" s="4" t="inlineStr">
        <is>
          <t>291</t>
        </is>
      </c>
      <c r="B506" s="4" t="n">
        <v>2</v>
      </c>
      <c r="C506" s="4" t="inlineStr">
        <is>
          <t>elk</t>
        </is>
      </c>
      <c r="D506" s="4" t="n">
        <v>2025</v>
      </c>
      <c r="E506" s="13" t="inlineStr">
        <is>
          <t>General</t>
        </is>
      </c>
      <c r="F506" s="5" t="n"/>
      <c r="G506" s="5" t="n"/>
      <c r="H506" s="5" t="n">
        <v>133</v>
      </c>
      <c r="I506" s="5" t="n">
        <v>59</v>
      </c>
      <c r="J506" s="5" t="n">
        <v>74</v>
      </c>
      <c r="K506" s="10">
        <f>IF(F506&gt;0,H506/F506,"")</f>
        <v/>
      </c>
      <c r="L506" s="16">
        <f>IF(AND(G506&gt;0,H506&gt;0),G506/H506,"")</f>
        <v/>
      </c>
    </row>
    <row r="507">
      <c r="A507" s="4" t="inlineStr">
        <is>
          <t>292</t>
        </is>
      </c>
      <c r="B507" s="4" t="n">
        <v>2</v>
      </c>
      <c r="C507" s="4" t="inlineStr">
        <is>
          <t>elk</t>
        </is>
      </c>
      <c r="D507" s="4" t="n">
        <v>2021</v>
      </c>
      <c r="E507" s="13" t="inlineStr">
        <is>
          <t>General</t>
        </is>
      </c>
      <c r="F507" s="5" t="n"/>
      <c r="G507" s="5" t="n"/>
      <c r="H507" s="5" t="n">
        <v>95</v>
      </c>
      <c r="I507" s="5" t="n">
        <v>74</v>
      </c>
      <c r="J507" s="5" t="n">
        <v>21</v>
      </c>
      <c r="K507" s="10">
        <f>IF(F507&gt;0,H507/F507,"")</f>
        <v/>
      </c>
      <c r="L507" s="16">
        <f>IF(AND(G507&gt;0,H507&gt;0),G507/H507,"")</f>
        <v/>
      </c>
    </row>
    <row r="508">
      <c r="A508" s="4" t="inlineStr">
        <is>
          <t>292</t>
        </is>
      </c>
      <c r="B508" s="4" t="n">
        <v>2</v>
      </c>
      <c r="C508" s="4" t="inlineStr">
        <is>
          <t>elk</t>
        </is>
      </c>
      <c r="D508" s="4" t="n">
        <v>2022</v>
      </c>
      <c r="E508" s="13" t="inlineStr">
        <is>
          <t>General</t>
        </is>
      </c>
      <c r="F508" s="5" t="n">
        <v>948</v>
      </c>
      <c r="G508" s="5" t="n">
        <v>6711</v>
      </c>
      <c r="H508" s="5" t="n">
        <v>87</v>
      </c>
      <c r="I508" s="5" t="n">
        <v>73</v>
      </c>
      <c r="J508" s="5" t="n">
        <v>14</v>
      </c>
      <c r="K508" s="10">
        <f>IF(F508&gt;0,H508/F508,"")</f>
        <v/>
      </c>
      <c r="L508" s="16">
        <f>IF(AND(G508&gt;0,H508&gt;0),G508/H508,"")</f>
        <v/>
      </c>
    </row>
    <row r="509">
      <c r="A509" s="4" t="inlineStr">
        <is>
          <t>292</t>
        </is>
      </c>
      <c r="B509" s="4" t="n">
        <v>2</v>
      </c>
      <c r="C509" s="4" t="inlineStr">
        <is>
          <t>elk</t>
        </is>
      </c>
      <c r="D509" s="4" t="n">
        <v>2023</v>
      </c>
      <c r="E509" s="13" t="inlineStr">
        <is>
          <t>General</t>
        </is>
      </c>
      <c r="F509" s="5" t="n"/>
      <c r="G509" s="5" t="n"/>
      <c r="H509" s="5" t="n">
        <v>97</v>
      </c>
      <c r="I509" s="5" t="n">
        <v>69</v>
      </c>
      <c r="J509" s="5" t="n">
        <v>28</v>
      </c>
      <c r="K509" s="10">
        <f>IF(F509&gt;0,H509/F509,"")</f>
        <v/>
      </c>
      <c r="L509" s="16">
        <f>IF(AND(G509&gt;0,H509&gt;0),G509/H509,"")</f>
        <v/>
      </c>
    </row>
    <row r="510">
      <c r="A510" s="4" t="inlineStr">
        <is>
          <t>292</t>
        </is>
      </c>
      <c r="B510" s="4" t="n">
        <v>2</v>
      </c>
      <c r="C510" s="4" t="inlineStr">
        <is>
          <t>elk</t>
        </is>
      </c>
      <c r="D510" s="4" t="n">
        <v>2024</v>
      </c>
      <c r="E510" s="13" t="inlineStr">
        <is>
          <t>General</t>
        </is>
      </c>
      <c r="F510" s="5" t="n">
        <v>1172</v>
      </c>
      <c r="G510" s="5" t="n">
        <v>9053</v>
      </c>
      <c r="H510" s="5" t="n">
        <v>82</v>
      </c>
      <c r="I510" s="5" t="n">
        <v>68</v>
      </c>
      <c r="J510" s="5" t="n">
        <v>14</v>
      </c>
      <c r="K510" s="10">
        <f>IF(F510&gt;0,H510/F510,"")</f>
        <v/>
      </c>
      <c r="L510" s="16">
        <f>IF(AND(G510&gt;0,H510&gt;0),G510/H510,"")</f>
        <v/>
      </c>
    </row>
    <row r="511">
      <c r="A511" s="4" t="inlineStr">
        <is>
          <t>292</t>
        </is>
      </c>
      <c r="B511" s="4" t="n">
        <v>2</v>
      </c>
      <c r="C511" s="4" t="inlineStr">
        <is>
          <t>elk</t>
        </is>
      </c>
      <c r="D511" s="4" t="n">
        <v>2025</v>
      </c>
      <c r="E511" s="13" t="inlineStr">
        <is>
          <t>General</t>
        </is>
      </c>
      <c r="F511" s="5" t="n"/>
      <c r="G511" s="5" t="n"/>
      <c r="H511" s="5" t="n">
        <v>121</v>
      </c>
      <c r="I511" s="5" t="n">
        <v>86</v>
      </c>
      <c r="J511" s="5" t="n">
        <v>32</v>
      </c>
      <c r="K511" s="10">
        <f>IF(F511&gt;0,H511/F511,"")</f>
        <v/>
      </c>
      <c r="L511" s="16">
        <f>IF(AND(G511&gt;0,H511&gt;0),G511/H511,"")</f>
        <v/>
      </c>
    </row>
    <row r="512">
      <c r="A512" s="4" t="inlineStr">
        <is>
          <t>293</t>
        </is>
      </c>
      <c r="B512" s="4" t="n">
        <v>2</v>
      </c>
      <c r="C512" s="4" t="inlineStr">
        <is>
          <t>elk</t>
        </is>
      </c>
      <c r="D512" s="4" t="n">
        <v>2021</v>
      </c>
      <c r="E512" s="13" t="inlineStr">
        <is>
          <t>General</t>
        </is>
      </c>
      <c r="F512" s="5" t="n"/>
      <c r="G512" s="5" t="n"/>
      <c r="H512" s="5" t="n">
        <v>124</v>
      </c>
      <c r="I512" s="5" t="n">
        <v>92</v>
      </c>
      <c r="J512" s="5" t="n">
        <v>32</v>
      </c>
      <c r="K512" s="10">
        <f>IF(F512&gt;0,H512/F512,"")</f>
        <v/>
      </c>
      <c r="L512" s="16">
        <f>IF(AND(G512&gt;0,H512&gt;0),G512/H512,"")</f>
        <v/>
      </c>
    </row>
    <row r="513">
      <c r="A513" s="4" t="inlineStr">
        <is>
          <t>293</t>
        </is>
      </c>
      <c r="B513" s="4" t="n">
        <v>2</v>
      </c>
      <c r="C513" s="4" t="inlineStr">
        <is>
          <t>elk</t>
        </is>
      </c>
      <c r="D513" s="4" t="n">
        <v>2022</v>
      </c>
      <c r="E513" s="13" t="inlineStr">
        <is>
          <t>General</t>
        </is>
      </c>
      <c r="F513" s="5" t="n">
        <v>1138</v>
      </c>
      <c r="G513" s="5" t="n">
        <v>8347</v>
      </c>
      <c r="H513" s="5" t="n">
        <v>141</v>
      </c>
      <c r="I513" s="5" t="n">
        <v>103</v>
      </c>
      <c r="J513" s="5" t="n">
        <v>36</v>
      </c>
      <c r="K513" s="10">
        <f>IF(F513&gt;0,H513/F513,"")</f>
        <v/>
      </c>
      <c r="L513" s="16">
        <f>IF(AND(G513&gt;0,H513&gt;0),G513/H513,"")</f>
        <v/>
      </c>
    </row>
    <row r="514">
      <c r="A514" s="4" t="inlineStr">
        <is>
          <t>293</t>
        </is>
      </c>
      <c r="B514" s="4" t="n">
        <v>2</v>
      </c>
      <c r="C514" s="4" t="inlineStr">
        <is>
          <t>elk</t>
        </is>
      </c>
      <c r="D514" s="4" t="n">
        <v>2023</v>
      </c>
      <c r="E514" s="13" t="inlineStr">
        <is>
          <t>General</t>
        </is>
      </c>
      <c r="F514" s="5" t="n"/>
      <c r="G514" s="5" t="n"/>
      <c r="H514" s="5" t="n">
        <v>135</v>
      </c>
      <c r="I514" s="5" t="n">
        <v>100</v>
      </c>
      <c r="J514" s="5" t="n">
        <v>35</v>
      </c>
      <c r="K514" s="10">
        <f>IF(F514&gt;0,H514/F514,"")</f>
        <v/>
      </c>
      <c r="L514" s="16">
        <f>IF(AND(G514&gt;0,H514&gt;0),G514/H514,"")</f>
        <v/>
      </c>
    </row>
    <row r="515">
      <c r="A515" s="4" t="inlineStr">
        <is>
          <t>293</t>
        </is>
      </c>
      <c r="B515" s="4" t="n">
        <v>2</v>
      </c>
      <c r="C515" s="4" t="inlineStr">
        <is>
          <t>elk</t>
        </is>
      </c>
      <c r="D515" s="4" t="n">
        <v>2024</v>
      </c>
      <c r="E515" s="13" t="inlineStr">
        <is>
          <t>General</t>
        </is>
      </c>
      <c r="F515" s="5" t="n">
        <v>1549</v>
      </c>
      <c r="G515" s="5" t="n">
        <v>12509</v>
      </c>
      <c r="H515" s="5" t="n">
        <v>156</v>
      </c>
      <c r="I515" s="5" t="n">
        <v>87</v>
      </c>
      <c r="J515" s="5" t="n">
        <v>67</v>
      </c>
      <c r="K515" s="10">
        <f>IF(F515&gt;0,H515/F515,"")</f>
        <v/>
      </c>
      <c r="L515" s="16">
        <f>IF(AND(G515&gt;0,H515&gt;0),G515/H515,"")</f>
        <v/>
      </c>
    </row>
    <row r="516">
      <c r="A516" s="4" t="inlineStr">
        <is>
          <t>293</t>
        </is>
      </c>
      <c r="B516" s="4" t="n">
        <v>2</v>
      </c>
      <c r="C516" s="4" t="inlineStr">
        <is>
          <t>elk</t>
        </is>
      </c>
      <c r="D516" s="4" t="n">
        <v>2025</v>
      </c>
      <c r="E516" s="13" t="inlineStr">
        <is>
          <t>General</t>
        </is>
      </c>
      <c r="F516" s="5" t="n"/>
      <c r="G516" s="5" t="n"/>
      <c r="H516" s="5" t="n">
        <v>231</v>
      </c>
      <c r="I516" s="5" t="n">
        <v>144</v>
      </c>
      <c r="J516" s="5" t="n">
        <v>84</v>
      </c>
      <c r="K516" s="10">
        <f>IF(F516&gt;0,H516/F516,"")</f>
        <v/>
      </c>
      <c r="L516" s="16">
        <f>IF(AND(G516&gt;0,H516&gt;0),G516/H516,"")</f>
        <v/>
      </c>
    </row>
    <row r="517">
      <c r="A517" s="4" t="inlineStr">
        <is>
          <t>298</t>
        </is>
      </c>
      <c r="B517" s="4" t="n">
        <v>2</v>
      </c>
      <c r="C517" s="4" t="inlineStr">
        <is>
          <t>elk</t>
        </is>
      </c>
      <c r="D517" s="4" t="n">
        <v>2021</v>
      </c>
      <c r="E517" s="13" t="inlineStr">
        <is>
          <t>General</t>
        </is>
      </c>
      <c r="F517" s="5" t="n"/>
      <c r="G517" s="5" t="n"/>
      <c r="H517" s="5" t="n">
        <v>46</v>
      </c>
      <c r="I517" s="5" t="n">
        <v>15</v>
      </c>
      <c r="J517" s="5" t="n">
        <v>31</v>
      </c>
      <c r="K517" s="10">
        <f>IF(F517&gt;0,H517/F517,"")</f>
        <v/>
      </c>
      <c r="L517" s="16">
        <f>IF(AND(G517&gt;0,H517&gt;0),G517/H517,"")</f>
        <v/>
      </c>
    </row>
    <row r="518">
      <c r="A518" s="4" t="inlineStr">
        <is>
          <t>298</t>
        </is>
      </c>
      <c r="B518" s="4" t="n">
        <v>2</v>
      </c>
      <c r="C518" s="4" t="inlineStr">
        <is>
          <t>elk</t>
        </is>
      </c>
      <c r="D518" s="4" t="n">
        <v>2022</v>
      </c>
      <c r="E518" s="13" t="inlineStr">
        <is>
          <t>General</t>
        </is>
      </c>
      <c r="F518" s="5" t="n">
        <v>257</v>
      </c>
      <c r="G518" s="5" t="n">
        <v>1615</v>
      </c>
      <c r="H518" s="5" t="n">
        <v>65</v>
      </c>
      <c r="I518" s="5" t="n">
        <v>35</v>
      </c>
      <c r="J518" s="5" t="n">
        <v>27</v>
      </c>
      <c r="K518" s="10">
        <f>IF(F518&gt;0,H518/F518,"")</f>
        <v/>
      </c>
      <c r="L518" s="16">
        <f>IF(AND(G518&gt;0,H518&gt;0),G518/H518,"")</f>
        <v/>
      </c>
    </row>
    <row r="519">
      <c r="A519" s="4" t="inlineStr">
        <is>
          <t>298</t>
        </is>
      </c>
      <c r="B519" s="4" t="n">
        <v>2</v>
      </c>
      <c r="C519" s="4" t="inlineStr">
        <is>
          <t>elk</t>
        </is>
      </c>
      <c r="D519" s="4" t="n">
        <v>2023</v>
      </c>
      <c r="E519" s="13" t="inlineStr">
        <is>
          <t>General</t>
        </is>
      </c>
      <c r="F519" s="5" t="n"/>
      <c r="G519" s="5" t="n"/>
      <c r="H519" s="5" t="n">
        <v>43</v>
      </c>
      <c r="I519" s="5" t="n">
        <v>12</v>
      </c>
      <c r="J519" s="5" t="n">
        <v>31</v>
      </c>
      <c r="K519" s="10">
        <f>IF(F519&gt;0,H519/F519,"")</f>
        <v/>
      </c>
      <c r="L519" s="16">
        <f>IF(AND(G519&gt;0,H519&gt;0),G519/H519,"")</f>
        <v/>
      </c>
    </row>
    <row r="520">
      <c r="A520" s="4" t="inlineStr">
        <is>
          <t>298</t>
        </is>
      </c>
      <c r="B520" s="4" t="n">
        <v>2</v>
      </c>
      <c r="C520" s="4" t="inlineStr">
        <is>
          <t>elk</t>
        </is>
      </c>
      <c r="D520" s="4" t="n">
        <v>2024</v>
      </c>
      <c r="E520" s="13" t="inlineStr">
        <is>
          <t>General</t>
        </is>
      </c>
      <c r="F520" s="5" t="n">
        <v>307</v>
      </c>
      <c r="G520" s="5" t="n">
        <v>2066</v>
      </c>
      <c r="H520" s="5" t="n">
        <v>42</v>
      </c>
      <c r="I520" s="5" t="n">
        <v>12</v>
      </c>
      <c r="J520" s="5" t="n">
        <v>30</v>
      </c>
      <c r="K520" s="10">
        <f>IF(F520&gt;0,H520/F520,"")</f>
        <v/>
      </c>
      <c r="L520" s="16">
        <f>IF(AND(G520&gt;0,H520&gt;0),G520/H520,"")</f>
        <v/>
      </c>
    </row>
    <row r="521">
      <c r="A521" s="4" t="inlineStr">
        <is>
          <t>298</t>
        </is>
      </c>
      <c r="B521" s="4" t="n">
        <v>2</v>
      </c>
      <c r="C521" s="4" t="inlineStr">
        <is>
          <t>elk</t>
        </is>
      </c>
      <c r="D521" s="4" t="n">
        <v>2025</v>
      </c>
      <c r="E521" s="13" t="inlineStr">
        <is>
          <t>General</t>
        </is>
      </c>
      <c r="F521" s="5" t="n"/>
      <c r="G521" s="5" t="n"/>
      <c r="H521" s="5" t="n">
        <v>56</v>
      </c>
      <c r="I521" s="5" t="n">
        <v>25</v>
      </c>
      <c r="J521" s="5" t="n">
        <v>31</v>
      </c>
      <c r="K521" s="10">
        <f>IF(F521&gt;0,H521/F521,"")</f>
        <v/>
      </c>
      <c r="L521" s="16">
        <f>IF(AND(G521&gt;0,H521&gt;0),G521/H521,"")</f>
        <v/>
      </c>
    </row>
    <row r="522">
      <c r="A522" s="4" t="inlineStr">
        <is>
          <t>300</t>
        </is>
      </c>
      <c r="B522" s="4" t="n">
        <v>3</v>
      </c>
      <c r="C522" s="4" t="inlineStr">
        <is>
          <t>elk</t>
        </is>
      </c>
      <c r="D522" s="4" t="n">
        <v>2021</v>
      </c>
      <c r="E522" s="4" t="inlineStr"/>
      <c r="F522" s="5" t="n"/>
      <c r="G522" s="5" t="n"/>
      <c r="H522" s="5" t="n">
        <v>386</v>
      </c>
      <c r="I522" s="5" t="n">
        <v>185</v>
      </c>
      <c r="J522" s="5" t="n">
        <v>185</v>
      </c>
      <c r="K522" s="10">
        <f>IF(F522&gt;0,H522/F522,"")</f>
        <v/>
      </c>
      <c r="L522" s="16">
        <f>IF(AND(G522&gt;0,H522&gt;0),G522/H522,"")</f>
        <v/>
      </c>
    </row>
    <row r="523">
      <c r="A523" s="4" t="inlineStr">
        <is>
          <t>301</t>
        </is>
      </c>
      <c r="B523" s="4" t="n">
        <v>3</v>
      </c>
      <c r="C523" s="4" t="inlineStr">
        <is>
          <t>elk</t>
        </is>
      </c>
      <c r="D523" s="4" t="n">
        <v>2021</v>
      </c>
      <c r="E523" s="13" t="inlineStr">
        <is>
          <t>General</t>
        </is>
      </c>
      <c r="F523" s="5" t="n"/>
      <c r="G523" s="5" t="n"/>
      <c r="H523" s="5" t="n">
        <v>144</v>
      </c>
      <c r="I523" s="5" t="n">
        <v>112</v>
      </c>
      <c r="J523" s="5" t="n">
        <v>32</v>
      </c>
      <c r="K523" s="10">
        <f>IF(F523&gt;0,H523/F523,"")</f>
        <v/>
      </c>
      <c r="L523" s="16">
        <f>IF(AND(G523&gt;0,H523&gt;0),G523/H523,"")</f>
        <v/>
      </c>
    </row>
    <row r="524">
      <c r="A524" s="4" t="inlineStr">
        <is>
          <t>301</t>
        </is>
      </c>
      <c r="B524" s="4" t="n">
        <v>3</v>
      </c>
      <c r="C524" s="4" t="inlineStr">
        <is>
          <t>elk</t>
        </is>
      </c>
      <c r="D524" s="4" t="n">
        <v>2022</v>
      </c>
      <c r="E524" s="13" t="inlineStr">
        <is>
          <t>General</t>
        </is>
      </c>
      <c r="F524" s="5" t="n">
        <v>1135</v>
      </c>
      <c r="G524" s="5" t="n">
        <v>7811</v>
      </c>
      <c r="H524" s="5" t="n">
        <v>231</v>
      </c>
      <c r="I524" s="5" t="n">
        <v>181</v>
      </c>
      <c r="J524" s="5" t="n">
        <v>49</v>
      </c>
      <c r="K524" s="10">
        <f>IF(F524&gt;0,H524/F524,"")</f>
        <v/>
      </c>
      <c r="L524" s="16">
        <f>IF(AND(G524&gt;0,H524&gt;0),G524/H524,"")</f>
        <v/>
      </c>
    </row>
    <row r="525">
      <c r="A525" s="4" t="inlineStr">
        <is>
          <t>301</t>
        </is>
      </c>
      <c r="B525" s="4" t="n">
        <v>3</v>
      </c>
      <c r="C525" s="4" t="inlineStr">
        <is>
          <t>elk</t>
        </is>
      </c>
      <c r="D525" s="4" t="n">
        <v>2023</v>
      </c>
      <c r="E525" s="13" t="inlineStr">
        <is>
          <t>General</t>
        </is>
      </c>
      <c r="F525" s="5" t="n"/>
      <c r="G525" s="5" t="n"/>
      <c r="H525" s="5" t="n">
        <v>123</v>
      </c>
      <c r="I525" s="5" t="n">
        <v>91</v>
      </c>
      <c r="J525" s="5" t="n">
        <v>32</v>
      </c>
      <c r="K525" s="10">
        <f>IF(F525&gt;0,H525/F525,"")</f>
        <v/>
      </c>
      <c r="L525" s="16">
        <f>IF(AND(G525&gt;0,H525&gt;0),G525/H525,"")</f>
        <v/>
      </c>
    </row>
    <row r="526">
      <c r="A526" s="4" t="inlineStr">
        <is>
          <t>301</t>
        </is>
      </c>
      <c r="B526" s="4" t="n">
        <v>3</v>
      </c>
      <c r="C526" s="4" t="inlineStr">
        <is>
          <t>elk</t>
        </is>
      </c>
      <c r="D526" s="4" t="n">
        <v>2024</v>
      </c>
      <c r="E526" s="13" t="inlineStr">
        <is>
          <t>General</t>
        </is>
      </c>
      <c r="F526" s="5" t="n">
        <v>1107</v>
      </c>
      <c r="G526" s="5" t="n">
        <v>8029</v>
      </c>
      <c r="H526" s="5" t="n">
        <v>110</v>
      </c>
      <c r="I526" s="5" t="n">
        <v>44</v>
      </c>
      <c r="J526" s="5" t="n">
        <v>60</v>
      </c>
      <c r="K526" s="10">
        <f>IF(F526&gt;0,H526/F526,"")</f>
        <v/>
      </c>
      <c r="L526" s="16">
        <f>IF(AND(G526&gt;0,H526&gt;0),G526/H526,"")</f>
        <v/>
      </c>
    </row>
    <row r="527">
      <c r="A527" s="4" t="inlineStr">
        <is>
          <t>301</t>
        </is>
      </c>
      <c r="B527" s="4" t="n">
        <v>3</v>
      </c>
      <c r="C527" s="4" t="inlineStr">
        <is>
          <t>elk</t>
        </is>
      </c>
      <c r="D527" s="4" t="n">
        <v>2025</v>
      </c>
      <c r="E527" s="13" t="inlineStr">
        <is>
          <t>General</t>
        </is>
      </c>
      <c r="F527" s="5" t="n"/>
      <c r="G527" s="5" t="n"/>
      <c r="H527" s="5" t="n">
        <v>153</v>
      </c>
      <c r="I527" s="5" t="n">
        <v>92</v>
      </c>
      <c r="J527" s="5" t="n">
        <v>54</v>
      </c>
      <c r="K527" s="10">
        <f>IF(F527&gt;0,H527/F527,"")</f>
        <v/>
      </c>
      <c r="L527" s="16">
        <f>IF(AND(G527&gt;0,H527&gt;0),G527/H527,"")</f>
        <v/>
      </c>
    </row>
    <row r="528">
      <c r="A528" s="4" t="inlineStr">
        <is>
          <t>302</t>
        </is>
      </c>
      <c r="B528" s="4" t="n">
        <v>3</v>
      </c>
      <c r="C528" s="4" t="inlineStr">
        <is>
          <t>elk</t>
        </is>
      </c>
      <c r="D528" s="4" t="n">
        <v>2021</v>
      </c>
      <c r="E528" s="13" t="inlineStr">
        <is>
          <t>General</t>
        </is>
      </c>
      <c r="F528" s="5" t="n"/>
      <c r="G528" s="5" t="n"/>
      <c r="H528" s="5" t="n">
        <v>305</v>
      </c>
      <c r="I528" s="5" t="n">
        <v>154</v>
      </c>
      <c r="J528" s="5" t="n">
        <v>132</v>
      </c>
      <c r="K528" s="10">
        <f>IF(F528&gt;0,H528/F528,"")</f>
        <v/>
      </c>
      <c r="L528" s="16">
        <f>IF(AND(G528&gt;0,H528&gt;0),G528/H528,"")</f>
        <v/>
      </c>
    </row>
    <row r="529">
      <c r="A529" s="4" t="inlineStr">
        <is>
          <t>302</t>
        </is>
      </c>
      <c r="B529" s="4" t="n">
        <v>3</v>
      </c>
      <c r="C529" s="4" t="inlineStr">
        <is>
          <t>elk</t>
        </is>
      </c>
      <c r="D529" s="4" t="n">
        <v>2022</v>
      </c>
      <c r="E529" s="13" t="inlineStr">
        <is>
          <t>General</t>
        </is>
      </c>
      <c r="F529" s="5" t="n">
        <v>1249</v>
      </c>
      <c r="G529" s="5" t="n">
        <v>7613</v>
      </c>
      <c r="H529" s="5" t="n">
        <v>423</v>
      </c>
      <c r="I529" s="5" t="n">
        <v>192</v>
      </c>
      <c r="J529" s="5" t="n">
        <v>225</v>
      </c>
      <c r="K529" s="10">
        <f>IF(F529&gt;0,H529/F529,"")</f>
        <v/>
      </c>
      <c r="L529" s="16">
        <f>IF(AND(G529&gt;0,H529&gt;0),G529/H529,"")</f>
        <v/>
      </c>
    </row>
    <row r="530">
      <c r="A530" s="4" t="inlineStr">
        <is>
          <t>302</t>
        </is>
      </c>
      <c r="B530" s="4" t="n">
        <v>3</v>
      </c>
      <c r="C530" s="4" t="inlineStr">
        <is>
          <t>elk</t>
        </is>
      </c>
      <c r="D530" s="4" t="n">
        <v>2023</v>
      </c>
      <c r="E530" s="13" t="inlineStr">
        <is>
          <t>General</t>
        </is>
      </c>
      <c r="F530" s="5" t="n"/>
      <c r="G530" s="5" t="n"/>
      <c r="H530" s="5" t="n">
        <v>258</v>
      </c>
      <c r="I530" s="5" t="n">
        <v>131</v>
      </c>
      <c r="J530" s="5" t="n">
        <v>122</v>
      </c>
      <c r="K530" s="10">
        <f>IF(F530&gt;0,H530/F530,"")</f>
        <v/>
      </c>
      <c r="L530" s="16">
        <f>IF(AND(G530&gt;0,H530&gt;0),G530/H530,"")</f>
        <v/>
      </c>
    </row>
    <row r="531">
      <c r="A531" s="4" t="inlineStr">
        <is>
          <t>302</t>
        </is>
      </c>
      <c r="B531" s="4" t="n">
        <v>3</v>
      </c>
      <c r="C531" s="4" t="inlineStr">
        <is>
          <t>elk</t>
        </is>
      </c>
      <c r="D531" s="4" t="n">
        <v>2024</v>
      </c>
      <c r="E531" s="13" t="inlineStr">
        <is>
          <t>General</t>
        </is>
      </c>
      <c r="F531" s="5" t="n">
        <v>1229</v>
      </c>
      <c r="G531" s="5" t="n">
        <v>8347</v>
      </c>
      <c r="H531" s="5" t="n">
        <v>272</v>
      </c>
      <c r="I531" s="5" t="n">
        <v>116</v>
      </c>
      <c r="J531" s="5" t="n">
        <v>145</v>
      </c>
      <c r="K531" s="10">
        <f>IF(F531&gt;0,H531/F531,"")</f>
        <v/>
      </c>
      <c r="L531" s="16">
        <f>IF(AND(G531&gt;0,H531&gt;0),G531/H531,"")</f>
        <v/>
      </c>
    </row>
    <row r="532">
      <c r="A532" s="4" t="inlineStr">
        <is>
          <t>302</t>
        </is>
      </c>
      <c r="B532" s="4" t="n">
        <v>3</v>
      </c>
      <c r="C532" s="4" t="inlineStr">
        <is>
          <t>elk</t>
        </is>
      </c>
      <c r="D532" s="4" t="n">
        <v>2025</v>
      </c>
      <c r="E532" s="13" t="inlineStr">
        <is>
          <t>General</t>
        </is>
      </c>
      <c r="F532" s="5" t="n"/>
      <c r="G532" s="5" t="n"/>
      <c r="H532" s="5" t="n">
        <v>235</v>
      </c>
      <c r="I532" s="5" t="n">
        <v>114</v>
      </c>
      <c r="J532" s="5" t="n">
        <v>113</v>
      </c>
      <c r="K532" s="10">
        <f>IF(F532&gt;0,H532/F532,"")</f>
        <v/>
      </c>
      <c r="L532" s="16">
        <f>IF(AND(G532&gt;0,H532&gt;0),G532/H532,"")</f>
        <v/>
      </c>
    </row>
    <row r="533">
      <c r="A533" s="4" t="inlineStr">
        <is>
          <t>303</t>
        </is>
      </c>
      <c r="B533" s="4" t="n">
        <v>3</v>
      </c>
      <c r="C533" s="4" t="inlineStr">
        <is>
          <t>elk</t>
        </is>
      </c>
      <c r="D533" s="4" t="n">
        <v>2022</v>
      </c>
      <c r="E533" s="13" t="inlineStr">
        <is>
          <t>General</t>
        </is>
      </c>
      <c r="F533" s="5" t="n">
        <v>928</v>
      </c>
      <c r="G533" s="5" t="n">
        <v>5448</v>
      </c>
      <c r="H533" s="5" t="n">
        <v>241</v>
      </c>
      <c r="I533" s="5" t="n">
        <v>113</v>
      </c>
      <c r="J533" s="5" t="n">
        <v>125</v>
      </c>
      <c r="K533" s="10">
        <f>IF(F533&gt;0,H533/F533,"")</f>
        <v/>
      </c>
      <c r="L533" s="16">
        <f>IF(AND(G533&gt;0,H533&gt;0),G533/H533,"")</f>
        <v/>
      </c>
    </row>
    <row r="534">
      <c r="A534" s="4" t="inlineStr">
        <is>
          <t>303</t>
        </is>
      </c>
      <c r="B534" s="4" t="n">
        <v>3</v>
      </c>
      <c r="C534" s="4" t="inlineStr">
        <is>
          <t>elk</t>
        </is>
      </c>
      <c r="D534" s="4" t="n">
        <v>2023</v>
      </c>
      <c r="E534" s="13" t="inlineStr">
        <is>
          <t>General</t>
        </is>
      </c>
      <c r="F534" s="5" t="n"/>
      <c r="G534" s="5" t="n"/>
      <c r="H534" s="5" t="n">
        <v>171</v>
      </c>
      <c r="I534" s="5" t="n">
        <v>113</v>
      </c>
      <c r="J534" s="5" t="n">
        <v>55</v>
      </c>
      <c r="K534" s="10">
        <f>IF(F534&gt;0,H534/F534,"")</f>
        <v/>
      </c>
      <c r="L534" s="16">
        <f>IF(AND(G534&gt;0,H534&gt;0),G534/H534,"")</f>
        <v/>
      </c>
    </row>
    <row r="535">
      <c r="A535" s="4" t="inlineStr">
        <is>
          <t>303</t>
        </is>
      </c>
      <c r="B535" s="4" t="n">
        <v>3</v>
      </c>
      <c r="C535" s="4" t="inlineStr">
        <is>
          <t>elk</t>
        </is>
      </c>
      <c r="D535" s="4" t="n">
        <v>2024</v>
      </c>
      <c r="E535" s="13" t="inlineStr">
        <is>
          <t>General</t>
        </is>
      </c>
      <c r="F535" s="5" t="n">
        <v>1180</v>
      </c>
      <c r="G535" s="5" t="n">
        <v>7734</v>
      </c>
      <c r="H535" s="5" t="n">
        <v>274</v>
      </c>
      <c r="I535" s="5" t="n">
        <v>117</v>
      </c>
      <c r="J535" s="5" t="n">
        <v>152</v>
      </c>
      <c r="K535" s="10">
        <f>IF(F535&gt;0,H535/F535,"")</f>
        <v/>
      </c>
      <c r="L535" s="16">
        <f>IF(AND(G535&gt;0,H535&gt;0),G535/H535,"")</f>
        <v/>
      </c>
    </row>
    <row r="536">
      <c r="A536" s="4" t="inlineStr">
        <is>
          <t>303</t>
        </is>
      </c>
      <c r="B536" s="4" t="n">
        <v>3</v>
      </c>
      <c r="C536" s="4" t="inlineStr">
        <is>
          <t>elk</t>
        </is>
      </c>
      <c r="D536" s="4" t="n">
        <v>2025</v>
      </c>
      <c r="E536" s="13" t="inlineStr">
        <is>
          <t>General</t>
        </is>
      </c>
      <c r="F536" s="5" t="n"/>
      <c r="G536" s="5" t="n"/>
      <c r="H536" s="5" t="n">
        <v>271</v>
      </c>
      <c r="I536" s="5" t="n">
        <v>157</v>
      </c>
      <c r="J536" s="5" t="n">
        <v>107</v>
      </c>
      <c r="K536" s="10">
        <f>IF(F536&gt;0,H536/F536,"")</f>
        <v/>
      </c>
      <c r="L536" s="16">
        <f>IF(AND(G536&gt;0,H536&gt;0),G536/H536,"")</f>
        <v/>
      </c>
    </row>
    <row r="537">
      <c r="A537" s="4" t="inlineStr">
        <is>
          <t>304</t>
        </is>
      </c>
      <c r="B537" s="4" t="n">
        <v>3</v>
      </c>
      <c r="C537" s="4" t="inlineStr">
        <is>
          <t>elk</t>
        </is>
      </c>
      <c r="D537" s="4" t="n">
        <v>2022</v>
      </c>
      <c r="E537" s="13" t="inlineStr">
        <is>
          <t>General</t>
        </is>
      </c>
      <c r="F537" s="5" t="n">
        <v>489</v>
      </c>
      <c r="G537" s="5" t="n">
        <v>2399</v>
      </c>
      <c r="H537" s="5" t="n">
        <v>137</v>
      </c>
      <c r="I537" s="5" t="n">
        <v>98</v>
      </c>
      <c r="J537" s="5" t="n">
        <v>38</v>
      </c>
      <c r="K537" s="10">
        <f>IF(F537&gt;0,H537/F537,"")</f>
        <v/>
      </c>
      <c r="L537" s="16">
        <f>IF(AND(G537&gt;0,H537&gt;0),G537/H537,"")</f>
        <v/>
      </c>
    </row>
    <row r="538">
      <c r="A538" s="4" t="inlineStr">
        <is>
          <t>304</t>
        </is>
      </c>
      <c r="B538" s="4" t="n">
        <v>3</v>
      </c>
      <c r="C538" s="4" t="inlineStr">
        <is>
          <t>elk</t>
        </is>
      </c>
      <c r="D538" s="4" t="n">
        <v>2023</v>
      </c>
      <c r="E538" s="13" t="inlineStr">
        <is>
          <t>General</t>
        </is>
      </c>
      <c r="F538" s="5" t="n"/>
      <c r="G538" s="5" t="n"/>
      <c r="H538" s="5" t="n">
        <v>63</v>
      </c>
      <c r="I538" s="5" t="n">
        <v>49</v>
      </c>
      <c r="J538" s="5" t="n">
        <v>14</v>
      </c>
      <c r="K538" s="10">
        <f>IF(F538&gt;0,H538/F538,"")</f>
        <v/>
      </c>
      <c r="L538" s="16">
        <f>IF(AND(G538&gt;0,H538&gt;0),G538/H538,"")</f>
        <v/>
      </c>
    </row>
    <row r="539">
      <c r="A539" s="4" t="inlineStr">
        <is>
          <t>304</t>
        </is>
      </c>
      <c r="B539" s="4" t="n">
        <v>3</v>
      </c>
      <c r="C539" s="4" t="inlineStr">
        <is>
          <t>elk</t>
        </is>
      </c>
      <c r="D539" s="4" t="n">
        <v>2024</v>
      </c>
      <c r="E539" s="13" t="inlineStr">
        <is>
          <t>General</t>
        </is>
      </c>
      <c r="F539" s="5" t="n">
        <v>554</v>
      </c>
      <c r="G539" s="5" t="n">
        <v>3705</v>
      </c>
      <c r="H539" s="5" t="n">
        <v>93</v>
      </c>
      <c r="I539" s="5" t="n">
        <v>64</v>
      </c>
      <c r="J539" s="5" t="n">
        <v>26</v>
      </c>
      <c r="K539" s="10">
        <f>IF(F539&gt;0,H539/F539,"")</f>
        <v/>
      </c>
      <c r="L539" s="16">
        <f>IF(AND(G539&gt;0,H539&gt;0),G539/H539,"")</f>
        <v/>
      </c>
    </row>
    <row r="540">
      <c r="A540" s="4" t="inlineStr">
        <is>
          <t>304</t>
        </is>
      </c>
      <c r="B540" s="4" t="n">
        <v>3</v>
      </c>
      <c r="C540" s="4" t="inlineStr">
        <is>
          <t>elk</t>
        </is>
      </c>
      <c r="D540" s="4" t="n">
        <v>2025</v>
      </c>
      <c r="E540" s="13" t="inlineStr">
        <is>
          <t>General</t>
        </is>
      </c>
      <c r="F540" s="5" t="n"/>
      <c r="G540" s="5" t="n"/>
      <c r="H540" s="5" t="n">
        <v>83</v>
      </c>
      <c r="I540" s="5" t="n">
        <v>69</v>
      </c>
      <c r="J540" s="5" t="n">
        <v>13</v>
      </c>
      <c r="K540" s="10">
        <f>IF(F540&gt;0,H540/F540,"")</f>
        <v/>
      </c>
      <c r="L540" s="16">
        <f>IF(AND(G540&gt;0,H540&gt;0),G540/H540,"")</f>
        <v/>
      </c>
    </row>
    <row r="541">
      <c r="A541" s="4" t="inlineStr">
        <is>
          <t>309</t>
        </is>
      </c>
      <c r="B541" s="4" t="n">
        <v>3</v>
      </c>
      <c r="C541" s="4" t="inlineStr">
        <is>
          <t>elk</t>
        </is>
      </c>
      <c r="D541" s="4" t="n">
        <v>2021</v>
      </c>
      <c r="E541" s="13" t="inlineStr">
        <is>
          <t>General</t>
        </is>
      </c>
      <c r="F541" s="5" t="n"/>
      <c r="G541" s="5" t="n"/>
      <c r="H541" s="5" t="n">
        <v>74</v>
      </c>
      <c r="I541" s="5" t="n">
        <v>47</v>
      </c>
      <c r="J541" s="5" t="n">
        <v>27</v>
      </c>
      <c r="K541" s="10">
        <f>IF(F541&gt;0,H541/F541,"")</f>
        <v/>
      </c>
      <c r="L541" s="16">
        <f>IF(AND(G541&gt;0,H541&gt;0),G541/H541,"")</f>
        <v/>
      </c>
    </row>
    <row r="542">
      <c r="A542" s="4" t="inlineStr">
        <is>
          <t>309</t>
        </is>
      </c>
      <c r="B542" s="4" t="n">
        <v>3</v>
      </c>
      <c r="C542" s="4" t="inlineStr">
        <is>
          <t>elk</t>
        </is>
      </c>
      <c r="D542" s="4" t="n">
        <v>2022</v>
      </c>
      <c r="E542" s="13" t="inlineStr">
        <is>
          <t>General</t>
        </is>
      </c>
      <c r="F542" s="5" t="n">
        <v>283</v>
      </c>
      <c r="G542" s="5" t="n">
        <v>1647</v>
      </c>
      <c r="H542" s="5" t="n">
        <v>91</v>
      </c>
      <c r="I542" s="5" t="n">
        <v>51</v>
      </c>
      <c r="J542" s="5" t="n">
        <v>40</v>
      </c>
      <c r="K542" s="10">
        <f>IF(F542&gt;0,H542/F542,"")</f>
        <v/>
      </c>
      <c r="L542" s="16">
        <f>IF(AND(G542&gt;0,H542&gt;0),G542/H542,"")</f>
        <v/>
      </c>
    </row>
    <row r="543">
      <c r="A543" s="4" t="inlineStr">
        <is>
          <t>309</t>
        </is>
      </c>
      <c r="B543" s="4" t="n">
        <v>3</v>
      </c>
      <c r="C543" s="4" t="inlineStr">
        <is>
          <t>elk</t>
        </is>
      </c>
      <c r="D543" s="4" t="n">
        <v>2023</v>
      </c>
      <c r="E543" s="13" t="inlineStr">
        <is>
          <t>General</t>
        </is>
      </c>
      <c r="F543" s="5" t="n"/>
      <c r="G543" s="5" t="n"/>
      <c r="H543" s="5" t="n">
        <v>58</v>
      </c>
      <c r="I543" s="5" t="n">
        <v>26</v>
      </c>
      <c r="J543" s="5" t="n">
        <v>29</v>
      </c>
      <c r="K543" s="10">
        <f>IF(F543&gt;0,H543/F543,"")</f>
        <v/>
      </c>
      <c r="L543" s="16">
        <f>IF(AND(G543&gt;0,H543&gt;0),G543/H543,"")</f>
        <v/>
      </c>
    </row>
    <row r="544">
      <c r="A544" s="4" t="inlineStr">
        <is>
          <t>309</t>
        </is>
      </c>
      <c r="B544" s="4" t="n">
        <v>3</v>
      </c>
      <c r="C544" s="4" t="inlineStr">
        <is>
          <t>elk</t>
        </is>
      </c>
      <c r="D544" s="4" t="n">
        <v>2024</v>
      </c>
      <c r="E544" s="13" t="inlineStr">
        <is>
          <t>General</t>
        </is>
      </c>
      <c r="F544" s="5" t="n">
        <v>377</v>
      </c>
      <c r="G544" s="5" t="n">
        <v>2265</v>
      </c>
      <c r="H544" s="5" t="n">
        <v>117</v>
      </c>
      <c r="I544" s="5" t="n">
        <v>42</v>
      </c>
      <c r="J544" s="5" t="n">
        <v>72</v>
      </c>
      <c r="K544" s="10">
        <f>IF(F544&gt;0,H544/F544,"")</f>
        <v/>
      </c>
      <c r="L544" s="16">
        <f>IF(AND(G544&gt;0,H544&gt;0),G544/H544,"")</f>
        <v/>
      </c>
    </row>
    <row r="545">
      <c r="A545" s="4" t="inlineStr">
        <is>
          <t>309</t>
        </is>
      </c>
      <c r="B545" s="4" t="n">
        <v>3</v>
      </c>
      <c r="C545" s="4" t="inlineStr">
        <is>
          <t>elk</t>
        </is>
      </c>
      <c r="D545" s="4" t="n">
        <v>2025</v>
      </c>
      <c r="E545" s="13" t="inlineStr">
        <is>
          <t>General</t>
        </is>
      </c>
      <c r="F545" s="5" t="n"/>
      <c r="G545" s="5" t="n"/>
      <c r="H545" s="5" t="n">
        <v>37</v>
      </c>
      <c r="I545" s="5" t="n">
        <v>23</v>
      </c>
      <c r="J545" s="5" t="n">
        <v>14</v>
      </c>
      <c r="K545" s="10">
        <f>IF(F545&gt;0,H545/F545,"")</f>
        <v/>
      </c>
      <c r="L545" s="16">
        <f>IF(AND(G545&gt;0,H545&gt;0),G545/H545,"")</f>
        <v/>
      </c>
    </row>
    <row r="546">
      <c r="A546" s="4" t="inlineStr">
        <is>
          <t>310</t>
        </is>
      </c>
      <c r="B546" s="4" t="n">
        <v>3</v>
      </c>
      <c r="C546" s="4" t="inlineStr">
        <is>
          <t>elk</t>
        </is>
      </c>
      <c r="D546" s="4" t="n">
        <v>2021</v>
      </c>
      <c r="E546" s="13" t="inlineStr">
        <is>
          <t>General</t>
        </is>
      </c>
      <c r="F546" s="5" t="n"/>
      <c r="G546" s="5" t="n"/>
      <c r="H546" s="5" t="n">
        <v>108</v>
      </c>
      <c r="I546" s="5" t="n">
        <v>86</v>
      </c>
      <c r="J546" s="5" t="n">
        <v>17</v>
      </c>
      <c r="K546" s="10">
        <f>IF(F546&gt;0,H546/F546,"")</f>
        <v/>
      </c>
      <c r="L546" s="16">
        <f>IF(AND(G546&gt;0,H546&gt;0),G546/H546,"")</f>
        <v/>
      </c>
    </row>
    <row r="547">
      <c r="A547" s="4" t="inlineStr">
        <is>
          <t>310</t>
        </is>
      </c>
      <c r="B547" s="4" t="n">
        <v>3</v>
      </c>
      <c r="C547" s="4" t="inlineStr">
        <is>
          <t>elk</t>
        </is>
      </c>
      <c r="D547" s="4" t="n">
        <v>2022</v>
      </c>
      <c r="E547" s="13" t="inlineStr">
        <is>
          <t>General</t>
        </is>
      </c>
      <c r="F547" s="5" t="n">
        <v>873</v>
      </c>
      <c r="G547" s="5" t="n">
        <v>6855</v>
      </c>
      <c r="H547" s="5" t="n">
        <v>199</v>
      </c>
      <c r="I547" s="5" t="n">
        <v>187</v>
      </c>
      <c r="J547" s="5" t="n">
        <v>12</v>
      </c>
      <c r="K547" s="10">
        <f>IF(F547&gt;0,H547/F547,"")</f>
        <v/>
      </c>
      <c r="L547" s="16">
        <f>IF(AND(G547&gt;0,H547&gt;0),G547/H547,"")</f>
        <v/>
      </c>
    </row>
    <row r="548">
      <c r="A548" s="4" t="inlineStr">
        <is>
          <t>310</t>
        </is>
      </c>
      <c r="B548" s="4" t="n">
        <v>3</v>
      </c>
      <c r="C548" s="4" t="inlineStr">
        <is>
          <t>elk</t>
        </is>
      </c>
      <c r="D548" s="4" t="n">
        <v>2023</v>
      </c>
      <c r="E548" s="13" t="inlineStr">
        <is>
          <t>General</t>
        </is>
      </c>
      <c r="F548" s="5" t="n"/>
      <c r="G548" s="5" t="n"/>
      <c r="H548" s="5" t="n">
        <v>78</v>
      </c>
      <c r="I548" s="5" t="n">
        <v>60</v>
      </c>
      <c r="J548" s="5" t="n">
        <v>15</v>
      </c>
      <c r="K548" s="10">
        <f>IF(F548&gt;0,H548/F548,"")</f>
        <v/>
      </c>
      <c r="L548" s="16">
        <f>IF(AND(G548&gt;0,H548&gt;0),G548/H548,"")</f>
        <v/>
      </c>
    </row>
    <row r="549">
      <c r="A549" s="4" t="inlineStr">
        <is>
          <t>310</t>
        </is>
      </c>
      <c r="B549" s="4" t="n">
        <v>3</v>
      </c>
      <c r="C549" s="4" t="inlineStr">
        <is>
          <t>elk</t>
        </is>
      </c>
      <c r="D549" s="4" t="n">
        <v>2024</v>
      </c>
      <c r="E549" s="13" t="inlineStr">
        <is>
          <t>General</t>
        </is>
      </c>
      <c r="F549" s="5" t="n">
        <v>908</v>
      </c>
      <c r="G549" s="5" t="n">
        <v>7510</v>
      </c>
      <c r="H549" s="5" t="n">
        <v>117</v>
      </c>
      <c r="I549" s="5" t="n">
        <v>98</v>
      </c>
      <c r="J549" s="5" t="n">
        <v>15</v>
      </c>
      <c r="K549" s="10">
        <f>IF(F549&gt;0,H549/F549,"")</f>
        <v/>
      </c>
      <c r="L549" s="16">
        <f>IF(AND(G549&gt;0,H549&gt;0),G549/H549,"")</f>
        <v/>
      </c>
    </row>
    <row r="550">
      <c r="A550" s="4" t="inlineStr">
        <is>
          <t>310</t>
        </is>
      </c>
      <c r="B550" s="4" t="n">
        <v>3</v>
      </c>
      <c r="C550" s="4" t="inlineStr">
        <is>
          <t>elk</t>
        </is>
      </c>
      <c r="D550" s="4" t="n">
        <v>2025</v>
      </c>
      <c r="E550" s="13" t="inlineStr">
        <is>
          <t>General</t>
        </is>
      </c>
      <c r="F550" s="5" t="n"/>
      <c r="G550" s="5" t="n"/>
      <c r="H550" s="5" t="n">
        <v>58</v>
      </c>
      <c r="I550" s="5" t="n">
        <v>52</v>
      </c>
      <c r="J550" s="5" t="n">
        <v>6</v>
      </c>
      <c r="K550" s="10">
        <f>IF(F550&gt;0,H550/F550,"")</f>
        <v/>
      </c>
      <c r="L550" s="16">
        <f>IF(AND(G550&gt;0,H550&gt;0),G550/H550,"")</f>
        <v/>
      </c>
    </row>
    <row r="551">
      <c r="A551" s="4" t="inlineStr">
        <is>
          <t>311</t>
        </is>
      </c>
      <c r="B551" s="4" t="n">
        <v>3</v>
      </c>
      <c r="C551" s="4" t="inlineStr">
        <is>
          <t>elk</t>
        </is>
      </c>
      <c r="D551" s="4" t="n">
        <v>2021</v>
      </c>
      <c r="E551" s="13" t="inlineStr">
        <is>
          <t>General</t>
        </is>
      </c>
      <c r="F551" s="5" t="n"/>
      <c r="G551" s="5" t="n"/>
      <c r="H551" s="5" t="n">
        <v>447</v>
      </c>
      <c r="I551" s="5" t="n">
        <v>160</v>
      </c>
      <c r="J551" s="5" t="n">
        <v>284</v>
      </c>
      <c r="K551" s="10">
        <f>IF(F551&gt;0,H551/F551,"")</f>
        <v/>
      </c>
      <c r="L551" s="16">
        <f>IF(AND(G551&gt;0,H551&gt;0),G551/H551,"")</f>
        <v/>
      </c>
    </row>
    <row r="552">
      <c r="A552" s="4" t="inlineStr">
        <is>
          <t>311</t>
        </is>
      </c>
      <c r="B552" s="4" t="n">
        <v>3</v>
      </c>
      <c r="C552" s="4" t="inlineStr">
        <is>
          <t>elk</t>
        </is>
      </c>
      <c r="D552" s="4" t="n">
        <v>2022</v>
      </c>
      <c r="E552" s="13" t="inlineStr">
        <is>
          <t>General</t>
        </is>
      </c>
      <c r="F552" s="5" t="n">
        <v>954</v>
      </c>
      <c r="G552" s="5" t="n">
        <v>6417</v>
      </c>
      <c r="H552" s="5" t="n">
        <v>295</v>
      </c>
      <c r="I552" s="5" t="n">
        <v>114</v>
      </c>
      <c r="J552" s="5" t="n">
        <v>161</v>
      </c>
      <c r="K552" s="10">
        <f>IF(F552&gt;0,H552/F552,"")</f>
        <v/>
      </c>
      <c r="L552" s="16">
        <f>IF(AND(G552&gt;0,H552&gt;0),G552/H552,"")</f>
        <v/>
      </c>
    </row>
    <row r="553">
      <c r="A553" s="4" t="inlineStr">
        <is>
          <t>311</t>
        </is>
      </c>
      <c r="B553" s="4" t="n">
        <v>3</v>
      </c>
      <c r="C553" s="4" t="inlineStr">
        <is>
          <t>elk</t>
        </is>
      </c>
      <c r="D553" s="4" t="n">
        <v>2023</v>
      </c>
      <c r="E553" s="13" t="inlineStr">
        <is>
          <t>General</t>
        </is>
      </c>
      <c r="F553" s="5" t="n"/>
      <c r="G553" s="5" t="n"/>
      <c r="H553" s="5" t="n">
        <v>215</v>
      </c>
      <c r="I553" s="5" t="n">
        <v>68</v>
      </c>
      <c r="J553" s="5" t="n">
        <v>135</v>
      </c>
      <c r="K553" s="10">
        <f>IF(F553&gt;0,H553/F553,"")</f>
        <v/>
      </c>
      <c r="L553" s="16">
        <f>IF(AND(G553&gt;0,H553&gt;0),G553/H553,"")</f>
        <v/>
      </c>
    </row>
    <row r="554">
      <c r="A554" s="4" t="inlineStr">
        <is>
          <t>311</t>
        </is>
      </c>
      <c r="B554" s="4" t="n">
        <v>3</v>
      </c>
      <c r="C554" s="4" t="inlineStr">
        <is>
          <t>elk</t>
        </is>
      </c>
      <c r="D554" s="4" t="n">
        <v>2024</v>
      </c>
      <c r="E554" s="13" t="inlineStr">
        <is>
          <t>General</t>
        </is>
      </c>
      <c r="F554" s="5" t="n">
        <v>794</v>
      </c>
      <c r="G554" s="5" t="n">
        <v>5776</v>
      </c>
      <c r="H554" s="5" t="n">
        <v>238</v>
      </c>
      <c r="I554" s="5" t="n">
        <v>75</v>
      </c>
      <c r="J554" s="5" t="n">
        <v>161</v>
      </c>
      <c r="K554" s="10">
        <f>IF(F554&gt;0,H554/F554,"")</f>
        <v/>
      </c>
      <c r="L554" s="16">
        <f>IF(AND(G554&gt;0,H554&gt;0),G554/H554,"")</f>
        <v/>
      </c>
    </row>
    <row r="555">
      <c r="A555" s="4" t="inlineStr">
        <is>
          <t>311</t>
        </is>
      </c>
      <c r="B555" s="4" t="n">
        <v>3</v>
      </c>
      <c r="C555" s="4" t="inlineStr">
        <is>
          <t>elk</t>
        </is>
      </c>
      <c r="D555" s="4" t="n">
        <v>2025</v>
      </c>
      <c r="E555" s="13" t="inlineStr">
        <is>
          <t>General</t>
        </is>
      </c>
      <c r="F555" s="5" t="n"/>
      <c r="G555" s="5" t="n"/>
      <c r="H555" s="5" t="n">
        <v>198</v>
      </c>
      <c r="I555" s="5" t="n">
        <v>56</v>
      </c>
      <c r="J555" s="5" t="n">
        <v>136</v>
      </c>
      <c r="K555" s="10">
        <f>IF(F555&gt;0,H555/F555,"")</f>
        <v/>
      </c>
      <c r="L555" s="16">
        <f>IF(AND(G555&gt;0,H555&gt;0),G555/H555,"")</f>
        <v/>
      </c>
    </row>
    <row r="556">
      <c r="A556" s="4" t="inlineStr">
        <is>
          <t>312</t>
        </is>
      </c>
      <c r="B556" s="4" t="n">
        <v>3</v>
      </c>
      <c r="C556" s="4" t="inlineStr">
        <is>
          <t>elk</t>
        </is>
      </c>
      <c r="D556" s="4" t="n">
        <v>2021</v>
      </c>
      <c r="E556" s="13" t="inlineStr">
        <is>
          <t>General</t>
        </is>
      </c>
      <c r="F556" s="5" t="n"/>
      <c r="G556" s="5" t="n"/>
      <c r="H556" s="5" t="n">
        <v>266</v>
      </c>
      <c r="I556" s="5" t="n">
        <v>143</v>
      </c>
      <c r="J556" s="5" t="n">
        <v>123</v>
      </c>
      <c r="K556" s="10">
        <f>IF(F556&gt;0,H556/F556,"")</f>
        <v/>
      </c>
      <c r="L556" s="16">
        <f>IF(AND(G556&gt;0,H556&gt;0),G556/H556,"")</f>
        <v/>
      </c>
    </row>
    <row r="557">
      <c r="A557" s="4" t="inlineStr">
        <is>
          <t>312</t>
        </is>
      </c>
      <c r="B557" s="4" t="n">
        <v>3</v>
      </c>
      <c r="C557" s="4" t="inlineStr">
        <is>
          <t>elk</t>
        </is>
      </c>
      <c r="D557" s="4" t="n">
        <v>2022</v>
      </c>
      <c r="E557" s="13" t="inlineStr">
        <is>
          <t>General</t>
        </is>
      </c>
      <c r="F557" s="5" t="n">
        <v>1169</v>
      </c>
      <c r="G557" s="5" t="n">
        <v>7186</v>
      </c>
      <c r="H557" s="5" t="n">
        <v>285</v>
      </c>
      <c r="I557" s="5" t="n">
        <v>173</v>
      </c>
      <c r="J557" s="5" t="n">
        <v>103</v>
      </c>
      <c r="K557" s="10">
        <f>IF(F557&gt;0,H557/F557,"")</f>
        <v/>
      </c>
      <c r="L557" s="16">
        <f>IF(AND(G557&gt;0,H557&gt;0),G557/H557,"")</f>
        <v/>
      </c>
    </row>
    <row r="558">
      <c r="A558" s="4" t="inlineStr">
        <is>
          <t>312</t>
        </is>
      </c>
      <c r="B558" s="4" t="n">
        <v>3</v>
      </c>
      <c r="C558" s="4" t="inlineStr">
        <is>
          <t>elk</t>
        </is>
      </c>
      <c r="D558" s="4" t="n">
        <v>2023</v>
      </c>
      <c r="E558" s="13" t="inlineStr">
        <is>
          <t>General</t>
        </is>
      </c>
      <c r="F558" s="5" t="n"/>
      <c r="G558" s="5" t="n"/>
      <c r="H558" s="5" t="n">
        <v>240</v>
      </c>
      <c r="I558" s="5" t="n">
        <v>152</v>
      </c>
      <c r="J558" s="5" t="n">
        <v>82</v>
      </c>
      <c r="K558" s="10">
        <f>IF(F558&gt;0,H558/F558,"")</f>
        <v/>
      </c>
      <c r="L558" s="16">
        <f>IF(AND(G558&gt;0,H558&gt;0),G558/H558,"")</f>
        <v/>
      </c>
    </row>
    <row r="559">
      <c r="A559" s="4" t="inlineStr">
        <is>
          <t>312</t>
        </is>
      </c>
      <c r="B559" s="4" t="n">
        <v>3</v>
      </c>
      <c r="C559" s="4" t="inlineStr">
        <is>
          <t>elk</t>
        </is>
      </c>
      <c r="D559" s="4" t="n">
        <v>2024</v>
      </c>
      <c r="E559" s="13" t="inlineStr">
        <is>
          <t>General</t>
        </is>
      </c>
      <c r="F559" s="5" t="n">
        <v>1089</v>
      </c>
      <c r="G559" s="5" t="n">
        <v>7739</v>
      </c>
      <c r="H559" s="5" t="n">
        <v>230</v>
      </c>
      <c r="I559" s="5" t="n">
        <v>114</v>
      </c>
      <c r="J559" s="5" t="n">
        <v>101</v>
      </c>
      <c r="K559" s="10">
        <f>IF(F559&gt;0,H559/F559,"")</f>
        <v/>
      </c>
      <c r="L559" s="16">
        <f>IF(AND(G559&gt;0,H559&gt;0),G559/H559,"")</f>
        <v/>
      </c>
    </row>
    <row r="560">
      <c r="A560" s="4" t="inlineStr">
        <is>
          <t>312</t>
        </is>
      </c>
      <c r="B560" s="4" t="n">
        <v>3</v>
      </c>
      <c r="C560" s="4" t="inlineStr">
        <is>
          <t>elk</t>
        </is>
      </c>
      <c r="D560" s="4" t="n">
        <v>2025</v>
      </c>
      <c r="E560" s="13" t="inlineStr">
        <is>
          <t>General</t>
        </is>
      </c>
      <c r="F560" s="5" t="n"/>
      <c r="G560" s="5" t="n"/>
      <c r="H560" s="5" t="n">
        <v>281</v>
      </c>
      <c r="I560" s="5" t="n">
        <v>149</v>
      </c>
      <c r="J560" s="5" t="n">
        <v>132</v>
      </c>
      <c r="K560" s="10">
        <f>IF(F560&gt;0,H560/F560,"")</f>
        <v/>
      </c>
      <c r="L560" s="16">
        <f>IF(AND(G560&gt;0,H560&gt;0),G560/H560,"")</f>
        <v/>
      </c>
    </row>
    <row r="561">
      <c r="A561" s="4" t="inlineStr">
        <is>
          <t>313</t>
        </is>
      </c>
      <c r="B561" s="4" t="n">
        <v>3</v>
      </c>
      <c r="C561" s="4" t="inlineStr">
        <is>
          <t>elk</t>
        </is>
      </c>
      <c r="D561" s="4" t="n">
        <v>2021</v>
      </c>
      <c r="E561" s="13" t="inlineStr">
        <is>
          <t>General</t>
        </is>
      </c>
      <c r="F561" s="5" t="n"/>
      <c r="G561" s="5" t="n"/>
      <c r="H561" s="5" t="n">
        <v>318</v>
      </c>
      <c r="I561" s="5" t="n">
        <v>237</v>
      </c>
      <c r="J561" s="5" t="n">
        <v>81</v>
      </c>
      <c r="K561" s="10">
        <f>IF(F561&gt;0,H561/F561,"")</f>
        <v/>
      </c>
      <c r="L561" s="16">
        <f>IF(AND(G561&gt;0,H561&gt;0),G561/H561,"")</f>
        <v/>
      </c>
    </row>
    <row r="562">
      <c r="A562" s="4" t="inlineStr">
        <is>
          <t>313</t>
        </is>
      </c>
      <c r="B562" s="4" t="n">
        <v>3</v>
      </c>
      <c r="C562" s="4" t="inlineStr">
        <is>
          <t>elk</t>
        </is>
      </c>
      <c r="D562" s="4" t="n">
        <v>2022</v>
      </c>
      <c r="E562" s="13" t="inlineStr">
        <is>
          <t>General</t>
        </is>
      </c>
      <c r="F562" s="5" t="n">
        <v>1307</v>
      </c>
      <c r="G562" s="5" t="n">
        <v>8921</v>
      </c>
      <c r="H562" s="5" t="n">
        <v>335</v>
      </c>
      <c r="I562" s="5" t="n">
        <v>298</v>
      </c>
      <c r="J562" s="5" t="n">
        <v>37</v>
      </c>
      <c r="K562" s="10">
        <f>IF(F562&gt;0,H562/F562,"")</f>
        <v/>
      </c>
      <c r="L562" s="16">
        <f>IF(AND(G562&gt;0,H562&gt;0),G562/H562,"")</f>
        <v/>
      </c>
    </row>
    <row r="563">
      <c r="A563" s="4" t="inlineStr">
        <is>
          <t>313</t>
        </is>
      </c>
      <c r="B563" s="4" t="n">
        <v>3</v>
      </c>
      <c r="C563" s="4" t="inlineStr">
        <is>
          <t>elk</t>
        </is>
      </c>
      <c r="D563" s="4" t="n">
        <v>2023</v>
      </c>
      <c r="E563" s="13" t="inlineStr">
        <is>
          <t>General</t>
        </is>
      </c>
      <c r="F563" s="5" t="n"/>
      <c r="G563" s="5" t="n"/>
      <c r="H563" s="5" t="n">
        <v>289</v>
      </c>
      <c r="I563" s="5" t="n">
        <v>238</v>
      </c>
      <c r="J563" s="5" t="n">
        <v>48</v>
      </c>
      <c r="K563" s="10">
        <f>IF(F563&gt;0,H563/F563,"")</f>
        <v/>
      </c>
      <c r="L563" s="16">
        <f>IF(AND(G563&gt;0,H563&gt;0),G563/H563,"")</f>
        <v/>
      </c>
    </row>
    <row r="564">
      <c r="A564" s="4" t="inlineStr">
        <is>
          <t>313</t>
        </is>
      </c>
      <c r="B564" s="4" t="n">
        <v>3</v>
      </c>
      <c r="C564" s="4" t="inlineStr">
        <is>
          <t>elk</t>
        </is>
      </c>
      <c r="D564" s="4" t="n">
        <v>2024</v>
      </c>
      <c r="E564" s="13" t="inlineStr">
        <is>
          <t>General</t>
        </is>
      </c>
      <c r="F564" s="5" t="n">
        <v>1326</v>
      </c>
      <c r="G564" s="5" t="n">
        <v>9905</v>
      </c>
      <c r="H564" s="5" t="n">
        <v>346</v>
      </c>
      <c r="I564" s="5" t="n">
        <v>238</v>
      </c>
      <c r="J564" s="5" t="n">
        <v>108</v>
      </c>
      <c r="K564" s="10">
        <f>IF(F564&gt;0,H564/F564,"")</f>
        <v/>
      </c>
      <c r="L564" s="16">
        <f>IF(AND(G564&gt;0,H564&gt;0),G564/H564,"")</f>
        <v/>
      </c>
    </row>
    <row r="565">
      <c r="A565" s="4" t="inlineStr">
        <is>
          <t>313</t>
        </is>
      </c>
      <c r="B565" s="4" t="n">
        <v>3</v>
      </c>
      <c r="C565" s="4" t="inlineStr">
        <is>
          <t>elk</t>
        </is>
      </c>
      <c r="D565" s="4" t="n">
        <v>2025</v>
      </c>
      <c r="E565" s="13" t="inlineStr">
        <is>
          <t>General</t>
        </is>
      </c>
      <c r="F565" s="5" t="n"/>
      <c r="G565" s="5" t="n"/>
      <c r="H565" s="5" t="n">
        <v>282</v>
      </c>
      <c r="I565" s="5" t="n">
        <v>188</v>
      </c>
      <c r="J565" s="5" t="n">
        <v>91</v>
      </c>
      <c r="K565" s="10">
        <f>IF(F565&gt;0,H565/F565,"")</f>
        <v/>
      </c>
      <c r="L565" s="16">
        <f>IF(AND(G565&gt;0,H565&gt;0),G565/H565,"")</f>
        <v/>
      </c>
    </row>
    <row r="566">
      <c r="A566" s="4" t="inlineStr">
        <is>
          <t>314</t>
        </is>
      </c>
      <c r="B566" s="4" t="n">
        <v>3</v>
      </c>
      <c r="C566" s="4" t="inlineStr">
        <is>
          <t>elk</t>
        </is>
      </c>
      <c r="D566" s="4" t="n">
        <v>2021</v>
      </c>
      <c r="E566" s="13" t="inlineStr">
        <is>
          <t>General</t>
        </is>
      </c>
      <c r="F566" s="5" t="n"/>
      <c r="G566" s="5" t="n"/>
      <c r="H566" s="5" t="n">
        <v>669</v>
      </c>
      <c r="I566" s="5" t="n">
        <v>261</v>
      </c>
      <c r="J566" s="5" t="n">
        <v>389</v>
      </c>
      <c r="K566" s="10">
        <f>IF(F566&gt;0,H566/F566,"")</f>
        <v/>
      </c>
      <c r="L566" s="16">
        <f>IF(AND(G566&gt;0,H566&gt;0),G566/H566,"")</f>
        <v/>
      </c>
    </row>
    <row r="567">
      <c r="A567" s="4" t="inlineStr">
        <is>
          <t>314</t>
        </is>
      </c>
      <c r="B567" s="4" t="n">
        <v>3</v>
      </c>
      <c r="C567" s="4" t="inlineStr">
        <is>
          <t>elk</t>
        </is>
      </c>
      <c r="D567" s="4" t="n">
        <v>2022</v>
      </c>
      <c r="E567" s="13" t="inlineStr">
        <is>
          <t>General</t>
        </is>
      </c>
      <c r="F567" s="5" t="n">
        <v>2106</v>
      </c>
      <c r="G567" s="5" t="n">
        <v>13172</v>
      </c>
      <c r="H567" s="5" t="n">
        <v>771</v>
      </c>
      <c r="I567" s="5" t="n">
        <v>322</v>
      </c>
      <c r="J567" s="5" t="n">
        <v>424</v>
      </c>
      <c r="K567" s="10">
        <f>IF(F567&gt;0,H567/F567,"")</f>
        <v/>
      </c>
      <c r="L567" s="16">
        <f>IF(AND(G567&gt;0,H567&gt;0),G567/H567,"")</f>
        <v/>
      </c>
    </row>
    <row r="568">
      <c r="A568" s="4" t="inlineStr">
        <is>
          <t>314</t>
        </is>
      </c>
      <c r="B568" s="4" t="n">
        <v>3</v>
      </c>
      <c r="C568" s="4" t="inlineStr">
        <is>
          <t>elk</t>
        </is>
      </c>
      <c r="D568" s="4" t="n">
        <v>2023</v>
      </c>
      <c r="E568" s="13" t="inlineStr">
        <is>
          <t>General</t>
        </is>
      </c>
      <c r="F568" s="5" t="n"/>
      <c r="G568" s="5" t="n"/>
      <c r="H568" s="5" t="n">
        <v>617</v>
      </c>
      <c r="I568" s="5" t="n">
        <v>193</v>
      </c>
      <c r="J568" s="5" t="n">
        <v>412</v>
      </c>
      <c r="K568" s="10">
        <f>IF(F568&gt;0,H568/F568,"")</f>
        <v/>
      </c>
      <c r="L568" s="16">
        <f>IF(AND(G568&gt;0,H568&gt;0),G568/H568,"")</f>
        <v/>
      </c>
    </row>
    <row r="569">
      <c r="A569" s="4" t="inlineStr">
        <is>
          <t>314</t>
        </is>
      </c>
      <c r="B569" s="4" t="n">
        <v>3</v>
      </c>
      <c r="C569" s="4" t="inlineStr">
        <is>
          <t>elk</t>
        </is>
      </c>
      <c r="D569" s="4" t="n">
        <v>2024</v>
      </c>
      <c r="E569" s="13" t="inlineStr">
        <is>
          <t>General</t>
        </is>
      </c>
      <c r="F569" s="5" t="n">
        <v>2182</v>
      </c>
      <c r="G569" s="5" t="n">
        <v>14076</v>
      </c>
      <c r="H569" s="5" t="n">
        <v>692</v>
      </c>
      <c r="I569" s="5" t="n">
        <v>215</v>
      </c>
      <c r="J569" s="5" t="n">
        <v>457</v>
      </c>
      <c r="K569" s="10">
        <f>IF(F569&gt;0,H569/F569,"")</f>
        <v/>
      </c>
      <c r="L569" s="16">
        <f>IF(AND(G569&gt;0,H569&gt;0),G569/H569,"")</f>
        <v/>
      </c>
    </row>
    <row r="570">
      <c r="A570" s="4" t="inlineStr">
        <is>
          <t>314</t>
        </is>
      </c>
      <c r="B570" s="4" t="n">
        <v>3</v>
      </c>
      <c r="C570" s="4" t="inlineStr">
        <is>
          <t>elk</t>
        </is>
      </c>
      <c r="D570" s="4" t="n">
        <v>2025</v>
      </c>
      <c r="E570" s="13" t="inlineStr">
        <is>
          <t>General</t>
        </is>
      </c>
      <c r="F570" s="5" t="n"/>
      <c r="G570" s="5" t="n"/>
      <c r="H570" s="5" t="n">
        <v>460</v>
      </c>
      <c r="I570" s="5" t="n">
        <v>175</v>
      </c>
      <c r="J570" s="5" t="n">
        <v>281</v>
      </c>
      <c r="K570" s="10">
        <f>IF(F570&gt;0,H570/F570,"")</f>
        <v/>
      </c>
      <c r="L570" s="16">
        <f>IF(AND(G570&gt;0,H570&gt;0),G570/H570,"")</f>
        <v/>
      </c>
    </row>
    <row r="571">
      <c r="A571" s="4" t="inlineStr">
        <is>
          <t>315</t>
        </is>
      </c>
      <c r="B571" s="4" t="n">
        <v>3</v>
      </c>
      <c r="C571" s="4" t="inlineStr">
        <is>
          <t>elk</t>
        </is>
      </c>
      <c r="D571" s="4" t="n">
        <v>2021</v>
      </c>
      <c r="E571" s="13" t="inlineStr">
        <is>
          <t>General</t>
        </is>
      </c>
      <c r="F571" s="5" t="n"/>
      <c r="G571" s="5" t="n"/>
      <c r="H571" s="5" t="n">
        <v>414</v>
      </c>
      <c r="I571" s="5" t="n">
        <v>237</v>
      </c>
      <c r="J571" s="5" t="n">
        <v>178</v>
      </c>
      <c r="K571" s="10">
        <f>IF(F571&gt;0,H571/F571,"")</f>
        <v/>
      </c>
      <c r="L571" s="16">
        <f>IF(AND(G571&gt;0,H571&gt;0),G571/H571,"")</f>
        <v/>
      </c>
    </row>
    <row r="572">
      <c r="A572" s="4" t="inlineStr">
        <is>
          <t>315</t>
        </is>
      </c>
      <c r="B572" s="4" t="n">
        <v>3</v>
      </c>
      <c r="C572" s="4" t="inlineStr">
        <is>
          <t>elk</t>
        </is>
      </c>
      <c r="D572" s="4" t="n">
        <v>2022</v>
      </c>
      <c r="E572" s="13" t="inlineStr">
        <is>
          <t>General</t>
        </is>
      </c>
      <c r="F572" s="5" t="n">
        <v>1754</v>
      </c>
      <c r="G572" s="5" t="n">
        <v>10697</v>
      </c>
      <c r="H572" s="5" t="n">
        <v>515</v>
      </c>
      <c r="I572" s="5" t="n">
        <v>339</v>
      </c>
      <c r="J572" s="5" t="n">
        <v>159</v>
      </c>
      <c r="K572" s="10">
        <f>IF(F572&gt;0,H572/F572,"")</f>
        <v/>
      </c>
      <c r="L572" s="16">
        <f>IF(AND(G572&gt;0,H572&gt;0),G572/H572,"")</f>
        <v/>
      </c>
    </row>
    <row r="573">
      <c r="A573" s="4" t="inlineStr">
        <is>
          <t>315</t>
        </is>
      </c>
      <c r="B573" s="4" t="n">
        <v>3</v>
      </c>
      <c r="C573" s="4" t="inlineStr">
        <is>
          <t>elk</t>
        </is>
      </c>
      <c r="D573" s="4" t="n">
        <v>2023</v>
      </c>
      <c r="E573" s="13" t="inlineStr">
        <is>
          <t>General</t>
        </is>
      </c>
      <c r="F573" s="5" t="n"/>
      <c r="G573" s="5" t="n"/>
      <c r="H573" s="5" t="n">
        <v>390</v>
      </c>
      <c r="I573" s="5" t="n">
        <v>253</v>
      </c>
      <c r="J573" s="5" t="n">
        <v>125</v>
      </c>
      <c r="K573" s="10">
        <f>IF(F573&gt;0,H573/F573,"")</f>
        <v/>
      </c>
      <c r="L573" s="16">
        <f>IF(AND(G573&gt;0,H573&gt;0),G573/H573,"")</f>
        <v/>
      </c>
    </row>
    <row r="574">
      <c r="A574" s="4" t="inlineStr">
        <is>
          <t>315</t>
        </is>
      </c>
      <c r="B574" s="4" t="n">
        <v>3</v>
      </c>
      <c r="C574" s="4" t="inlineStr">
        <is>
          <t>elk</t>
        </is>
      </c>
      <c r="D574" s="4" t="n">
        <v>2024</v>
      </c>
      <c r="E574" s="13" t="inlineStr">
        <is>
          <t>General</t>
        </is>
      </c>
      <c r="F574" s="5" t="n">
        <v>1858</v>
      </c>
      <c r="G574" s="5" t="n">
        <v>12163</v>
      </c>
      <c r="H574" s="5" t="n">
        <v>378</v>
      </c>
      <c r="I574" s="5" t="n">
        <v>191</v>
      </c>
      <c r="J574" s="5" t="n">
        <v>183</v>
      </c>
      <c r="K574" s="10">
        <f>IF(F574&gt;0,H574/F574,"")</f>
        <v/>
      </c>
      <c r="L574" s="16">
        <f>IF(AND(G574&gt;0,H574&gt;0),G574/H574,"")</f>
        <v/>
      </c>
    </row>
    <row r="575">
      <c r="A575" s="4" t="inlineStr">
        <is>
          <t>315</t>
        </is>
      </c>
      <c r="B575" s="4" t="n">
        <v>3</v>
      </c>
      <c r="C575" s="4" t="inlineStr">
        <is>
          <t>elk</t>
        </is>
      </c>
      <c r="D575" s="4" t="n">
        <v>2025</v>
      </c>
      <c r="E575" s="13" t="inlineStr">
        <is>
          <t>General</t>
        </is>
      </c>
      <c r="F575" s="5" t="n"/>
      <c r="G575" s="5" t="n"/>
      <c r="H575" s="5" t="n">
        <v>389</v>
      </c>
      <c r="I575" s="5" t="n">
        <v>208</v>
      </c>
      <c r="J575" s="5" t="n">
        <v>171</v>
      </c>
      <c r="K575" s="10">
        <f>IF(F575&gt;0,H575/F575,"")</f>
        <v/>
      </c>
      <c r="L575" s="16">
        <f>IF(AND(G575&gt;0,H575&gt;0),G575/H575,"")</f>
        <v/>
      </c>
    </row>
    <row r="576">
      <c r="A576" s="4" t="inlineStr">
        <is>
          <t>316</t>
        </is>
      </c>
      <c r="B576" s="4" t="n">
        <v>3</v>
      </c>
      <c r="C576" s="4" t="inlineStr">
        <is>
          <t>elk</t>
        </is>
      </c>
      <c r="D576" s="4" t="n">
        <v>2021</v>
      </c>
      <c r="E576" s="13" t="inlineStr">
        <is>
          <t>General</t>
        </is>
      </c>
      <c r="F576" s="5" t="n"/>
      <c r="G576" s="5" t="n"/>
      <c r="H576" s="5" t="n">
        <v>42</v>
      </c>
      <c r="I576" s="5" t="n">
        <v>42</v>
      </c>
      <c r="J576" s="5" t="n">
        <v>0</v>
      </c>
      <c r="K576" s="10">
        <f>IF(F576&gt;0,H576/F576,"")</f>
        <v/>
      </c>
      <c r="L576" s="16">
        <f>IF(AND(G576&gt;0,H576&gt;0),G576/H576,"")</f>
        <v/>
      </c>
    </row>
    <row r="577">
      <c r="A577" s="4" t="inlineStr">
        <is>
          <t>316</t>
        </is>
      </c>
      <c r="B577" s="4" t="n">
        <v>3</v>
      </c>
      <c r="C577" s="4" t="inlineStr">
        <is>
          <t>elk</t>
        </is>
      </c>
      <c r="D577" s="4" t="n">
        <v>2022</v>
      </c>
      <c r="E577" s="13" t="inlineStr">
        <is>
          <t>General</t>
        </is>
      </c>
      <c r="F577" s="5" t="n">
        <v>241</v>
      </c>
      <c r="G577" s="5" t="n">
        <v>1362</v>
      </c>
      <c r="H577" s="5" t="n">
        <v>71</v>
      </c>
      <c r="I577" s="5" t="n">
        <v>46</v>
      </c>
      <c r="J577" s="5" t="n">
        <v>25</v>
      </c>
      <c r="K577" s="10">
        <f>IF(F577&gt;0,H577/F577,"")</f>
        <v/>
      </c>
      <c r="L577" s="16">
        <f>IF(AND(G577&gt;0,H577&gt;0),G577/H577,"")</f>
        <v/>
      </c>
    </row>
    <row r="578">
      <c r="A578" s="4" t="inlineStr">
        <is>
          <t>316</t>
        </is>
      </c>
      <c r="B578" s="4" t="n">
        <v>3</v>
      </c>
      <c r="C578" s="4" t="inlineStr">
        <is>
          <t>elk</t>
        </is>
      </c>
      <c r="D578" s="4" t="n">
        <v>2023</v>
      </c>
      <c r="E578" s="13" t="inlineStr">
        <is>
          <t>General</t>
        </is>
      </c>
      <c r="F578" s="5" t="n"/>
      <c r="G578" s="5" t="n"/>
      <c r="H578" s="5" t="n">
        <v>37</v>
      </c>
      <c r="I578" s="5" t="n">
        <v>28</v>
      </c>
      <c r="J578" s="5" t="n">
        <v>9</v>
      </c>
      <c r="K578" s="10">
        <f>IF(F578&gt;0,H578/F578,"")</f>
        <v/>
      </c>
      <c r="L578" s="16">
        <f>IF(AND(G578&gt;0,H578&gt;0),G578/H578,"")</f>
        <v/>
      </c>
    </row>
    <row r="579">
      <c r="A579" s="4" t="inlineStr">
        <is>
          <t>316</t>
        </is>
      </c>
      <c r="B579" s="4" t="n">
        <v>3</v>
      </c>
      <c r="C579" s="4" t="inlineStr">
        <is>
          <t>elk</t>
        </is>
      </c>
      <c r="D579" s="4" t="n">
        <v>2024</v>
      </c>
      <c r="E579" s="13" t="inlineStr">
        <is>
          <t>General</t>
        </is>
      </c>
      <c r="F579" s="5" t="n">
        <v>247</v>
      </c>
      <c r="G579" s="5" t="n">
        <v>1931</v>
      </c>
      <c r="H579" s="5" t="n">
        <v>39</v>
      </c>
      <c r="I579" s="5" t="n">
        <v>30</v>
      </c>
      <c r="J579" s="5" t="n">
        <v>9</v>
      </c>
      <c r="K579" s="10">
        <f>IF(F579&gt;0,H579/F579,"")</f>
        <v/>
      </c>
      <c r="L579" s="16">
        <f>IF(AND(G579&gt;0,H579&gt;0),G579/H579,"")</f>
        <v/>
      </c>
    </row>
    <row r="580">
      <c r="A580" s="4" t="inlineStr">
        <is>
          <t>316</t>
        </is>
      </c>
      <c r="B580" s="4" t="n">
        <v>3</v>
      </c>
      <c r="C580" s="4" t="inlineStr">
        <is>
          <t>elk</t>
        </is>
      </c>
      <c r="D580" s="4" t="n">
        <v>2025</v>
      </c>
      <c r="E580" s="13" t="inlineStr">
        <is>
          <t>General</t>
        </is>
      </c>
      <c r="F580" s="5" t="n"/>
      <c r="G580" s="5" t="n"/>
      <c r="H580" s="5" t="n">
        <v>28</v>
      </c>
      <c r="I580" s="5" t="n">
        <v>20</v>
      </c>
      <c r="J580" s="5" t="n">
        <v>7</v>
      </c>
      <c r="K580" s="10">
        <f>IF(F580&gt;0,H580/F580,"")</f>
        <v/>
      </c>
      <c r="L580" s="16">
        <f>IF(AND(G580&gt;0,H580&gt;0),G580/H580,"")</f>
        <v/>
      </c>
    </row>
    <row r="581">
      <c r="A581" s="4" t="inlineStr">
        <is>
          <t>317</t>
        </is>
      </c>
      <c r="B581" s="4" t="n">
        <v>3</v>
      </c>
      <c r="C581" s="4" t="inlineStr">
        <is>
          <t>elk</t>
        </is>
      </c>
      <c r="D581" s="4" t="n">
        <v>2021</v>
      </c>
      <c r="E581" s="13" t="inlineStr">
        <is>
          <t>General</t>
        </is>
      </c>
      <c r="F581" s="5" t="n"/>
      <c r="G581" s="5" t="n"/>
      <c r="H581" s="5" t="n">
        <v>315</v>
      </c>
      <c r="I581" s="5" t="n">
        <v>135</v>
      </c>
      <c r="J581" s="5" t="n">
        <v>180</v>
      </c>
      <c r="K581" s="10">
        <f>IF(F581&gt;0,H581/F581,"")</f>
        <v/>
      </c>
      <c r="L581" s="16">
        <f>IF(AND(G581&gt;0,H581&gt;0),G581/H581,"")</f>
        <v/>
      </c>
    </row>
    <row r="582">
      <c r="A582" s="4" t="inlineStr">
        <is>
          <t>317</t>
        </is>
      </c>
      <c r="B582" s="4" t="n">
        <v>3</v>
      </c>
      <c r="C582" s="4" t="inlineStr">
        <is>
          <t>elk</t>
        </is>
      </c>
      <c r="D582" s="4" t="n">
        <v>2022</v>
      </c>
      <c r="E582" s="13" t="inlineStr">
        <is>
          <t>General</t>
        </is>
      </c>
      <c r="F582" s="5" t="n">
        <v>1436</v>
      </c>
      <c r="G582" s="5" t="n">
        <v>7864</v>
      </c>
      <c r="H582" s="5" t="n">
        <v>522</v>
      </c>
      <c r="I582" s="5" t="n">
        <v>198</v>
      </c>
      <c r="J582" s="5" t="n">
        <v>305</v>
      </c>
      <c r="K582" s="10">
        <f>IF(F582&gt;0,H582/F582,"")</f>
        <v/>
      </c>
      <c r="L582" s="16">
        <f>IF(AND(G582&gt;0,H582&gt;0),G582/H582,"")</f>
        <v/>
      </c>
    </row>
    <row r="583">
      <c r="A583" s="4" t="inlineStr">
        <is>
          <t>317</t>
        </is>
      </c>
      <c r="B583" s="4" t="n">
        <v>3</v>
      </c>
      <c r="C583" s="4" t="inlineStr">
        <is>
          <t>elk</t>
        </is>
      </c>
      <c r="D583" s="4" t="n">
        <v>2023</v>
      </c>
      <c r="E583" s="13" t="inlineStr">
        <is>
          <t>General</t>
        </is>
      </c>
      <c r="F583" s="5" t="n"/>
      <c r="G583" s="5" t="n"/>
      <c r="H583" s="5" t="n">
        <v>362</v>
      </c>
      <c r="I583" s="5" t="n">
        <v>141</v>
      </c>
      <c r="J583" s="5" t="n">
        <v>218</v>
      </c>
      <c r="K583" s="10">
        <f>IF(F583&gt;0,H583/F583,"")</f>
        <v/>
      </c>
      <c r="L583" s="16">
        <f>IF(AND(G583&gt;0,H583&gt;0),G583/H583,"")</f>
        <v/>
      </c>
    </row>
    <row r="584">
      <c r="A584" s="4" t="inlineStr">
        <is>
          <t>317</t>
        </is>
      </c>
      <c r="B584" s="4" t="n">
        <v>3</v>
      </c>
      <c r="C584" s="4" t="inlineStr">
        <is>
          <t>elk</t>
        </is>
      </c>
      <c r="D584" s="4" t="n">
        <v>2024</v>
      </c>
      <c r="E584" s="13" t="inlineStr">
        <is>
          <t>General</t>
        </is>
      </c>
      <c r="F584" s="5" t="n">
        <v>1303</v>
      </c>
      <c r="G584" s="5" t="n">
        <v>7781</v>
      </c>
      <c r="H584" s="5" t="n">
        <v>437</v>
      </c>
      <c r="I584" s="5" t="n">
        <v>94</v>
      </c>
      <c r="J584" s="5" t="n">
        <v>335</v>
      </c>
      <c r="K584" s="10">
        <f>IF(F584&gt;0,H584/F584,"")</f>
        <v/>
      </c>
      <c r="L584" s="16">
        <f>IF(AND(G584&gt;0,H584&gt;0),G584/H584,"")</f>
        <v/>
      </c>
    </row>
    <row r="585">
      <c r="A585" s="4" t="inlineStr">
        <is>
          <t>317</t>
        </is>
      </c>
      <c r="B585" s="4" t="n">
        <v>3</v>
      </c>
      <c r="C585" s="4" t="inlineStr">
        <is>
          <t>elk</t>
        </is>
      </c>
      <c r="D585" s="4" t="n">
        <v>2025</v>
      </c>
      <c r="E585" s="13" t="inlineStr">
        <is>
          <t>General</t>
        </is>
      </c>
      <c r="F585" s="5" t="n"/>
      <c r="G585" s="5" t="n"/>
      <c r="H585" s="5" t="n">
        <v>379</v>
      </c>
      <c r="I585" s="5" t="n">
        <v>117</v>
      </c>
      <c r="J585" s="5" t="n">
        <v>262</v>
      </c>
      <c r="K585" s="10">
        <f>IF(F585&gt;0,H585/F585,"")</f>
        <v/>
      </c>
      <c r="L585" s="16">
        <f>IF(AND(G585&gt;0,H585&gt;0),G585/H585,"")</f>
        <v/>
      </c>
    </row>
    <row r="586">
      <c r="A586" s="4" t="inlineStr">
        <is>
          <t>318</t>
        </is>
      </c>
      <c r="B586" s="4" t="n">
        <v>3</v>
      </c>
      <c r="C586" s="4" t="inlineStr">
        <is>
          <t>elk</t>
        </is>
      </c>
      <c r="D586" s="4" t="n">
        <v>2021</v>
      </c>
      <c r="E586" s="13" t="inlineStr">
        <is>
          <t>General</t>
        </is>
      </c>
      <c r="F586" s="5" t="n"/>
      <c r="G586" s="5" t="n"/>
      <c r="H586" s="5" t="n">
        <v>138</v>
      </c>
      <c r="I586" s="5" t="n">
        <v>88</v>
      </c>
      <c r="J586" s="5" t="n">
        <v>49</v>
      </c>
      <c r="K586" s="10">
        <f>IF(F586&gt;0,H586/F586,"")</f>
        <v/>
      </c>
      <c r="L586" s="16">
        <f>IF(AND(G586&gt;0,H586&gt;0),G586/H586,"")</f>
        <v/>
      </c>
    </row>
    <row r="587">
      <c r="A587" s="4" t="inlineStr">
        <is>
          <t>318</t>
        </is>
      </c>
      <c r="B587" s="4" t="n">
        <v>3</v>
      </c>
      <c r="C587" s="4" t="inlineStr">
        <is>
          <t>elk</t>
        </is>
      </c>
      <c r="D587" s="4" t="n">
        <v>2022</v>
      </c>
      <c r="E587" s="13" t="inlineStr">
        <is>
          <t>General</t>
        </is>
      </c>
      <c r="F587" s="5" t="n">
        <v>1204</v>
      </c>
      <c r="G587" s="5" t="n">
        <v>10706</v>
      </c>
      <c r="H587" s="5" t="n">
        <v>129</v>
      </c>
      <c r="I587" s="5" t="n">
        <v>87</v>
      </c>
      <c r="J587" s="5" t="n">
        <v>36</v>
      </c>
      <c r="K587" s="10">
        <f>IF(F587&gt;0,H587/F587,"")</f>
        <v/>
      </c>
      <c r="L587" s="16">
        <f>IF(AND(G587&gt;0,H587&gt;0),G587/H587,"")</f>
        <v/>
      </c>
    </row>
    <row r="588">
      <c r="A588" s="4" t="inlineStr">
        <is>
          <t>318</t>
        </is>
      </c>
      <c r="B588" s="4" t="n">
        <v>3</v>
      </c>
      <c r="C588" s="4" t="inlineStr">
        <is>
          <t>elk</t>
        </is>
      </c>
      <c r="D588" s="4" t="n">
        <v>2023</v>
      </c>
      <c r="E588" s="13" t="inlineStr">
        <is>
          <t>General</t>
        </is>
      </c>
      <c r="F588" s="5" t="n"/>
      <c r="G588" s="5" t="n"/>
      <c r="H588" s="5" t="n">
        <v>135</v>
      </c>
      <c r="I588" s="5" t="n">
        <v>78</v>
      </c>
      <c r="J588" s="5" t="n">
        <v>54</v>
      </c>
      <c r="K588" s="10">
        <f>IF(F588&gt;0,H588/F588,"")</f>
        <v/>
      </c>
      <c r="L588" s="16">
        <f>IF(AND(G588&gt;0,H588&gt;0),G588/H588,"")</f>
        <v/>
      </c>
    </row>
    <row r="589">
      <c r="A589" s="4" t="inlineStr">
        <is>
          <t>318</t>
        </is>
      </c>
      <c r="B589" s="4" t="n">
        <v>3</v>
      </c>
      <c r="C589" s="4" t="inlineStr">
        <is>
          <t>elk</t>
        </is>
      </c>
      <c r="D589" s="4" t="n">
        <v>2024</v>
      </c>
      <c r="E589" s="13" t="inlineStr">
        <is>
          <t>General</t>
        </is>
      </c>
      <c r="F589" s="5" t="n">
        <v>1214</v>
      </c>
      <c r="G589" s="5" t="n">
        <v>11454</v>
      </c>
      <c r="H589" s="5" t="n">
        <v>190</v>
      </c>
      <c r="I589" s="5" t="n">
        <v>91</v>
      </c>
      <c r="J589" s="5" t="n">
        <v>94</v>
      </c>
      <c r="K589" s="10">
        <f>IF(F589&gt;0,H589/F589,"")</f>
        <v/>
      </c>
      <c r="L589" s="16">
        <f>IF(AND(G589&gt;0,H589&gt;0),G589/H589,"")</f>
        <v/>
      </c>
    </row>
    <row r="590">
      <c r="A590" s="4" t="inlineStr">
        <is>
          <t>318</t>
        </is>
      </c>
      <c r="B590" s="4" t="n">
        <v>3</v>
      </c>
      <c r="C590" s="4" t="inlineStr">
        <is>
          <t>elk</t>
        </is>
      </c>
      <c r="D590" s="4" t="n">
        <v>2025</v>
      </c>
      <c r="E590" s="13" t="inlineStr">
        <is>
          <t>General</t>
        </is>
      </c>
      <c r="F590" s="5" t="n"/>
      <c r="G590" s="5" t="n"/>
      <c r="H590" s="5" t="n">
        <v>210</v>
      </c>
      <c r="I590" s="5" t="n">
        <v>115</v>
      </c>
      <c r="J590" s="5" t="n">
        <v>95</v>
      </c>
      <c r="K590" s="10">
        <f>IF(F590&gt;0,H590/F590,"")</f>
        <v/>
      </c>
      <c r="L590" s="16">
        <f>IF(AND(G590&gt;0,H590&gt;0),G590/H590,"")</f>
        <v/>
      </c>
    </row>
    <row r="591">
      <c r="A591" s="4" t="inlineStr">
        <is>
          <t>319</t>
        </is>
      </c>
      <c r="B591" s="4" t="n">
        <v>3</v>
      </c>
      <c r="C591" s="4" t="inlineStr">
        <is>
          <t>elk</t>
        </is>
      </c>
      <c r="D591" s="4" t="n">
        <v>2021</v>
      </c>
      <c r="E591" s="13" t="inlineStr">
        <is>
          <t>General</t>
        </is>
      </c>
      <c r="F591" s="5" t="n"/>
      <c r="G591" s="5" t="n"/>
      <c r="H591" s="5" t="n">
        <v>211</v>
      </c>
      <c r="I591" s="5" t="n">
        <v>136</v>
      </c>
      <c r="J591" s="5" t="n">
        <v>75</v>
      </c>
      <c r="K591" s="10">
        <f>IF(F591&gt;0,H591/F591,"")</f>
        <v/>
      </c>
      <c r="L591" s="16">
        <f>IF(AND(G591&gt;0,H591&gt;0),G591/H591,"")</f>
        <v/>
      </c>
    </row>
    <row r="592">
      <c r="A592" s="4" t="inlineStr">
        <is>
          <t>319</t>
        </is>
      </c>
      <c r="B592" s="4" t="n">
        <v>3</v>
      </c>
      <c r="C592" s="4" t="inlineStr">
        <is>
          <t>elk</t>
        </is>
      </c>
      <c r="D592" s="4" t="n">
        <v>2022</v>
      </c>
      <c r="E592" s="13" t="inlineStr">
        <is>
          <t>General</t>
        </is>
      </c>
      <c r="F592" s="5" t="n">
        <v>1937</v>
      </c>
      <c r="G592" s="5" t="n">
        <v>16523</v>
      </c>
      <c r="H592" s="5" t="n">
        <v>390</v>
      </c>
      <c r="I592" s="5" t="n">
        <v>245</v>
      </c>
      <c r="J592" s="5" t="n">
        <v>130</v>
      </c>
      <c r="K592" s="10">
        <f>IF(F592&gt;0,H592/F592,"")</f>
        <v/>
      </c>
      <c r="L592" s="16">
        <f>IF(AND(G592&gt;0,H592&gt;0),G592/H592,"")</f>
        <v/>
      </c>
    </row>
    <row r="593">
      <c r="A593" s="4" t="inlineStr">
        <is>
          <t>319</t>
        </is>
      </c>
      <c r="B593" s="4" t="n">
        <v>3</v>
      </c>
      <c r="C593" s="4" t="inlineStr">
        <is>
          <t>elk</t>
        </is>
      </c>
      <c r="D593" s="4" t="n">
        <v>2023</v>
      </c>
      <c r="E593" s="13" t="inlineStr">
        <is>
          <t>General</t>
        </is>
      </c>
      <c r="F593" s="5" t="n"/>
      <c r="G593" s="5" t="n"/>
      <c r="H593" s="5" t="n">
        <v>271</v>
      </c>
      <c r="I593" s="5" t="n">
        <v>163</v>
      </c>
      <c r="J593" s="5" t="n">
        <v>108</v>
      </c>
      <c r="K593" s="10">
        <f>IF(F593&gt;0,H593/F593,"")</f>
        <v/>
      </c>
      <c r="L593" s="16">
        <f>IF(AND(G593&gt;0,H593&gt;0),G593/H593,"")</f>
        <v/>
      </c>
    </row>
    <row r="594">
      <c r="A594" s="4" t="inlineStr">
        <is>
          <t>319</t>
        </is>
      </c>
      <c r="B594" s="4" t="n">
        <v>3</v>
      </c>
      <c r="C594" s="4" t="inlineStr">
        <is>
          <t>elk</t>
        </is>
      </c>
      <c r="D594" s="4" t="n">
        <v>2024</v>
      </c>
      <c r="E594" s="13" t="inlineStr">
        <is>
          <t>General</t>
        </is>
      </c>
      <c r="F594" s="5" t="n">
        <v>2064</v>
      </c>
      <c r="G594" s="5" t="n">
        <v>18429</v>
      </c>
      <c r="H594" s="5" t="n">
        <v>351</v>
      </c>
      <c r="I594" s="5" t="n">
        <v>202</v>
      </c>
      <c r="J594" s="5" t="n">
        <v>146</v>
      </c>
      <c r="K594" s="10">
        <f>IF(F594&gt;0,H594/F594,"")</f>
        <v/>
      </c>
      <c r="L594" s="16">
        <f>IF(AND(G594&gt;0,H594&gt;0),G594/H594,"")</f>
        <v/>
      </c>
    </row>
    <row r="595">
      <c r="A595" s="4" t="inlineStr">
        <is>
          <t>319</t>
        </is>
      </c>
      <c r="B595" s="4" t="n">
        <v>3</v>
      </c>
      <c r="C595" s="4" t="inlineStr">
        <is>
          <t>elk</t>
        </is>
      </c>
      <c r="D595" s="4" t="n">
        <v>2025</v>
      </c>
      <c r="E595" s="13" t="inlineStr">
        <is>
          <t>General</t>
        </is>
      </c>
      <c r="F595" s="5" t="n"/>
      <c r="G595" s="5" t="n"/>
      <c r="H595" s="5" t="n">
        <v>332</v>
      </c>
      <c r="I595" s="5" t="n">
        <v>182</v>
      </c>
      <c r="J595" s="5" t="n">
        <v>150</v>
      </c>
      <c r="K595" s="10">
        <f>IF(F595&gt;0,H595/F595,"")</f>
        <v/>
      </c>
      <c r="L595" s="16">
        <f>IF(AND(G595&gt;0,H595&gt;0),G595/H595,"")</f>
        <v/>
      </c>
    </row>
    <row r="596">
      <c r="A596" s="4" t="inlineStr">
        <is>
          <t>320</t>
        </is>
      </c>
      <c r="B596" s="4" t="n">
        <v>3</v>
      </c>
      <c r="C596" s="4" t="inlineStr">
        <is>
          <t>elk</t>
        </is>
      </c>
      <c r="D596" s="4" t="n">
        <v>2021</v>
      </c>
      <c r="E596" s="13" t="inlineStr">
        <is>
          <t>General</t>
        </is>
      </c>
      <c r="F596" s="5" t="n"/>
      <c r="G596" s="5" t="n"/>
      <c r="H596" s="5" t="n">
        <v>279</v>
      </c>
      <c r="I596" s="5" t="n">
        <v>163</v>
      </c>
      <c r="J596" s="5" t="n">
        <v>108</v>
      </c>
      <c r="K596" s="10">
        <f>IF(F596&gt;0,H596/F596,"")</f>
        <v/>
      </c>
      <c r="L596" s="16">
        <f>IF(AND(G596&gt;0,H596&gt;0),G596/H596,"")</f>
        <v/>
      </c>
    </row>
    <row r="597">
      <c r="A597" s="4" t="inlineStr">
        <is>
          <t>320</t>
        </is>
      </c>
      <c r="B597" s="4" t="n">
        <v>3</v>
      </c>
      <c r="C597" s="4" t="inlineStr">
        <is>
          <t>elk</t>
        </is>
      </c>
      <c r="D597" s="4" t="n">
        <v>2022</v>
      </c>
      <c r="E597" s="13" t="inlineStr">
        <is>
          <t>General</t>
        </is>
      </c>
      <c r="F597" s="5" t="n">
        <v>2297</v>
      </c>
      <c r="G597" s="5" t="n">
        <v>15034</v>
      </c>
      <c r="H597" s="5" t="n">
        <v>589</v>
      </c>
      <c r="I597" s="5" t="n">
        <v>335</v>
      </c>
      <c r="J597" s="5" t="n">
        <v>249</v>
      </c>
      <c r="K597" s="10">
        <f>IF(F597&gt;0,H597/F597,"")</f>
        <v/>
      </c>
      <c r="L597" s="16">
        <f>IF(AND(G597&gt;0,H597&gt;0),G597/H597,"")</f>
        <v/>
      </c>
    </row>
    <row r="598">
      <c r="A598" s="4" t="inlineStr">
        <is>
          <t>320</t>
        </is>
      </c>
      <c r="B598" s="4" t="n">
        <v>3</v>
      </c>
      <c r="C598" s="4" t="inlineStr">
        <is>
          <t>elk</t>
        </is>
      </c>
      <c r="D598" s="4" t="n">
        <v>2023</v>
      </c>
      <c r="E598" s="13" t="inlineStr">
        <is>
          <t>General</t>
        </is>
      </c>
      <c r="F598" s="5" t="n"/>
      <c r="G598" s="5" t="n"/>
      <c r="H598" s="5" t="n">
        <v>407</v>
      </c>
      <c r="I598" s="5" t="n">
        <v>243</v>
      </c>
      <c r="J598" s="5" t="n">
        <v>158</v>
      </c>
      <c r="K598" s="10">
        <f>IF(F598&gt;0,H598/F598,"")</f>
        <v/>
      </c>
      <c r="L598" s="16">
        <f>IF(AND(G598&gt;0,H598&gt;0),G598/H598,"")</f>
        <v/>
      </c>
    </row>
    <row r="599">
      <c r="A599" s="4" t="inlineStr">
        <is>
          <t>320</t>
        </is>
      </c>
      <c r="B599" s="4" t="n">
        <v>3</v>
      </c>
      <c r="C599" s="4" t="inlineStr">
        <is>
          <t>elk</t>
        </is>
      </c>
      <c r="D599" s="4" t="n">
        <v>2024</v>
      </c>
      <c r="E599" s="13" t="inlineStr">
        <is>
          <t>General</t>
        </is>
      </c>
      <c r="F599" s="5" t="n">
        <v>2286</v>
      </c>
      <c r="G599" s="5" t="n">
        <v>16710</v>
      </c>
      <c r="H599" s="5" t="n">
        <v>379</v>
      </c>
      <c r="I599" s="5" t="n">
        <v>196</v>
      </c>
      <c r="J599" s="5" t="n">
        <v>168</v>
      </c>
      <c r="K599" s="10">
        <f>IF(F599&gt;0,H599/F599,"")</f>
        <v/>
      </c>
      <c r="L599" s="16">
        <f>IF(AND(G599&gt;0,H599&gt;0),G599/H599,"")</f>
        <v/>
      </c>
    </row>
    <row r="600">
      <c r="A600" s="4" t="inlineStr">
        <is>
          <t>320</t>
        </is>
      </c>
      <c r="B600" s="4" t="n">
        <v>3</v>
      </c>
      <c r="C600" s="4" t="inlineStr">
        <is>
          <t>elk</t>
        </is>
      </c>
      <c r="D600" s="4" t="n">
        <v>2025</v>
      </c>
      <c r="E600" s="13" t="inlineStr">
        <is>
          <t>General</t>
        </is>
      </c>
      <c r="F600" s="5" t="n"/>
      <c r="G600" s="5" t="n"/>
      <c r="H600" s="5" t="n">
        <v>451</v>
      </c>
      <c r="I600" s="5" t="n">
        <v>318</v>
      </c>
      <c r="J600" s="5" t="n">
        <v>127</v>
      </c>
      <c r="K600" s="10">
        <f>IF(F600&gt;0,H600/F600,"")</f>
        <v/>
      </c>
      <c r="L600" s="16">
        <f>IF(AND(G600&gt;0,H600&gt;0),G600/H600,"")</f>
        <v/>
      </c>
    </row>
    <row r="601">
      <c r="A601" s="4" t="inlineStr">
        <is>
          <t>321</t>
        </is>
      </c>
      <c r="B601" s="4" t="n">
        <v>3</v>
      </c>
      <c r="C601" s="4" t="inlineStr">
        <is>
          <t>elk</t>
        </is>
      </c>
      <c r="D601" s="4" t="n">
        <v>2021</v>
      </c>
      <c r="E601" s="13" t="inlineStr">
        <is>
          <t>General</t>
        </is>
      </c>
      <c r="F601" s="5" t="n"/>
      <c r="G601" s="5" t="n"/>
      <c r="H601" s="5" t="n">
        <v>207</v>
      </c>
      <c r="I601" s="5" t="n">
        <v>80</v>
      </c>
      <c r="J601" s="5" t="n">
        <v>119</v>
      </c>
      <c r="K601" s="10">
        <f>IF(F601&gt;0,H601/F601,"")</f>
        <v/>
      </c>
      <c r="L601" s="16">
        <f>IF(AND(G601&gt;0,H601&gt;0),G601/H601,"")</f>
        <v/>
      </c>
    </row>
    <row r="602">
      <c r="A602" s="4" t="inlineStr">
        <is>
          <t>321</t>
        </is>
      </c>
      <c r="B602" s="4" t="n">
        <v>3</v>
      </c>
      <c r="C602" s="4" t="inlineStr">
        <is>
          <t>elk</t>
        </is>
      </c>
      <c r="D602" s="4" t="n">
        <v>2022</v>
      </c>
      <c r="E602" s="13" t="inlineStr">
        <is>
          <t>General</t>
        </is>
      </c>
      <c r="F602" s="5" t="n">
        <v>1617</v>
      </c>
      <c r="G602" s="5" t="n">
        <v>10439</v>
      </c>
      <c r="H602" s="5" t="n">
        <v>400</v>
      </c>
      <c r="I602" s="5" t="n">
        <v>133</v>
      </c>
      <c r="J602" s="5" t="n">
        <v>257</v>
      </c>
      <c r="K602" s="10">
        <f>IF(F602&gt;0,H602/F602,"")</f>
        <v/>
      </c>
      <c r="L602" s="16">
        <f>IF(AND(G602&gt;0,H602&gt;0),G602/H602,"")</f>
        <v/>
      </c>
    </row>
    <row r="603">
      <c r="A603" s="4" t="inlineStr">
        <is>
          <t>321</t>
        </is>
      </c>
      <c r="B603" s="4" t="n">
        <v>3</v>
      </c>
      <c r="C603" s="4" t="inlineStr">
        <is>
          <t>elk</t>
        </is>
      </c>
      <c r="D603" s="4" t="n">
        <v>2023</v>
      </c>
      <c r="E603" s="13" t="inlineStr">
        <is>
          <t>General</t>
        </is>
      </c>
      <c r="F603" s="5" t="n"/>
      <c r="G603" s="5" t="n"/>
      <c r="H603" s="5" t="n">
        <v>412</v>
      </c>
      <c r="I603" s="5" t="n">
        <v>154</v>
      </c>
      <c r="J603" s="5" t="n">
        <v>245</v>
      </c>
      <c r="K603" s="10">
        <f>IF(F603&gt;0,H603/F603,"")</f>
        <v/>
      </c>
      <c r="L603" s="16">
        <f>IF(AND(G603&gt;0,H603&gt;0),G603/H603,"")</f>
        <v/>
      </c>
    </row>
    <row r="604">
      <c r="A604" s="4" t="inlineStr">
        <is>
          <t>321</t>
        </is>
      </c>
      <c r="B604" s="4" t="n">
        <v>3</v>
      </c>
      <c r="C604" s="4" t="inlineStr">
        <is>
          <t>elk</t>
        </is>
      </c>
      <c r="D604" s="4" t="n">
        <v>2024</v>
      </c>
      <c r="E604" s="13" t="inlineStr">
        <is>
          <t>General</t>
        </is>
      </c>
      <c r="F604" s="5" t="n">
        <v>2217</v>
      </c>
      <c r="G604" s="5" t="n">
        <v>17444</v>
      </c>
      <c r="H604" s="5" t="n">
        <v>363</v>
      </c>
      <c r="I604" s="5" t="n">
        <v>132</v>
      </c>
      <c r="J604" s="5" t="n">
        <v>222</v>
      </c>
      <c r="K604" s="10">
        <f>IF(F604&gt;0,H604/F604,"")</f>
        <v/>
      </c>
      <c r="L604" s="16">
        <f>IF(AND(G604&gt;0,H604&gt;0),G604/H604,"")</f>
        <v/>
      </c>
    </row>
    <row r="605">
      <c r="A605" s="4" t="inlineStr">
        <is>
          <t>321</t>
        </is>
      </c>
      <c r="B605" s="4" t="n">
        <v>3</v>
      </c>
      <c r="C605" s="4" t="inlineStr">
        <is>
          <t>elk</t>
        </is>
      </c>
      <c r="D605" s="4" t="n">
        <v>2025</v>
      </c>
      <c r="E605" s="13" t="inlineStr">
        <is>
          <t>General</t>
        </is>
      </c>
      <c r="F605" s="5" t="n"/>
      <c r="G605" s="5" t="n"/>
      <c r="H605" s="5" t="n">
        <v>544</v>
      </c>
      <c r="I605" s="5" t="n">
        <v>245</v>
      </c>
      <c r="J605" s="5" t="n">
        <v>290</v>
      </c>
      <c r="K605" s="10">
        <f>IF(F605&gt;0,H605/F605,"")</f>
        <v/>
      </c>
      <c r="L605" s="16">
        <f>IF(AND(G605&gt;0,H605&gt;0),G605/H605,"")</f>
        <v/>
      </c>
    </row>
    <row r="606">
      <c r="A606" s="4" t="inlineStr">
        <is>
          <t>322</t>
        </is>
      </c>
      <c r="B606" s="4" t="n">
        <v>3</v>
      </c>
      <c r="C606" s="4" t="inlineStr">
        <is>
          <t>elk</t>
        </is>
      </c>
      <c r="D606" s="4" t="n">
        <v>2021</v>
      </c>
      <c r="E606" s="13" t="inlineStr">
        <is>
          <t>General</t>
        </is>
      </c>
      <c r="F606" s="5" t="n"/>
      <c r="G606" s="5" t="n"/>
      <c r="H606" s="5" t="n">
        <v>530</v>
      </c>
      <c r="I606" s="5" t="n">
        <v>233</v>
      </c>
      <c r="J606" s="5" t="n">
        <v>278</v>
      </c>
      <c r="K606" s="10">
        <f>IF(F606&gt;0,H606/F606,"")</f>
        <v/>
      </c>
      <c r="L606" s="16">
        <f>IF(AND(G606&gt;0,H606&gt;0),G606/H606,"")</f>
        <v/>
      </c>
    </row>
    <row r="607">
      <c r="A607" s="4" t="inlineStr">
        <is>
          <t>322</t>
        </is>
      </c>
      <c r="B607" s="4" t="n">
        <v>3</v>
      </c>
      <c r="C607" s="4" t="inlineStr">
        <is>
          <t>elk</t>
        </is>
      </c>
      <c r="D607" s="4" t="n">
        <v>2022</v>
      </c>
      <c r="E607" s="13" t="inlineStr">
        <is>
          <t>General</t>
        </is>
      </c>
      <c r="F607" s="5" t="n">
        <v>8436</v>
      </c>
      <c r="G607" s="5" t="n">
        <v>56329</v>
      </c>
      <c r="H607" s="5" t="n">
        <v>2865</v>
      </c>
      <c r="I607" s="5" t="n">
        <v>1199</v>
      </c>
      <c r="J607" s="5" t="n">
        <v>1602</v>
      </c>
      <c r="K607" s="10">
        <f>IF(F607&gt;0,H607/F607,"")</f>
        <v/>
      </c>
      <c r="L607" s="16">
        <f>IF(AND(G607&gt;0,H607&gt;0),G607/H607,"")</f>
        <v/>
      </c>
    </row>
    <row r="608">
      <c r="A608" s="4" t="inlineStr">
        <is>
          <t>322</t>
        </is>
      </c>
      <c r="B608" s="4" t="n">
        <v>3</v>
      </c>
      <c r="C608" s="4" t="inlineStr">
        <is>
          <t>elk</t>
        </is>
      </c>
      <c r="D608" s="4" t="n">
        <v>2023</v>
      </c>
      <c r="E608" s="13" t="inlineStr">
        <is>
          <t>General</t>
        </is>
      </c>
      <c r="F608" s="5" t="n"/>
      <c r="G608" s="5" t="n"/>
      <c r="H608" s="5" t="n">
        <v>1651</v>
      </c>
      <c r="I608" s="5" t="n">
        <v>781</v>
      </c>
      <c r="J608" s="5" t="n">
        <v>835</v>
      </c>
      <c r="K608" s="10">
        <f>IF(F608&gt;0,H608/F608,"")</f>
        <v/>
      </c>
      <c r="L608" s="16">
        <f>IF(AND(G608&gt;0,H608&gt;0),G608/H608,"")</f>
        <v/>
      </c>
    </row>
    <row r="609">
      <c r="A609" s="4" t="inlineStr">
        <is>
          <t>322</t>
        </is>
      </c>
      <c r="B609" s="4" t="n">
        <v>3</v>
      </c>
      <c r="C609" s="4" t="inlineStr">
        <is>
          <t>elk</t>
        </is>
      </c>
      <c r="D609" s="4" t="n">
        <v>2024</v>
      </c>
      <c r="E609" s="13" t="inlineStr">
        <is>
          <t>General</t>
        </is>
      </c>
      <c r="F609" s="5" t="n">
        <v>1844</v>
      </c>
      <c r="G609" s="5" t="n">
        <v>13839</v>
      </c>
      <c r="H609" s="5" t="n">
        <v>418</v>
      </c>
      <c r="I609" s="5" t="n">
        <v>213</v>
      </c>
      <c r="J609" s="5" t="n">
        <v>197</v>
      </c>
      <c r="K609" s="10">
        <f>IF(F609&gt;0,H609/F609,"")</f>
        <v/>
      </c>
      <c r="L609" s="16">
        <f>IF(AND(G609&gt;0,H609&gt;0),G609/H609,"")</f>
        <v/>
      </c>
    </row>
    <row r="610">
      <c r="A610" s="4" t="inlineStr">
        <is>
          <t>322</t>
        </is>
      </c>
      <c r="B610" s="4" t="n">
        <v>3</v>
      </c>
      <c r="C610" s="4" t="inlineStr">
        <is>
          <t>elk</t>
        </is>
      </c>
      <c r="D610" s="4" t="n">
        <v>2025</v>
      </c>
      <c r="E610" s="13" t="inlineStr">
        <is>
          <t>General</t>
        </is>
      </c>
      <c r="F610" s="5" t="n"/>
      <c r="G610" s="5" t="n"/>
      <c r="H610" s="5" t="n">
        <v>284</v>
      </c>
      <c r="I610" s="5" t="n">
        <v>136</v>
      </c>
      <c r="J610" s="5" t="n">
        <v>146</v>
      </c>
      <c r="K610" s="10">
        <f>IF(F610&gt;0,H610/F610,"")</f>
        <v/>
      </c>
      <c r="L610" s="16">
        <f>IF(AND(G610&gt;0,H610&gt;0),G610/H610,"")</f>
        <v/>
      </c>
    </row>
    <row r="611">
      <c r="A611" s="4" t="inlineStr">
        <is>
          <t>323</t>
        </is>
      </c>
      <c r="B611" s="4" t="n">
        <v>3</v>
      </c>
      <c r="C611" s="4" t="inlineStr">
        <is>
          <t>elk</t>
        </is>
      </c>
      <c r="D611" s="4" t="n">
        <v>2021</v>
      </c>
      <c r="E611" s="13" t="inlineStr">
        <is>
          <t>General</t>
        </is>
      </c>
      <c r="F611" s="5" t="n"/>
      <c r="G611" s="5" t="n"/>
      <c r="H611" s="5" t="n">
        <v>240</v>
      </c>
      <c r="I611" s="5" t="n">
        <v>165</v>
      </c>
      <c r="J611" s="5" t="n">
        <v>67</v>
      </c>
      <c r="K611" s="10">
        <f>IF(F611&gt;0,H611/F611,"")</f>
        <v/>
      </c>
      <c r="L611" s="16">
        <f>IF(AND(G611&gt;0,H611&gt;0),G611/H611,"")</f>
        <v/>
      </c>
    </row>
    <row r="612">
      <c r="A612" s="4" t="inlineStr">
        <is>
          <t>323</t>
        </is>
      </c>
      <c r="B612" s="4" t="n">
        <v>3</v>
      </c>
      <c r="C612" s="4" t="inlineStr">
        <is>
          <t>elk</t>
        </is>
      </c>
      <c r="D612" s="4" t="n">
        <v>2024</v>
      </c>
      <c r="E612" s="13" t="inlineStr">
        <is>
          <t>General</t>
        </is>
      </c>
      <c r="F612" s="5" t="n">
        <v>5015</v>
      </c>
      <c r="G612" s="5" t="n">
        <v>37244</v>
      </c>
      <c r="H612" s="5" t="n">
        <v>1013</v>
      </c>
      <c r="I612" s="5" t="n">
        <v>520</v>
      </c>
      <c r="J612" s="5" t="n">
        <v>483</v>
      </c>
      <c r="K612" s="10">
        <f>IF(F612&gt;0,H612/F612,"")</f>
        <v/>
      </c>
      <c r="L612" s="16">
        <f>IF(AND(G612&gt;0,H612&gt;0),G612/H612,"")</f>
        <v/>
      </c>
    </row>
    <row r="613">
      <c r="A613" s="4" t="inlineStr">
        <is>
          <t>323</t>
        </is>
      </c>
      <c r="B613" s="4" t="n">
        <v>3</v>
      </c>
      <c r="C613" s="4" t="inlineStr">
        <is>
          <t>elk</t>
        </is>
      </c>
      <c r="D613" s="4" t="n">
        <v>2025</v>
      </c>
      <c r="E613" s="13" t="inlineStr">
        <is>
          <t>General</t>
        </is>
      </c>
      <c r="F613" s="5" t="n"/>
      <c r="G613" s="5" t="n"/>
      <c r="H613" s="5" t="n">
        <v>748</v>
      </c>
      <c r="I613" s="5" t="n">
        <v>458</v>
      </c>
      <c r="J613" s="5" t="n">
        <v>272</v>
      </c>
      <c r="K613" s="10">
        <f>IF(F613&gt;0,H613/F613,"")</f>
        <v/>
      </c>
      <c r="L613" s="16">
        <f>IF(AND(G613&gt;0,H613&gt;0),G613/H613,"")</f>
        <v/>
      </c>
    </row>
    <row r="614">
      <c r="A614" s="4" t="inlineStr">
        <is>
          <t>324</t>
        </is>
      </c>
      <c r="B614" s="4" t="n">
        <v>3</v>
      </c>
      <c r="C614" s="4" t="inlineStr">
        <is>
          <t>elk</t>
        </is>
      </c>
      <c r="D614" s="4" t="n">
        <v>2021</v>
      </c>
      <c r="E614" s="13" t="inlineStr">
        <is>
          <t>General</t>
        </is>
      </c>
      <c r="F614" s="5" t="n"/>
      <c r="G614" s="5" t="n"/>
      <c r="H614" s="5" t="n">
        <v>475</v>
      </c>
      <c r="I614" s="5" t="n">
        <v>223</v>
      </c>
      <c r="J614" s="5" t="n">
        <v>233</v>
      </c>
      <c r="K614" s="10">
        <f>IF(F614&gt;0,H614/F614,"")</f>
        <v/>
      </c>
      <c r="L614" s="16">
        <f>IF(AND(G614&gt;0,H614&gt;0),G614/H614,"")</f>
        <v/>
      </c>
    </row>
    <row r="615">
      <c r="A615" s="4" t="inlineStr">
        <is>
          <t>324</t>
        </is>
      </c>
      <c r="B615" s="4" t="n">
        <v>3</v>
      </c>
      <c r="C615" s="4" t="inlineStr">
        <is>
          <t>elk</t>
        </is>
      </c>
      <c r="D615" s="4" t="n">
        <v>2024</v>
      </c>
      <c r="E615" s="13" t="inlineStr">
        <is>
          <t>General</t>
        </is>
      </c>
      <c r="F615" s="5" t="n">
        <v>2475</v>
      </c>
      <c r="G615" s="5" t="n">
        <v>16754</v>
      </c>
      <c r="H615" s="5" t="n">
        <v>614</v>
      </c>
      <c r="I615" s="5" t="n">
        <v>252</v>
      </c>
      <c r="J615" s="5" t="n">
        <v>339</v>
      </c>
      <c r="K615" s="10">
        <f>IF(F615&gt;0,H615/F615,"")</f>
        <v/>
      </c>
      <c r="L615" s="16">
        <f>IF(AND(G615&gt;0,H615&gt;0),G615/H615,"")</f>
        <v/>
      </c>
    </row>
    <row r="616">
      <c r="A616" s="4" t="inlineStr">
        <is>
          <t>324</t>
        </is>
      </c>
      <c r="B616" s="4" t="n">
        <v>3</v>
      </c>
      <c r="C616" s="4" t="inlineStr">
        <is>
          <t>elk</t>
        </is>
      </c>
      <c r="D616" s="4" t="n">
        <v>2025</v>
      </c>
      <c r="E616" s="13" t="inlineStr">
        <is>
          <t>General</t>
        </is>
      </c>
      <c r="F616" s="5" t="n"/>
      <c r="G616" s="5" t="n"/>
      <c r="H616" s="5" t="n">
        <v>416</v>
      </c>
      <c r="I616" s="5" t="n">
        <v>232</v>
      </c>
      <c r="J616" s="5" t="n">
        <v>185</v>
      </c>
      <c r="K616" s="10">
        <f>IF(F616&gt;0,H616/F616,"")</f>
        <v/>
      </c>
      <c r="L616" s="16">
        <f>IF(AND(G616&gt;0,H616&gt;0),G616/H616,"")</f>
        <v/>
      </c>
    </row>
    <row r="617">
      <c r="A617" s="4" t="inlineStr">
        <is>
          <t>325</t>
        </is>
      </c>
      <c r="B617" s="4" t="n">
        <v>3</v>
      </c>
      <c r="C617" s="4" t="inlineStr">
        <is>
          <t>elk</t>
        </is>
      </c>
      <c r="D617" s="4" t="n">
        <v>2021</v>
      </c>
      <c r="E617" s="4" t="inlineStr"/>
      <c r="F617" s="5" t="n"/>
      <c r="G617" s="5" t="n"/>
      <c r="H617" s="5" t="n">
        <v>623</v>
      </c>
      <c r="I617" s="5" t="n">
        <v>240</v>
      </c>
      <c r="J617" s="5" t="n">
        <v>357</v>
      </c>
      <c r="K617" s="10">
        <f>IF(F617&gt;0,H617/F617,"")</f>
        <v/>
      </c>
      <c r="L617" s="16">
        <f>IF(AND(G617&gt;0,H617&gt;0),G617/H617,"")</f>
        <v/>
      </c>
    </row>
    <row r="618">
      <c r="A618" s="4" t="inlineStr">
        <is>
          <t>326</t>
        </is>
      </c>
      <c r="B618" s="4" t="n">
        <v>3</v>
      </c>
      <c r="C618" s="4" t="inlineStr">
        <is>
          <t>elk</t>
        </is>
      </c>
      <c r="D618" s="4" t="n">
        <v>2021</v>
      </c>
      <c r="E618" s="4" t="inlineStr"/>
      <c r="F618" s="5" t="n"/>
      <c r="G618" s="5" t="n"/>
      <c r="H618" s="5" t="n">
        <v>161</v>
      </c>
      <c r="I618" s="5" t="n">
        <v>99</v>
      </c>
      <c r="J618" s="5" t="n">
        <v>59</v>
      </c>
      <c r="K618" s="10">
        <f>IF(F618&gt;0,H618/F618,"")</f>
        <v/>
      </c>
      <c r="L618" s="16">
        <f>IF(AND(G618&gt;0,H618&gt;0),G618/H618,"")</f>
        <v/>
      </c>
    </row>
    <row r="619">
      <c r="A619" s="4" t="inlineStr">
        <is>
          <t>327</t>
        </is>
      </c>
      <c r="B619" s="4" t="n">
        <v>3</v>
      </c>
      <c r="C619" s="4" t="inlineStr">
        <is>
          <t>elk</t>
        </is>
      </c>
      <c r="D619" s="4" t="n">
        <v>2021</v>
      </c>
      <c r="E619" s="4" t="inlineStr"/>
      <c r="F619" s="5" t="n"/>
      <c r="G619" s="5" t="n"/>
      <c r="H619" s="5" t="n">
        <v>409</v>
      </c>
      <c r="I619" s="5" t="n">
        <v>145</v>
      </c>
      <c r="J619" s="5" t="n">
        <v>239</v>
      </c>
      <c r="K619" s="10">
        <f>IF(F619&gt;0,H619/F619,"")</f>
        <v/>
      </c>
      <c r="L619" s="16">
        <f>IF(AND(G619&gt;0,H619&gt;0),G619/H619,"")</f>
        <v/>
      </c>
    </row>
    <row r="620">
      <c r="A620" s="4" t="inlineStr">
        <is>
          <t>328</t>
        </is>
      </c>
      <c r="B620" s="4" t="n">
        <v>3</v>
      </c>
      <c r="C620" s="4" t="inlineStr">
        <is>
          <t>elk</t>
        </is>
      </c>
      <c r="D620" s="4" t="n">
        <v>2021</v>
      </c>
      <c r="E620" s="4" t="inlineStr"/>
      <c r="F620" s="5" t="n"/>
      <c r="G620" s="5" t="n"/>
      <c r="H620" s="5" t="n">
        <v>118</v>
      </c>
      <c r="I620" s="5" t="n">
        <v>65</v>
      </c>
      <c r="J620" s="5" t="n">
        <v>50</v>
      </c>
      <c r="K620" s="10">
        <f>IF(F620&gt;0,H620/F620,"")</f>
        <v/>
      </c>
      <c r="L620" s="16">
        <f>IF(AND(G620&gt;0,H620&gt;0),G620/H620,"")</f>
        <v/>
      </c>
    </row>
    <row r="621">
      <c r="A621" s="4" t="inlineStr">
        <is>
          <t>329</t>
        </is>
      </c>
      <c r="B621" s="4" t="n">
        <v>3</v>
      </c>
      <c r="C621" s="4" t="inlineStr">
        <is>
          <t>elk</t>
        </is>
      </c>
      <c r="D621" s="4" t="n">
        <v>2021</v>
      </c>
      <c r="E621" s="13" t="inlineStr">
        <is>
          <t>General</t>
        </is>
      </c>
      <c r="F621" s="5" t="n"/>
      <c r="G621" s="5" t="n"/>
      <c r="H621" s="5" t="n">
        <v>411</v>
      </c>
      <c r="I621" s="5" t="n">
        <v>176</v>
      </c>
      <c r="J621" s="5" t="n">
        <v>208</v>
      </c>
      <c r="K621" s="10">
        <f>IF(F621&gt;0,H621/F621,"")</f>
        <v/>
      </c>
      <c r="L621" s="16">
        <f>IF(AND(G621&gt;0,H621&gt;0),G621/H621,"")</f>
        <v/>
      </c>
    </row>
    <row r="622">
      <c r="A622" s="4" t="inlineStr">
        <is>
          <t>329</t>
        </is>
      </c>
      <c r="B622" s="4" t="n">
        <v>3</v>
      </c>
      <c r="C622" s="4" t="inlineStr">
        <is>
          <t>elk</t>
        </is>
      </c>
      <c r="D622" s="4" t="n">
        <v>2022</v>
      </c>
      <c r="E622" s="13" t="inlineStr">
        <is>
          <t>General</t>
        </is>
      </c>
      <c r="F622" s="5" t="n">
        <v>1970</v>
      </c>
      <c r="G622" s="5" t="n">
        <v>12303</v>
      </c>
      <c r="H622" s="5" t="n">
        <v>551</v>
      </c>
      <c r="I622" s="5" t="n">
        <v>227</v>
      </c>
      <c r="J622" s="5" t="n">
        <v>299</v>
      </c>
      <c r="K622" s="10">
        <f>IF(F622&gt;0,H622/F622,"")</f>
        <v/>
      </c>
      <c r="L622" s="16">
        <f>IF(AND(G622&gt;0,H622&gt;0),G622/H622,"")</f>
        <v/>
      </c>
    </row>
    <row r="623">
      <c r="A623" s="4" t="inlineStr">
        <is>
          <t>329</t>
        </is>
      </c>
      <c r="B623" s="4" t="n">
        <v>3</v>
      </c>
      <c r="C623" s="4" t="inlineStr">
        <is>
          <t>elk</t>
        </is>
      </c>
      <c r="D623" s="4" t="n">
        <v>2023</v>
      </c>
      <c r="E623" s="13" t="inlineStr">
        <is>
          <t>General</t>
        </is>
      </c>
      <c r="F623" s="5" t="n"/>
      <c r="G623" s="5" t="n"/>
      <c r="H623" s="5" t="n">
        <v>371</v>
      </c>
      <c r="I623" s="5" t="n">
        <v>188</v>
      </c>
      <c r="J623" s="5" t="n">
        <v>173</v>
      </c>
      <c r="K623" s="10">
        <f>IF(F623&gt;0,H623/F623,"")</f>
        <v/>
      </c>
      <c r="L623" s="16">
        <f>IF(AND(G623&gt;0,H623&gt;0),G623/H623,"")</f>
        <v/>
      </c>
    </row>
    <row r="624">
      <c r="A624" s="4" t="inlineStr">
        <is>
          <t>329</t>
        </is>
      </c>
      <c r="B624" s="4" t="n">
        <v>3</v>
      </c>
      <c r="C624" s="4" t="inlineStr">
        <is>
          <t>elk</t>
        </is>
      </c>
      <c r="D624" s="4" t="n">
        <v>2024</v>
      </c>
      <c r="E624" s="13" t="inlineStr">
        <is>
          <t>General</t>
        </is>
      </c>
      <c r="F624" s="5" t="n">
        <v>1912</v>
      </c>
      <c r="G624" s="5" t="n">
        <v>14822</v>
      </c>
      <c r="H624" s="5" t="n">
        <v>410</v>
      </c>
      <c r="I624" s="5" t="n">
        <v>201</v>
      </c>
      <c r="J624" s="5" t="n">
        <v>206</v>
      </c>
      <c r="K624" s="10">
        <f>IF(F624&gt;0,H624/F624,"")</f>
        <v/>
      </c>
      <c r="L624" s="16">
        <f>IF(AND(G624&gt;0,H624&gt;0),G624/H624,"")</f>
        <v/>
      </c>
    </row>
    <row r="625">
      <c r="A625" s="4" t="inlineStr">
        <is>
          <t>329</t>
        </is>
      </c>
      <c r="B625" s="4" t="n">
        <v>3</v>
      </c>
      <c r="C625" s="4" t="inlineStr">
        <is>
          <t>elk</t>
        </is>
      </c>
      <c r="D625" s="4" t="n">
        <v>2025</v>
      </c>
      <c r="E625" s="13" t="inlineStr">
        <is>
          <t>General</t>
        </is>
      </c>
      <c r="F625" s="5" t="n"/>
      <c r="G625" s="5" t="n"/>
      <c r="H625" s="5" t="n">
        <v>432</v>
      </c>
      <c r="I625" s="5" t="n">
        <v>234</v>
      </c>
      <c r="J625" s="5" t="n">
        <v>180</v>
      </c>
      <c r="K625" s="10">
        <f>IF(F625&gt;0,H625/F625,"")</f>
        <v/>
      </c>
      <c r="L625" s="16">
        <f>IF(AND(G625&gt;0,H625&gt;0),G625/H625,"")</f>
        <v/>
      </c>
    </row>
    <row r="626">
      <c r="A626" s="4" t="inlineStr">
        <is>
          <t>330</t>
        </is>
      </c>
      <c r="B626" s="4" t="n">
        <v>3</v>
      </c>
      <c r="C626" s="4" t="inlineStr">
        <is>
          <t>elk</t>
        </is>
      </c>
      <c r="D626" s="4" t="n">
        <v>2021</v>
      </c>
      <c r="E626" s="4" t="inlineStr"/>
      <c r="F626" s="5" t="n"/>
      <c r="G626" s="5" t="n"/>
      <c r="H626" s="5" t="n">
        <v>180</v>
      </c>
      <c r="I626" s="5" t="n">
        <v>93</v>
      </c>
      <c r="J626" s="5" t="n">
        <v>87</v>
      </c>
      <c r="K626" s="10">
        <f>IF(F626&gt;0,H626/F626,"")</f>
        <v/>
      </c>
      <c r="L626" s="16">
        <f>IF(AND(G626&gt;0,H626&gt;0),G626/H626,"")</f>
        <v/>
      </c>
    </row>
    <row r="627">
      <c r="A627" s="4" t="inlineStr">
        <is>
          <t>331</t>
        </is>
      </c>
      <c r="B627" s="4" t="n">
        <v>3</v>
      </c>
      <c r="C627" s="4" t="inlineStr">
        <is>
          <t>elk</t>
        </is>
      </c>
      <c r="D627" s="4" t="n">
        <v>2021</v>
      </c>
      <c r="E627" s="13" t="inlineStr">
        <is>
          <t>General</t>
        </is>
      </c>
      <c r="F627" s="5" t="n"/>
      <c r="G627" s="5" t="n"/>
      <c r="H627" s="5" t="n">
        <v>207</v>
      </c>
      <c r="I627" s="5" t="n">
        <v>114</v>
      </c>
      <c r="J627" s="5" t="n">
        <v>85</v>
      </c>
      <c r="K627" s="10">
        <f>IF(F627&gt;0,H627/F627,"")</f>
        <v/>
      </c>
      <c r="L627" s="16">
        <f>IF(AND(G627&gt;0,H627&gt;0),G627/H627,"")</f>
        <v/>
      </c>
    </row>
    <row r="628">
      <c r="A628" s="4" t="inlineStr">
        <is>
          <t>331</t>
        </is>
      </c>
      <c r="B628" s="4" t="n">
        <v>3</v>
      </c>
      <c r="C628" s="4" t="inlineStr">
        <is>
          <t>elk</t>
        </is>
      </c>
      <c r="D628" s="4" t="n">
        <v>2022</v>
      </c>
      <c r="E628" s="13" t="inlineStr">
        <is>
          <t>General</t>
        </is>
      </c>
      <c r="F628" s="5" t="n">
        <v>2782</v>
      </c>
      <c r="G628" s="5" t="n">
        <v>19867</v>
      </c>
      <c r="H628" s="5" t="n">
        <v>583</v>
      </c>
      <c r="I628" s="5" t="n">
        <v>327</v>
      </c>
      <c r="J628" s="5" t="n">
        <v>241</v>
      </c>
      <c r="K628" s="10">
        <f>IF(F628&gt;0,H628/F628,"")</f>
        <v/>
      </c>
      <c r="L628" s="16">
        <f>IF(AND(G628&gt;0,H628&gt;0),G628/H628,"")</f>
        <v/>
      </c>
    </row>
    <row r="629">
      <c r="A629" s="4" t="inlineStr">
        <is>
          <t>331</t>
        </is>
      </c>
      <c r="B629" s="4" t="n">
        <v>3</v>
      </c>
      <c r="C629" s="4" t="inlineStr">
        <is>
          <t>elk</t>
        </is>
      </c>
      <c r="D629" s="4" t="n">
        <v>2023</v>
      </c>
      <c r="E629" s="13" t="inlineStr">
        <is>
          <t>General</t>
        </is>
      </c>
      <c r="F629" s="5" t="n"/>
      <c r="G629" s="5" t="n"/>
      <c r="H629" s="5" t="n">
        <v>353</v>
      </c>
      <c r="I629" s="5" t="n">
        <v>202</v>
      </c>
      <c r="J629" s="5" t="n">
        <v>135</v>
      </c>
      <c r="K629" s="10">
        <f>IF(F629&gt;0,H629/F629,"")</f>
        <v/>
      </c>
      <c r="L629" s="16">
        <f>IF(AND(G629&gt;0,H629&gt;0),G629/H629,"")</f>
        <v/>
      </c>
    </row>
    <row r="630">
      <c r="A630" s="4" t="inlineStr">
        <is>
          <t>331</t>
        </is>
      </c>
      <c r="B630" s="4" t="n">
        <v>3</v>
      </c>
      <c r="C630" s="4" t="inlineStr">
        <is>
          <t>elk</t>
        </is>
      </c>
      <c r="D630" s="4" t="n">
        <v>2024</v>
      </c>
      <c r="E630" s="13" t="inlineStr">
        <is>
          <t>General</t>
        </is>
      </c>
      <c r="F630" s="5" t="n">
        <v>3111</v>
      </c>
      <c r="G630" s="5" t="n">
        <v>25077</v>
      </c>
      <c r="H630" s="5" t="n">
        <v>597</v>
      </c>
      <c r="I630" s="5" t="n">
        <v>349</v>
      </c>
      <c r="J630" s="5" t="n">
        <v>239</v>
      </c>
      <c r="K630" s="10">
        <f>IF(F630&gt;0,H630/F630,"")</f>
        <v/>
      </c>
      <c r="L630" s="16">
        <f>IF(AND(G630&gt;0,H630&gt;0),G630/H630,"")</f>
        <v/>
      </c>
    </row>
    <row r="631">
      <c r="A631" s="4" t="inlineStr">
        <is>
          <t>331</t>
        </is>
      </c>
      <c r="B631" s="4" t="n">
        <v>3</v>
      </c>
      <c r="C631" s="4" t="inlineStr">
        <is>
          <t>elk</t>
        </is>
      </c>
      <c r="D631" s="4" t="n">
        <v>2025</v>
      </c>
      <c r="E631" s="13" t="inlineStr">
        <is>
          <t>General</t>
        </is>
      </c>
      <c r="F631" s="5" t="n"/>
      <c r="G631" s="5" t="n"/>
      <c r="H631" s="5" t="n">
        <v>689</v>
      </c>
      <c r="I631" s="5" t="n">
        <v>384</v>
      </c>
      <c r="J631" s="5" t="n">
        <v>285</v>
      </c>
      <c r="K631" s="10">
        <f>IF(F631&gt;0,H631/F631,"")</f>
        <v/>
      </c>
      <c r="L631" s="16">
        <f>IF(AND(G631&gt;0,H631&gt;0),G631/H631,"")</f>
        <v/>
      </c>
    </row>
    <row r="632">
      <c r="A632" s="4" t="inlineStr">
        <is>
          <t>332</t>
        </is>
      </c>
      <c r="B632" s="4" t="n">
        <v>3</v>
      </c>
      <c r="C632" s="4" t="inlineStr">
        <is>
          <t>elk</t>
        </is>
      </c>
      <c r="D632" s="4" t="n">
        <v>2021</v>
      </c>
      <c r="E632" s="4" t="inlineStr"/>
      <c r="F632" s="5" t="n"/>
      <c r="G632" s="5" t="n"/>
      <c r="H632" s="5" t="n">
        <v>215</v>
      </c>
      <c r="I632" s="5" t="n">
        <v>100</v>
      </c>
      <c r="J632" s="5" t="n">
        <v>115</v>
      </c>
      <c r="K632" s="10">
        <f>IF(F632&gt;0,H632/F632,"")</f>
        <v/>
      </c>
      <c r="L632" s="16">
        <f>IF(AND(G632&gt;0,H632&gt;0),G632/H632,"")</f>
        <v/>
      </c>
    </row>
    <row r="633">
      <c r="A633" s="4" t="inlineStr">
        <is>
          <t>333</t>
        </is>
      </c>
      <c r="B633" s="4" t="n">
        <v>3</v>
      </c>
      <c r="C633" s="4" t="inlineStr">
        <is>
          <t>elk</t>
        </is>
      </c>
      <c r="D633" s="4" t="n">
        <v>2021</v>
      </c>
      <c r="E633" s="4" t="inlineStr"/>
      <c r="F633" s="5" t="n"/>
      <c r="G633" s="5" t="n"/>
      <c r="H633" s="5" t="n">
        <v>175</v>
      </c>
      <c r="I633" s="5" t="n">
        <v>81</v>
      </c>
      <c r="J633" s="5" t="n">
        <v>94</v>
      </c>
      <c r="K633" s="10">
        <f>IF(F633&gt;0,H633/F633,"")</f>
        <v/>
      </c>
      <c r="L633" s="16">
        <f>IF(AND(G633&gt;0,H633&gt;0),G633/H633,"")</f>
        <v/>
      </c>
    </row>
    <row r="634">
      <c r="A634" s="4" t="inlineStr">
        <is>
          <t>334</t>
        </is>
      </c>
      <c r="B634" s="4" t="n">
        <v>3</v>
      </c>
      <c r="C634" s="4" t="inlineStr">
        <is>
          <t>elk</t>
        </is>
      </c>
      <c r="D634" s="4" t="n">
        <v>2021</v>
      </c>
      <c r="E634" s="4" t="inlineStr"/>
      <c r="F634" s="5" t="n"/>
      <c r="G634" s="5" t="n"/>
      <c r="H634" s="5" t="n">
        <v>87</v>
      </c>
      <c r="I634" s="5" t="n">
        <v>22</v>
      </c>
      <c r="J634" s="5" t="n">
        <v>57</v>
      </c>
      <c r="K634" s="10">
        <f>IF(F634&gt;0,H634/F634,"")</f>
        <v/>
      </c>
      <c r="L634" s="16">
        <f>IF(AND(G634&gt;0,H634&gt;0),G634/H634,"")</f>
        <v/>
      </c>
    </row>
    <row r="635">
      <c r="A635" s="4" t="inlineStr">
        <is>
          <t>335</t>
        </is>
      </c>
      <c r="B635" s="4" t="n">
        <v>3</v>
      </c>
      <c r="C635" s="4" t="inlineStr">
        <is>
          <t>elk</t>
        </is>
      </c>
      <c r="D635" s="4" t="n">
        <v>2021</v>
      </c>
      <c r="E635" s="13" t="inlineStr">
        <is>
          <t>General</t>
        </is>
      </c>
      <c r="F635" s="5" t="n"/>
      <c r="G635" s="5" t="n"/>
      <c r="H635" s="5" t="n">
        <v>226</v>
      </c>
      <c r="I635" s="5" t="n">
        <v>129</v>
      </c>
      <c r="J635" s="5" t="n">
        <v>97</v>
      </c>
      <c r="K635" s="10">
        <f>IF(F635&gt;0,H635/F635,"")</f>
        <v/>
      </c>
      <c r="L635" s="16">
        <f>IF(AND(G635&gt;0,H635&gt;0),G635/H635,"")</f>
        <v/>
      </c>
    </row>
    <row r="636">
      <c r="A636" s="4" t="inlineStr">
        <is>
          <t>335</t>
        </is>
      </c>
      <c r="B636" s="4" t="n">
        <v>3</v>
      </c>
      <c r="C636" s="4" t="inlineStr">
        <is>
          <t>elk</t>
        </is>
      </c>
      <c r="D636" s="4" t="n">
        <v>2022</v>
      </c>
      <c r="E636" s="13" t="inlineStr">
        <is>
          <t>General</t>
        </is>
      </c>
      <c r="F636" s="5" t="n">
        <v>1415</v>
      </c>
      <c r="G636" s="5" t="n">
        <v>11263</v>
      </c>
      <c r="H636" s="5" t="n">
        <v>226</v>
      </c>
      <c r="I636" s="5" t="n">
        <v>168</v>
      </c>
      <c r="J636" s="5" t="n">
        <v>52</v>
      </c>
      <c r="K636" s="10">
        <f>IF(F636&gt;0,H636/F636,"")</f>
        <v/>
      </c>
      <c r="L636" s="16">
        <f>IF(AND(G636&gt;0,H636&gt;0),G636/H636,"")</f>
        <v/>
      </c>
    </row>
    <row r="637">
      <c r="A637" s="4" t="inlineStr">
        <is>
          <t>335</t>
        </is>
      </c>
      <c r="B637" s="4" t="n">
        <v>3</v>
      </c>
      <c r="C637" s="4" t="inlineStr">
        <is>
          <t>elk</t>
        </is>
      </c>
      <c r="D637" s="4" t="n">
        <v>2023</v>
      </c>
      <c r="E637" s="13" t="inlineStr">
        <is>
          <t>General</t>
        </is>
      </c>
      <c r="F637" s="5" t="n"/>
      <c r="G637" s="5" t="n"/>
      <c r="H637" s="5" t="n">
        <v>217</v>
      </c>
      <c r="I637" s="5" t="n">
        <v>116</v>
      </c>
      <c r="J637" s="5" t="n">
        <v>98</v>
      </c>
      <c r="K637" s="10">
        <f>IF(F637&gt;0,H637/F637,"")</f>
        <v/>
      </c>
      <c r="L637" s="16">
        <f>IF(AND(G637&gt;0,H637&gt;0),G637/H637,"")</f>
        <v/>
      </c>
    </row>
    <row r="638">
      <c r="A638" s="4" t="inlineStr">
        <is>
          <t>335</t>
        </is>
      </c>
      <c r="B638" s="4" t="n">
        <v>3</v>
      </c>
      <c r="C638" s="4" t="inlineStr">
        <is>
          <t>elk</t>
        </is>
      </c>
      <c r="D638" s="4" t="n">
        <v>2024</v>
      </c>
      <c r="E638" s="13" t="inlineStr">
        <is>
          <t>General</t>
        </is>
      </c>
      <c r="F638" s="5" t="n">
        <v>1692</v>
      </c>
      <c r="G638" s="5" t="n">
        <v>14140</v>
      </c>
      <c r="H638" s="5" t="n">
        <v>186</v>
      </c>
      <c r="I638" s="5" t="n">
        <v>91</v>
      </c>
      <c r="J638" s="5" t="n">
        <v>92</v>
      </c>
      <c r="K638" s="10">
        <f>IF(F638&gt;0,H638/F638,"")</f>
        <v/>
      </c>
      <c r="L638" s="16">
        <f>IF(AND(G638&gt;0,H638&gt;0),G638/H638,"")</f>
        <v/>
      </c>
    </row>
    <row r="639">
      <c r="A639" s="4" t="inlineStr">
        <is>
          <t>335</t>
        </is>
      </c>
      <c r="B639" s="4" t="n">
        <v>3</v>
      </c>
      <c r="C639" s="4" t="inlineStr">
        <is>
          <t>elk</t>
        </is>
      </c>
      <c r="D639" s="4" t="n">
        <v>2025</v>
      </c>
      <c r="E639" s="13" t="inlineStr">
        <is>
          <t>General</t>
        </is>
      </c>
      <c r="F639" s="5" t="n"/>
      <c r="G639" s="5" t="n"/>
      <c r="H639" s="5" t="n">
        <v>227</v>
      </c>
      <c r="I639" s="5" t="n">
        <v>126</v>
      </c>
      <c r="J639" s="5" t="n">
        <v>97</v>
      </c>
      <c r="K639" s="10">
        <f>IF(F639&gt;0,H639/F639,"")</f>
        <v/>
      </c>
      <c r="L639" s="16">
        <f>IF(AND(G639&gt;0,H639&gt;0),G639/H639,"")</f>
        <v/>
      </c>
    </row>
    <row r="640">
      <c r="A640" s="4" t="inlineStr">
        <is>
          <t>339</t>
        </is>
      </c>
      <c r="B640" s="4" t="n">
        <v>3</v>
      </c>
      <c r="C640" s="4" t="inlineStr">
        <is>
          <t>elk</t>
        </is>
      </c>
      <c r="D640" s="4" t="n">
        <v>2021</v>
      </c>
      <c r="E640" s="13" t="inlineStr">
        <is>
          <t>General</t>
        </is>
      </c>
      <c r="F640" s="5" t="n"/>
      <c r="G640" s="5" t="n"/>
      <c r="H640" s="5" t="n">
        <v>77</v>
      </c>
      <c r="I640" s="5" t="n">
        <v>37</v>
      </c>
      <c r="J640" s="5" t="n">
        <v>40</v>
      </c>
      <c r="K640" s="10">
        <f>IF(F640&gt;0,H640/F640,"")</f>
        <v/>
      </c>
      <c r="L640" s="16">
        <f>IF(AND(G640&gt;0,H640&gt;0),G640/H640,"")</f>
        <v/>
      </c>
    </row>
    <row r="641">
      <c r="A641" s="4" t="inlineStr">
        <is>
          <t>339</t>
        </is>
      </c>
      <c r="B641" s="4" t="n">
        <v>3</v>
      </c>
      <c r="C641" s="4" t="inlineStr">
        <is>
          <t>elk</t>
        </is>
      </c>
      <c r="D641" s="4" t="n">
        <v>2022</v>
      </c>
      <c r="E641" s="13" t="inlineStr">
        <is>
          <t>General</t>
        </is>
      </c>
      <c r="F641" s="5" t="n">
        <v>817</v>
      </c>
      <c r="G641" s="5" t="n">
        <v>5683</v>
      </c>
      <c r="H641" s="5" t="n">
        <v>177</v>
      </c>
      <c r="I641" s="5" t="n">
        <v>81</v>
      </c>
      <c r="J641" s="5" t="n">
        <v>96</v>
      </c>
      <c r="K641" s="10">
        <f>IF(F641&gt;0,H641/F641,"")</f>
        <v/>
      </c>
      <c r="L641" s="16">
        <f>IF(AND(G641&gt;0,H641&gt;0),G641/H641,"")</f>
        <v/>
      </c>
    </row>
    <row r="642">
      <c r="A642" s="4" t="inlineStr">
        <is>
          <t>339</t>
        </is>
      </c>
      <c r="B642" s="4" t="n">
        <v>3</v>
      </c>
      <c r="C642" s="4" t="inlineStr">
        <is>
          <t>elk</t>
        </is>
      </c>
      <c r="D642" s="4" t="n">
        <v>2023</v>
      </c>
      <c r="E642" s="13" t="inlineStr">
        <is>
          <t>General</t>
        </is>
      </c>
      <c r="F642" s="5" t="n"/>
      <c r="G642" s="5" t="n"/>
      <c r="H642" s="5" t="n">
        <v>124</v>
      </c>
      <c r="I642" s="5" t="n">
        <v>49</v>
      </c>
      <c r="J642" s="5" t="n">
        <v>72</v>
      </c>
      <c r="K642" s="10">
        <f>IF(F642&gt;0,H642/F642,"")</f>
        <v/>
      </c>
      <c r="L642" s="16">
        <f>IF(AND(G642&gt;0,H642&gt;0),G642/H642,"")</f>
        <v/>
      </c>
    </row>
    <row r="643">
      <c r="A643" s="4" t="inlineStr">
        <is>
          <t>339</t>
        </is>
      </c>
      <c r="B643" s="4" t="n">
        <v>3</v>
      </c>
      <c r="C643" s="4" t="inlineStr">
        <is>
          <t>elk</t>
        </is>
      </c>
      <c r="D643" s="4" t="n">
        <v>2024</v>
      </c>
      <c r="E643" s="13" t="inlineStr">
        <is>
          <t>General</t>
        </is>
      </c>
      <c r="F643" s="5" t="n">
        <v>1020</v>
      </c>
      <c r="G643" s="5" t="n">
        <v>7741</v>
      </c>
      <c r="H643" s="5" t="n">
        <v>194</v>
      </c>
      <c r="I643" s="5" t="n">
        <v>52</v>
      </c>
      <c r="J643" s="5" t="n">
        <v>127</v>
      </c>
      <c r="K643" s="10">
        <f>IF(F643&gt;0,H643/F643,"")</f>
        <v/>
      </c>
      <c r="L643" s="16">
        <f>IF(AND(G643&gt;0,H643&gt;0),G643/H643,"")</f>
        <v/>
      </c>
    </row>
    <row r="644">
      <c r="A644" s="4" t="inlineStr">
        <is>
          <t>339</t>
        </is>
      </c>
      <c r="B644" s="4" t="n">
        <v>3</v>
      </c>
      <c r="C644" s="4" t="inlineStr">
        <is>
          <t>elk</t>
        </is>
      </c>
      <c r="D644" s="4" t="n">
        <v>2025</v>
      </c>
      <c r="E644" s="13" t="inlineStr">
        <is>
          <t>General</t>
        </is>
      </c>
      <c r="F644" s="5" t="n"/>
      <c r="G644" s="5" t="n"/>
      <c r="H644" s="5" t="n">
        <v>176</v>
      </c>
      <c r="I644" s="5" t="n">
        <v>78</v>
      </c>
      <c r="J644" s="5" t="n">
        <v>92</v>
      </c>
      <c r="K644" s="10">
        <f>IF(F644&gt;0,H644/F644,"")</f>
        <v/>
      </c>
      <c r="L644" s="16">
        <f>IF(AND(G644&gt;0,H644&gt;0),G644/H644,"")</f>
        <v/>
      </c>
    </row>
    <row r="645">
      <c r="A645" s="4" t="inlineStr">
        <is>
          <t>340</t>
        </is>
      </c>
      <c r="B645" s="4" t="n">
        <v>3</v>
      </c>
      <c r="C645" s="4" t="inlineStr">
        <is>
          <t>elk</t>
        </is>
      </c>
      <c r="D645" s="4" t="n">
        <v>2021</v>
      </c>
      <c r="E645" s="13" t="inlineStr">
        <is>
          <t>General</t>
        </is>
      </c>
      <c r="F645" s="5" t="n"/>
      <c r="G645" s="5" t="n"/>
      <c r="H645" s="5" t="n">
        <v>319</v>
      </c>
      <c r="I645" s="5" t="n">
        <v>136</v>
      </c>
      <c r="J645" s="5" t="n">
        <v>176</v>
      </c>
      <c r="K645" s="10">
        <f>IF(F645&gt;0,H645/F645,"")</f>
        <v/>
      </c>
      <c r="L645" s="16">
        <f>IF(AND(G645&gt;0,H645&gt;0),G645/H645,"")</f>
        <v/>
      </c>
    </row>
    <row r="646">
      <c r="A646" s="4" t="inlineStr">
        <is>
          <t>340</t>
        </is>
      </c>
      <c r="B646" s="4" t="n">
        <v>3</v>
      </c>
      <c r="C646" s="4" t="inlineStr">
        <is>
          <t>elk</t>
        </is>
      </c>
      <c r="D646" s="4" t="n">
        <v>2022</v>
      </c>
      <c r="E646" s="13" t="inlineStr">
        <is>
          <t>General</t>
        </is>
      </c>
      <c r="F646" s="5" t="n">
        <v>1922</v>
      </c>
      <c r="G646" s="5" t="n">
        <v>14720</v>
      </c>
      <c r="H646" s="5" t="n">
        <v>327</v>
      </c>
      <c r="I646" s="5" t="n">
        <v>169</v>
      </c>
      <c r="J646" s="5" t="n">
        <v>153</v>
      </c>
      <c r="K646" s="10">
        <f>IF(F646&gt;0,H646/F646,"")</f>
        <v/>
      </c>
      <c r="L646" s="16">
        <f>IF(AND(G646&gt;0,H646&gt;0),G646/H646,"")</f>
        <v/>
      </c>
    </row>
    <row r="647">
      <c r="A647" s="4" t="inlineStr">
        <is>
          <t>340</t>
        </is>
      </c>
      <c r="B647" s="4" t="n">
        <v>3</v>
      </c>
      <c r="C647" s="4" t="inlineStr">
        <is>
          <t>elk</t>
        </is>
      </c>
      <c r="D647" s="4" t="n">
        <v>2023</v>
      </c>
      <c r="E647" s="13" t="inlineStr">
        <is>
          <t>General</t>
        </is>
      </c>
      <c r="F647" s="5" t="n"/>
      <c r="G647" s="5" t="n"/>
      <c r="H647" s="5" t="n">
        <v>310</v>
      </c>
      <c r="I647" s="5" t="n">
        <v>181</v>
      </c>
      <c r="J647" s="5" t="n">
        <v>127</v>
      </c>
      <c r="K647" s="10">
        <f>IF(F647&gt;0,H647/F647,"")</f>
        <v/>
      </c>
      <c r="L647" s="16">
        <f>IF(AND(G647&gt;0,H647&gt;0),G647/H647,"")</f>
        <v/>
      </c>
    </row>
    <row r="648">
      <c r="A648" s="4" t="inlineStr">
        <is>
          <t>340</t>
        </is>
      </c>
      <c r="B648" s="4" t="n">
        <v>3</v>
      </c>
      <c r="C648" s="4" t="inlineStr">
        <is>
          <t>elk</t>
        </is>
      </c>
      <c r="D648" s="4" t="n">
        <v>2024</v>
      </c>
      <c r="E648" s="13" t="inlineStr">
        <is>
          <t>General</t>
        </is>
      </c>
      <c r="F648" s="5" t="n">
        <v>2068</v>
      </c>
      <c r="G648" s="5" t="n">
        <v>16427</v>
      </c>
      <c r="H648" s="5" t="n">
        <v>387</v>
      </c>
      <c r="I648" s="5" t="n">
        <v>178</v>
      </c>
      <c r="J648" s="5" t="n">
        <v>200</v>
      </c>
      <c r="K648" s="10">
        <f>IF(F648&gt;0,H648/F648,"")</f>
        <v/>
      </c>
      <c r="L648" s="16">
        <f>IF(AND(G648&gt;0,H648&gt;0),G648/H648,"")</f>
        <v/>
      </c>
    </row>
    <row r="649">
      <c r="A649" s="4" t="inlineStr">
        <is>
          <t>340</t>
        </is>
      </c>
      <c r="B649" s="4" t="n">
        <v>3</v>
      </c>
      <c r="C649" s="4" t="inlineStr">
        <is>
          <t>elk</t>
        </is>
      </c>
      <c r="D649" s="4" t="n">
        <v>2025</v>
      </c>
      <c r="E649" s="13" t="inlineStr">
        <is>
          <t>General</t>
        </is>
      </c>
      <c r="F649" s="5" t="n"/>
      <c r="G649" s="5" t="n"/>
      <c r="H649" s="5" t="n">
        <v>397</v>
      </c>
      <c r="I649" s="5" t="n">
        <v>172</v>
      </c>
      <c r="J649" s="5" t="n">
        <v>208</v>
      </c>
      <c r="K649" s="10">
        <f>IF(F649&gt;0,H649/F649,"")</f>
        <v/>
      </c>
      <c r="L649" s="16">
        <f>IF(AND(G649&gt;0,H649&gt;0),G649/H649,"")</f>
        <v/>
      </c>
    </row>
    <row r="650">
      <c r="A650" s="4" t="inlineStr">
        <is>
          <t>341</t>
        </is>
      </c>
      <c r="B650" s="4" t="n">
        <v>3</v>
      </c>
      <c r="C650" s="4" t="inlineStr">
        <is>
          <t>elk</t>
        </is>
      </c>
      <c r="D650" s="4" t="n">
        <v>2021</v>
      </c>
      <c r="E650" s="4" t="inlineStr"/>
      <c r="F650" s="5" t="n"/>
      <c r="G650" s="5" t="n"/>
      <c r="H650" s="5" t="n">
        <v>88</v>
      </c>
      <c r="I650" s="5" t="n">
        <v>55</v>
      </c>
      <c r="J650" s="5" t="n">
        <v>32</v>
      </c>
      <c r="K650" s="10">
        <f>IF(F650&gt;0,H650/F650,"")</f>
        <v/>
      </c>
      <c r="L650" s="16">
        <f>IF(AND(G650&gt;0,H650&gt;0),G650/H650,"")</f>
        <v/>
      </c>
    </row>
    <row r="651">
      <c r="A651" s="4" t="inlineStr">
        <is>
          <t>343</t>
        </is>
      </c>
      <c r="B651" s="4" t="n">
        <v>3</v>
      </c>
      <c r="C651" s="4" t="inlineStr">
        <is>
          <t>elk</t>
        </is>
      </c>
      <c r="D651" s="4" t="n">
        <v>2021</v>
      </c>
      <c r="E651" s="13" t="inlineStr">
        <is>
          <t>General</t>
        </is>
      </c>
      <c r="F651" s="5" t="n"/>
      <c r="G651" s="5" t="n"/>
      <c r="H651" s="5" t="n">
        <v>63</v>
      </c>
      <c r="I651" s="5" t="n">
        <v>38</v>
      </c>
      <c r="J651" s="5" t="n">
        <v>21</v>
      </c>
      <c r="K651" s="10">
        <f>IF(F651&gt;0,H651/F651,"")</f>
        <v/>
      </c>
      <c r="L651" s="16">
        <f>IF(AND(G651&gt;0,H651&gt;0),G651/H651,"")</f>
        <v/>
      </c>
    </row>
    <row r="652">
      <c r="A652" s="4" t="inlineStr">
        <is>
          <t>343</t>
        </is>
      </c>
      <c r="B652" s="4" t="n">
        <v>3</v>
      </c>
      <c r="C652" s="4" t="inlineStr">
        <is>
          <t>elk</t>
        </is>
      </c>
      <c r="D652" s="4" t="n">
        <v>2022</v>
      </c>
      <c r="E652" s="13" t="inlineStr">
        <is>
          <t>General</t>
        </is>
      </c>
      <c r="F652" s="5" t="n">
        <v>1041</v>
      </c>
      <c r="G652" s="5" t="n">
        <v>8439</v>
      </c>
      <c r="H652" s="5" t="n">
        <v>168</v>
      </c>
      <c r="I652" s="5" t="n">
        <v>87</v>
      </c>
      <c r="J652" s="5" t="n">
        <v>81</v>
      </c>
      <c r="K652" s="10">
        <f>IF(F652&gt;0,H652/F652,"")</f>
        <v/>
      </c>
      <c r="L652" s="16">
        <f>IF(AND(G652&gt;0,H652&gt;0),G652/H652,"")</f>
        <v/>
      </c>
    </row>
    <row r="653">
      <c r="A653" s="4" t="inlineStr">
        <is>
          <t>343</t>
        </is>
      </c>
      <c r="B653" s="4" t="n">
        <v>3</v>
      </c>
      <c r="C653" s="4" t="inlineStr">
        <is>
          <t>elk</t>
        </is>
      </c>
      <c r="D653" s="4" t="n">
        <v>2023</v>
      </c>
      <c r="E653" s="13" t="inlineStr">
        <is>
          <t>General</t>
        </is>
      </c>
      <c r="F653" s="5" t="n"/>
      <c r="G653" s="5" t="n"/>
      <c r="H653" s="5" t="n">
        <v>111</v>
      </c>
      <c r="I653" s="5" t="n">
        <v>53</v>
      </c>
      <c r="J653" s="5" t="n">
        <v>52</v>
      </c>
      <c r="K653" s="10">
        <f>IF(F653&gt;0,H653/F653,"")</f>
        <v/>
      </c>
      <c r="L653" s="16">
        <f>IF(AND(G653&gt;0,H653&gt;0),G653/H653,"")</f>
        <v/>
      </c>
    </row>
    <row r="654">
      <c r="A654" s="4" t="inlineStr">
        <is>
          <t>343</t>
        </is>
      </c>
      <c r="B654" s="4" t="n">
        <v>3</v>
      </c>
      <c r="C654" s="4" t="inlineStr">
        <is>
          <t>elk</t>
        </is>
      </c>
      <c r="D654" s="4" t="n">
        <v>2024</v>
      </c>
      <c r="E654" s="13" t="inlineStr">
        <is>
          <t>General</t>
        </is>
      </c>
      <c r="F654" s="5" t="n">
        <v>1318</v>
      </c>
      <c r="G654" s="5" t="n">
        <v>11212</v>
      </c>
      <c r="H654" s="5" t="n">
        <v>153</v>
      </c>
      <c r="I654" s="5" t="n">
        <v>66</v>
      </c>
      <c r="J654" s="5" t="n">
        <v>84</v>
      </c>
      <c r="K654" s="10">
        <f>IF(F654&gt;0,H654/F654,"")</f>
        <v/>
      </c>
      <c r="L654" s="16">
        <f>IF(AND(G654&gt;0,H654&gt;0),G654/H654,"")</f>
        <v/>
      </c>
    </row>
    <row r="655">
      <c r="A655" s="4" t="inlineStr">
        <is>
          <t>343</t>
        </is>
      </c>
      <c r="B655" s="4" t="n">
        <v>3</v>
      </c>
      <c r="C655" s="4" t="inlineStr">
        <is>
          <t>elk</t>
        </is>
      </c>
      <c r="D655" s="4" t="n">
        <v>2025</v>
      </c>
      <c r="E655" s="13" t="inlineStr">
        <is>
          <t>General</t>
        </is>
      </c>
      <c r="F655" s="5" t="n"/>
      <c r="G655" s="5" t="n"/>
      <c r="H655" s="5" t="n">
        <v>165</v>
      </c>
      <c r="I655" s="5" t="n">
        <v>66</v>
      </c>
      <c r="J655" s="5" t="n">
        <v>95</v>
      </c>
      <c r="K655" s="10">
        <f>IF(F655&gt;0,H655/F655,"")</f>
        <v/>
      </c>
      <c r="L655" s="16">
        <f>IF(AND(G655&gt;0,H655&gt;0),G655/H655,"")</f>
        <v/>
      </c>
    </row>
    <row r="656">
      <c r="A656" s="4" t="inlineStr">
        <is>
          <t>350</t>
        </is>
      </c>
      <c r="B656" s="4" t="n">
        <v>3</v>
      </c>
      <c r="C656" s="4" t="inlineStr">
        <is>
          <t>elk</t>
        </is>
      </c>
      <c r="D656" s="4" t="n">
        <v>2021</v>
      </c>
      <c r="E656" s="13" t="inlineStr">
        <is>
          <t>General</t>
        </is>
      </c>
      <c r="F656" s="5" t="n"/>
      <c r="G656" s="5" t="n"/>
      <c r="H656" s="5" t="n">
        <v>82</v>
      </c>
      <c r="I656" s="5" t="n">
        <v>54</v>
      </c>
      <c r="J656" s="5" t="n">
        <v>28</v>
      </c>
      <c r="K656" s="10">
        <f>IF(F656&gt;0,H656/F656,"")</f>
        <v/>
      </c>
      <c r="L656" s="16">
        <f>IF(AND(G656&gt;0,H656&gt;0),G656/H656,"")</f>
        <v/>
      </c>
    </row>
    <row r="657">
      <c r="A657" s="4" t="inlineStr">
        <is>
          <t>350</t>
        </is>
      </c>
      <c r="B657" s="4" t="n">
        <v>3</v>
      </c>
      <c r="C657" s="4" t="inlineStr">
        <is>
          <t>elk</t>
        </is>
      </c>
      <c r="D657" s="4" t="n">
        <v>2022</v>
      </c>
      <c r="E657" s="13" t="inlineStr">
        <is>
          <t>General</t>
        </is>
      </c>
      <c r="F657" s="5" t="n">
        <v>815</v>
      </c>
      <c r="G657" s="5" t="n">
        <v>6817</v>
      </c>
      <c r="H657" s="5" t="n">
        <v>64</v>
      </c>
      <c r="I657" s="5" t="n">
        <v>55</v>
      </c>
      <c r="J657" s="5" t="n">
        <v>9</v>
      </c>
      <c r="K657" s="10">
        <f>IF(F657&gt;0,H657/F657,"")</f>
        <v/>
      </c>
      <c r="L657" s="16">
        <f>IF(AND(G657&gt;0,H657&gt;0),G657/H657,"")</f>
        <v/>
      </c>
    </row>
    <row r="658">
      <c r="A658" s="4" t="inlineStr">
        <is>
          <t>350</t>
        </is>
      </c>
      <c r="B658" s="4" t="n">
        <v>3</v>
      </c>
      <c r="C658" s="4" t="inlineStr">
        <is>
          <t>elk</t>
        </is>
      </c>
      <c r="D658" s="4" t="n">
        <v>2023</v>
      </c>
      <c r="E658" s="13" t="inlineStr">
        <is>
          <t>General</t>
        </is>
      </c>
      <c r="F658" s="5" t="n"/>
      <c r="G658" s="5" t="n"/>
      <c r="H658" s="5" t="n">
        <v>85</v>
      </c>
      <c r="I658" s="5" t="n">
        <v>62</v>
      </c>
      <c r="J658" s="5" t="n">
        <v>23</v>
      </c>
      <c r="K658" s="10">
        <f>IF(F658&gt;0,H658/F658,"")</f>
        <v/>
      </c>
      <c r="L658" s="16">
        <f>IF(AND(G658&gt;0,H658&gt;0),G658/H658,"")</f>
        <v/>
      </c>
    </row>
    <row r="659">
      <c r="A659" s="4" t="inlineStr">
        <is>
          <t>350</t>
        </is>
      </c>
      <c r="B659" s="4" t="n">
        <v>3</v>
      </c>
      <c r="C659" s="4" t="inlineStr">
        <is>
          <t>elk</t>
        </is>
      </c>
      <c r="D659" s="4" t="n">
        <v>2024</v>
      </c>
      <c r="E659" s="13" t="inlineStr">
        <is>
          <t>General</t>
        </is>
      </c>
      <c r="F659" s="5" t="n">
        <v>946</v>
      </c>
      <c r="G659" s="5" t="n">
        <v>7901</v>
      </c>
      <c r="H659" s="5" t="n">
        <v>99</v>
      </c>
      <c r="I659" s="5" t="n">
        <v>77</v>
      </c>
      <c r="J659" s="5" t="n">
        <v>21</v>
      </c>
      <c r="K659" s="10">
        <f>IF(F659&gt;0,H659/F659,"")</f>
        <v/>
      </c>
      <c r="L659" s="16">
        <f>IF(AND(G659&gt;0,H659&gt;0),G659/H659,"")</f>
        <v/>
      </c>
    </row>
    <row r="660">
      <c r="A660" s="4" t="inlineStr">
        <is>
          <t>350</t>
        </is>
      </c>
      <c r="B660" s="4" t="n">
        <v>3</v>
      </c>
      <c r="C660" s="4" t="inlineStr">
        <is>
          <t>elk</t>
        </is>
      </c>
      <c r="D660" s="4" t="n">
        <v>2025</v>
      </c>
      <c r="E660" s="13" t="inlineStr">
        <is>
          <t>General</t>
        </is>
      </c>
      <c r="F660" s="5" t="n"/>
      <c r="G660" s="5" t="n"/>
      <c r="H660" s="5" t="n">
        <v>93</v>
      </c>
      <c r="I660" s="5" t="n">
        <v>62</v>
      </c>
      <c r="J660" s="5" t="n">
        <v>31</v>
      </c>
      <c r="K660" s="10">
        <f>IF(F660&gt;0,H660/F660,"")</f>
        <v/>
      </c>
      <c r="L660" s="16">
        <f>IF(AND(G660&gt;0,H660&gt;0),G660/H660,"")</f>
        <v/>
      </c>
    </row>
    <row r="661">
      <c r="A661" s="4" t="inlineStr">
        <is>
          <t>360</t>
        </is>
      </c>
      <c r="B661" s="4" t="n">
        <v>3</v>
      </c>
      <c r="C661" s="4" t="inlineStr">
        <is>
          <t>elk</t>
        </is>
      </c>
      <c r="D661" s="4" t="n">
        <v>2021</v>
      </c>
      <c r="E661" s="13" t="inlineStr">
        <is>
          <t>General</t>
        </is>
      </c>
      <c r="F661" s="5" t="n"/>
      <c r="G661" s="5" t="n"/>
      <c r="H661" s="5" t="n">
        <v>794</v>
      </c>
      <c r="I661" s="5" t="n">
        <v>366</v>
      </c>
      <c r="J661" s="5" t="n">
        <v>390</v>
      </c>
      <c r="K661" s="10">
        <f>IF(F661&gt;0,H661/F661,"")</f>
        <v/>
      </c>
      <c r="L661" s="16">
        <f>IF(AND(G661&gt;0,H661&gt;0),G661/H661,"")</f>
        <v/>
      </c>
    </row>
    <row r="662">
      <c r="A662" s="4" t="inlineStr">
        <is>
          <t>360</t>
        </is>
      </c>
      <c r="B662" s="4" t="n">
        <v>3</v>
      </c>
      <c r="C662" s="4" t="inlineStr">
        <is>
          <t>elk</t>
        </is>
      </c>
      <c r="D662" s="4" t="n">
        <v>2022</v>
      </c>
      <c r="E662" s="13" t="inlineStr">
        <is>
          <t>General</t>
        </is>
      </c>
      <c r="F662" s="5" t="n">
        <v>3541</v>
      </c>
      <c r="G662" s="5" t="n">
        <v>24210</v>
      </c>
      <c r="H662" s="5" t="n">
        <v>1697</v>
      </c>
      <c r="I662" s="5" t="n">
        <v>733</v>
      </c>
      <c r="J662" s="5" t="n">
        <v>902</v>
      </c>
      <c r="K662" s="10">
        <f>IF(F662&gt;0,H662/F662,"")</f>
        <v/>
      </c>
      <c r="L662" s="16">
        <f>IF(AND(G662&gt;0,H662&gt;0),G662/H662,"")</f>
        <v/>
      </c>
    </row>
    <row r="663">
      <c r="A663" s="4" t="inlineStr">
        <is>
          <t>360</t>
        </is>
      </c>
      <c r="B663" s="4" t="n">
        <v>3</v>
      </c>
      <c r="C663" s="4" t="inlineStr">
        <is>
          <t>elk</t>
        </is>
      </c>
      <c r="D663" s="4" t="n">
        <v>2023</v>
      </c>
      <c r="E663" s="13" t="inlineStr">
        <is>
          <t>General</t>
        </is>
      </c>
      <c r="F663" s="5" t="n"/>
      <c r="G663" s="5" t="n"/>
      <c r="H663" s="5" t="n">
        <v>714</v>
      </c>
      <c r="I663" s="5" t="n">
        <v>313</v>
      </c>
      <c r="J663" s="5" t="n">
        <v>379</v>
      </c>
      <c r="K663" s="10">
        <f>IF(F663&gt;0,H663/F663,"")</f>
        <v/>
      </c>
      <c r="L663" s="16">
        <f>IF(AND(G663&gt;0,H663&gt;0),G663/H663,"")</f>
        <v/>
      </c>
    </row>
    <row r="664">
      <c r="A664" s="4" t="inlineStr">
        <is>
          <t>360</t>
        </is>
      </c>
      <c r="B664" s="4" t="n">
        <v>3</v>
      </c>
      <c r="C664" s="4" t="inlineStr">
        <is>
          <t>elk</t>
        </is>
      </c>
      <c r="D664" s="4" t="n">
        <v>2024</v>
      </c>
      <c r="E664" s="13" t="inlineStr">
        <is>
          <t>General</t>
        </is>
      </c>
      <c r="F664" s="5" t="n">
        <v>3402</v>
      </c>
      <c r="G664" s="5" t="n">
        <v>25702</v>
      </c>
      <c r="H664" s="5" t="n">
        <v>1099</v>
      </c>
      <c r="I664" s="5" t="n">
        <v>377</v>
      </c>
      <c r="J664" s="5" t="n">
        <v>695</v>
      </c>
      <c r="K664" s="10">
        <f>IF(F664&gt;0,H664/F664,"")</f>
        <v/>
      </c>
      <c r="L664" s="16">
        <f>IF(AND(G664&gt;0,H664&gt;0),G664/H664,"")</f>
        <v/>
      </c>
    </row>
    <row r="665">
      <c r="A665" s="4" t="inlineStr">
        <is>
          <t>360</t>
        </is>
      </c>
      <c r="B665" s="4" t="n">
        <v>3</v>
      </c>
      <c r="C665" s="4" t="inlineStr">
        <is>
          <t>elk</t>
        </is>
      </c>
      <c r="D665" s="4" t="n">
        <v>2025</v>
      </c>
      <c r="E665" s="13" t="inlineStr">
        <is>
          <t>General</t>
        </is>
      </c>
      <c r="F665" s="5" t="n"/>
      <c r="G665" s="5" t="n"/>
      <c r="H665" s="5" t="n">
        <v>629</v>
      </c>
      <c r="I665" s="5" t="n">
        <v>258</v>
      </c>
      <c r="J665" s="5" t="n">
        <v>364</v>
      </c>
      <c r="K665" s="10">
        <f>IF(F665&gt;0,H665/F665,"")</f>
        <v/>
      </c>
      <c r="L665" s="16">
        <f>IF(AND(G665&gt;0,H665&gt;0),G665/H665,"")</f>
        <v/>
      </c>
    </row>
    <row r="666">
      <c r="A666" s="4" t="inlineStr">
        <is>
          <t>361</t>
        </is>
      </c>
      <c r="B666" s="4" t="n">
        <v>3</v>
      </c>
      <c r="C666" s="4" t="inlineStr">
        <is>
          <t>elk</t>
        </is>
      </c>
      <c r="D666" s="4" t="n">
        <v>2021</v>
      </c>
      <c r="E666" s="13" t="inlineStr">
        <is>
          <t>General</t>
        </is>
      </c>
      <c r="F666" s="5" t="n"/>
      <c r="G666" s="5" t="n"/>
      <c r="H666" s="5" t="n">
        <v>74</v>
      </c>
      <c r="I666" s="5" t="n">
        <v>26</v>
      </c>
      <c r="J666" s="5" t="n">
        <v>45</v>
      </c>
      <c r="K666" s="10">
        <f>IF(F666&gt;0,H666/F666,"")</f>
        <v/>
      </c>
      <c r="L666" s="16">
        <f>IF(AND(G666&gt;0,H666&gt;0),G666/H666,"")</f>
        <v/>
      </c>
    </row>
    <row r="667">
      <c r="A667" s="4" t="inlineStr">
        <is>
          <t>361</t>
        </is>
      </c>
      <c r="B667" s="4" t="n">
        <v>3</v>
      </c>
      <c r="C667" s="4" t="inlineStr">
        <is>
          <t>elk</t>
        </is>
      </c>
      <c r="D667" s="4" t="n">
        <v>2022</v>
      </c>
      <c r="E667" s="13" t="inlineStr">
        <is>
          <t>General</t>
        </is>
      </c>
      <c r="F667" s="5" t="n">
        <v>587</v>
      </c>
      <c r="G667" s="5" t="n">
        <v>4640</v>
      </c>
      <c r="H667" s="5" t="n">
        <v>106</v>
      </c>
      <c r="I667" s="5" t="n">
        <v>75</v>
      </c>
      <c r="J667" s="5" t="n">
        <v>31</v>
      </c>
      <c r="K667" s="10">
        <f>IF(F667&gt;0,H667/F667,"")</f>
        <v/>
      </c>
      <c r="L667" s="16">
        <f>IF(AND(G667&gt;0,H667&gt;0),G667/H667,"")</f>
        <v/>
      </c>
    </row>
    <row r="668">
      <c r="A668" s="4" t="inlineStr">
        <is>
          <t>361</t>
        </is>
      </c>
      <c r="B668" s="4" t="n">
        <v>3</v>
      </c>
      <c r="C668" s="4" t="inlineStr">
        <is>
          <t>elk</t>
        </is>
      </c>
      <c r="D668" s="4" t="n">
        <v>2023</v>
      </c>
      <c r="E668" s="13" t="inlineStr">
        <is>
          <t>General</t>
        </is>
      </c>
      <c r="F668" s="5" t="n"/>
      <c r="G668" s="5" t="n"/>
      <c r="H668" s="5" t="n">
        <v>87</v>
      </c>
      <c r="I668" s="5" t="n">
        <v>72</v>
      </c>
      <c r="J668" s="5" t="n">
        <v>16</v>
      </c>
      <c r="K668" s="10">
        <f>IF(F668&gt;0,H668/F668,"")</f>
        <v/>
      </c>
      <c r="L668" s="16">
        <f>IF(AND(G668&gt;0,H668&gt;0),G668/H668,"")</f>
        <v/>
      </c>
    </row>
    <row r="669">
      <c r="A669" s="4" t="inlineStr">
        <is>
          <t>361</t>
        </is>
      </c>
      <c r="B669" s="4" t="n">
        <v>3</v>
      </c>
      <c r="C669" s="4" t="inlineStr">
        <is>
          <t>elk</t>
        </is>
      </c>
      <c r="D669" s="4" t="n">
        <v>2024</v>
      </c>
      <c r="E669" s="13" t="inlineStr">
        <is>
          <t>General</t>
        </is>
      </c>
      <c r="F669" s="5" t="n">
        <v>581</v>
      </c>
      <c r="G669" s="5" t="n">
        <v>5021</v>
      </c>
      <c r="H669" s="5" t="n">
        <v>87</v>
      </c>
      <c r="I669" s="5" t="n">
        <v>37</v>
      </c>
      <c r="J669" s="5" t="n">
        <v>50</v>
      </c>
      <c r="K669" s="10">
        <f>IF(F669&gt;0,H669/F669,"")</f>
        <v/>
      </c>
      <c r="L669" s="16">
        <f>IF(AND(G669&gt;0,H669&gt;0),G669/H669,"")</f>
        <v/>
      </c>
    </row>
    <row r="670">
      <c r="A670" s="4" t="inlineStr">
        <is>
          <t>361</t>
        </is>
      </c>
      <c r="B670" s="4" t="n">
        <v>3</v>
      </c>
      <c r="C670" s="4" t="inlineStr">
        <is>
          <t>elk</t>
        </is>
      </c>
      <c r="D670" s="4" t="n">
        <v>2025</v>
      </c>
      <c r="E670" s="13" t="inlineStr">
        <is>
          <t>General</t>
        </is>
      </c>
      <c r="F670" s="5" t="n"/>
      <c r="G670" s="5" t="n"/>
      <c r="H670" s="5" t="n">
        <v>79</v>
      </c>
      <c r="I670" s="5" t="n">
        <v>46</v>
      </c>
      <c r="J670" s="5" t="n">
        <v>31</v>
      </c>
      <c r="K670" s="10">
        <f>IF(F670&gt;0,H670/F670,"")</f>
        <v/>
      </c>
      <c r="L670" s="16">
        <f>IF(AND(G670&gt;0,H670&gt;0),G670/H670,"")</f>
        <v/>
      </c>
    </row>
    <row r="671">
      <c r="A671" s="4" t="inlineStr">
        <is>
          <t>362</t>
        </is>
      </c>
      <c r="B671" s="4" t="n">
        <v>3</v>
      </c>
      <c r="C671" s="4" t="inlineStr">
        <is>
          <t>elk</t>
        </is>
      </c>
      <c r="D671" s="4" t="n">
        <v>2021</v>
      </c>
      <c r="E671" s="4" t="inlineStr"/>
      <c r="F671" s="5" t="n"/>
      <c r="G671" s="5" t="n"/>
      <c r="H671" s="5" t="n">
        <v>183</v>
      </c>
      <c r="I671" s="5" t="n">
        <v>73</v>
      </c>
      <c r="J671" s="5" t="n">
        <v>107</v>
      </c>
      <c r="K671" s="10">
        <f>IF(F671&gt;0,H671/F671,"")</f>
        <v/>
      </c>
      <c r="L671" s="16">
        <f>IF(AND(G671&gt;0,H671&gt;0),G671/H671,"")</f>
        <v/>
      </c>
    </row>
    <row r="672">
      <c r="A672" s="4" t="inlineStr">
        <is>
          <t>370</t>
        </is>
      </c>
      <c r="B672" s="4" t="n">
        <v>3</v>
      </c>
      <c r="C672" s="4" t="inlineStr">
        <is>
          <t>elk</t>
        </is>
      </c>
      <c r="D672" s="4" t="n">
        <v>2021</v>
      </c>
      <c r="E672" s="13" t="inlineStr">
        <is>
          <t>General</t>
        </is>
      </c>
      <c r="F672" s="5" t="n"/>
      <c r="G672" s="5" t="n"/>
      <c r="H672" s="5" t="n">
        <v>60</v>
      </c>
      <c r="I672" s="5" t="n">
        <v>30</v>
      </c>
      <c r="J672" s="5" t="n">
        <v>30</v>
      </c>
      <c r="K672" s="10">
        <f>IF(F672&gt;0,H672/F672,"")</f>
        <v/>
      </c>
      <c r="L672" s="16">
        <f>IF(AND(G672&gt;0,H672&gt;0),G672/H672,"")</f>
        <v/>
      </c>
    </row>
    <row r="673">
      <c r="A673" s="4" t="inlineStr">
        <is>
          <t>370</t>
        </is>
      </c>
      <c r="B673" s="4" t="n">
        <v>3</v>
      </c>
      <c r="C673" s="4" t="inlineStr">
        <is>
          <t>elk</t>
        </is>
      </c>
      <c r="D673" s="4" t="n">
        <v>2022</v>
      </c>
      <c r="E673" s="13" t="inlineStr">
        <is>
          <t>General</t>
        </is>
      </c>
      <c r="F673" s="5" t="n">
        <v>542</v>
      </c>
      <c r="G673" s="5" t="n">
        <v>3670</v>
      </c>
      <c r="H673" s="5" t="n">
        <v>88</v>
      </c>
      <c r="I673" s="5" t="n">
        <v>49</v>
      </c>
      <c r="J673" s="5" t="n">
        <v>36</v>
      </c>
      <c r="K673" s="10">
        <f>IF(F673&gt;0,H673/F673,"")</f>
        <v/>
      </c>
      <c r="L673" s="16">
        <f>IF(AND(G673&gt;0,H673&gt;0),G673/H673,"")</f>
        <v/>
      </c>
    </row>
    <row r="674">
      <c r="A674" s="4" t="inlineStr">
        <is>
          <t>370</t>
        </is>
      </c>
      <c r="B674" s="4" t="n">
        <v>3</v>
      </c>
      <c r="C674" s="4" t="inlineStr">
        <is>
          <t>elk</t>
        </is>
      </c>
      <c r="D674" s="4" t="n">
        <v>2023</v>
      </c>
      <c r="E674" s="13" t="inlineStr">
        <is>
          <t>General</t>
        </is>
      </c>
      <c r="F674" s="5" t="n"/>
      <c r="G674" s="5" t="n"/>
      <c r="H674" s="5" t="n">
        <v>86</v>
      </c>
      <c r="I674" s="5" t="n">
        <v>49</v>
      </c>
      <c r="J674" s="5" t="n">
        <v>33</v>
      </c>
      <c r="K674" s="10">
        <f>IF(F674&gt;0,H674/F674,"")</f>
        <v/>
      </c>
      <c r="L674" s="16">
        <f>IF(AND(G674&gt;0,H674&gt;0),G674/H674,"")</f>
        <v/>
      </c>
    </row>
    <row r="675">
      <c r="A675" s="4" t="inlineStr">
        <is>
          <t>370</t>
        </is>
      </c>
      <c r="B675" s="4" t="n">
        <v>3</v>
      </c>
      <c r="C675" s="4" t="inlineStr">
        <is>
          <t>elk</t>
        </is>
      </c>
      <c r="D675" s="4" t="n">
        <v>2024</v>
      </c>
      <c r="E675" s="13" t="inlineStr">
        <is>
          <t>General</t>
        </is>
      </c>
      <c r="F675" s="5" t="n">
        <v>629</v>
      </c>
      <c r="G675" s="5" t="n">
        <v>4650</v>
      </c>
      <c r="H675" s="5" t="n">
        <v>80</v>
      </c>
      <c r="I675" s="5" t="n">
        <v>29</v>
      </c>
      <c r="J675" s="5" t="n">
        <v>51</v>
      </c>
      <c r="K675" s="10">
        <f>IF(F675&gt;0,H675/F675,"")</f>
        <v/>
      </c>
      <c r="L675" s="16">
        <f>IF(AND(G675&gt;0,H675&gt;0),G675/H675,"")</f>
        <v/>
      </c>
    </row>
    <row r="676">
      <c r="A676" s="4" t="inlineStr">
        <is>
          <t>370</t>
        </is>
      </c>
      <c r="B676" s="4" t="n">
        <v>3</v>
      </c>
      <c r="C676" s="4" t="inlineStr">
        <is>
          <t>elk</t>
        </is>
      </c>
      <c r="D676" s="4" t="n">
        <v>2025</v>
      </c>
      <c r="E676" s="13" t="inlineStr">
        <is>
          <t>General</t>
        </is>
      </c>
      <c r="F676" s="5" t="n"/>
      <c r="G676" s="5" t="n"/>
      <c r="H676" s="5" t="n">
        <v>103</v>
      </c>
      <c r="I676" s="5" t="n">
        <v>52</v>
      </c>
      <c r="J676" s="5" t="n">
        <v>49</v>
      </c>
      <c r="K676" s="10">
        <f>IF(F676&gt;0,H676/F676,"")</f>
        <v/>
      </c>
      <c r="L676" s="16">
        <f>IF(AND(G676&gt;0,H676&gt;0),G676/H676,"")</f>
        <v/>
      </c>
    </row>
    <row r="677">
      <c r="A677" s="4" t="inlineStr">
        <is>
          <t>380</t>
        </is>
      </c>
      <c r="B677" s="4" t="n">
        <v>3</v>
      </c>
      <c r="C677" s="4" t="inlineStr">
        <is>
          <t>elk</t>
        </is>
      </c>
      <c r="D677" s="4" t="n">
        <v>2021</v>
      </c>
      <c r="E677" s="13" t="inlineStr">
        <is>
          <t>General</t>
        </is>
      </c>
      <c r="F677" s="5" t="n"/>
      <c r="G677" s="5" t="n"/>
      <c r="H677" s="5" t="n">
        <v>583</v>
      </c>
      <c r="I677" s="5" t="n">
        <v>259</v>
      </c>
      <c r="J677" s="5" t="n">
        <v>296</v>
      </c>
      <c r="K677" s="10">
        <f>IF(F677&gt;0,H677/F677,"")</f>
        <v/>
      </c>
      <c r="L677" s="16">
        <f>IF(AND(G677&gt;0,H677&gt;0),G677/H677,"")</f>
        <v/>
      </c>
    </row>
    <row r="678">
      <c r="A678" s="4" t="inlineStr">
        <is>
          <t>380</t>
        </is>
      </c>
      <c r="B678" s="4" t="n">
        <v>3</v>
      </c>
      <c r="C678" s="4" t="inlineStr">
        <is>
          <t>elk</t>
        </is>
      </c>
      <c r="D678" s="4" t="n">
        <v>2022</v>
      </c>
      <c r="E678" s="13" t="inlineStr">
        <is>
          <t>General</t>
        </is>
      </c>
      <c r="F678" s="5" t="n">
        <v>3116</v>
      </c>
      <c r="G678" s="5" t="n">
        <v>23686</v>
      </c>
      <c r="H678" s="5" t="n">
        <v>680</v>
      </c>
      <c r="I678" s="5" t="n">
        <v>247</v>
      </c>
      <c r="J678" s="5" t="n">
        <v>397</v>
      </c>
      <c r="K678" s="10">
        <f>IF(F678&gt;0,H678/F678,"")</f>
        <v/>
      </c>
      <c r="L678" s="16">
        <f>IF(AND(G678&gt;0,H678&gt;0),G678/H678,"")</f>
        <v/>
      </c>
    </row>
    <row r="679">
      <c r="A679" s="4" t="inlineStr">
        <is>
          <t>380</t>
        </is>
      </c>
      <c r="B679" s="4" t="n">
        <v>3</v>
      </c>
      <c r="C679" s="4" t="inlineStr">
        <is>
          <t>elk</t>
        </is>
      </c>
      <c r="D679" s="4" t="n">
        <v>2023</v>
      </c>
      <c r="E679" s="13" t="inlineStr">
        <is>
          <t>General</t>
        </is>
      </c>
      <c r="F679" s="5" t="n"/>
      <c r="G679" s="5" t="n"/>
      <c r="H679" s="5" t="n">
        <v>484</v>
      </c>
      <c r="I679" s="5" t="n">
        <v>182</v>
      </c>
      <c r="J679" s="5" t="n">
        <v>281</v>
      </c>
      <c r="K679" s="10">
        <f>IF(F679&gt;0,H679/F679,"")</f>
        <v/>
      </c>
      <c r="L679" s="16">
        <f>IF(AND(G679&gt;0,H679&gt;0),G679/H679,"")</f>
        <v/>
      </c>
    </row>
    <row r="680">
      <c r="A680" s="4" t="inlineStr">
        <is>
          <t>380</t>
        </is>
      </c>
      <c r="B680" s="4" t="n">
        <v>3</v>
      </c>
      <c r="C680" s="4" t="inlineStr">
        <is>
          <t>elk</t>
        </is>
      </c>
      <c r="D680" s="4" t="n">
        <v>2024</v>
      </c>
      <c r="E680" s="13" t="inlineStr">
        <is>
          <t>General</t>
        </is>
      </c>
      <c r="F680" s="5" t="n">
        <v>2801</v>
      </c>
      <c r="G680" s="5" t="n">
        <v>22674</v>
      </c>
      <c r="H680" s="5" t="n">
        <v>474</v>
      </c>
      <c r="I680" s="5" t="n">
        <v>236</v>
      </c>
      <c r="J680" s="5" t="n">
        <v>215</v>
      </c>
      <c r="K680" s="10">
        <f>IF(F680&gt;0,H680/F680,"")</f>
        <v/>
      </c>
      <c r="L680" s="16">
        <f>IF(AND(G680&gt;0,H680&gt;0),G680/H680,"")</f>
        <v/>
      </c>
    </row>
    <row r="681">
      <c r="A681" s="4" t="inlineStr">
        <is>
          <t>380</t>
        </is>
      </c>
      <c r="B681" s="4" t="n">
        <v>3</v>
      </c>
      <c r="C681" s="4" t="inlineStr">
        <is>
          <t>elk</t>
        </is>
      </c>
      <c r="D681" s="4" t="n">
        <v>2025</v>
      </c>
      <c r="E681" s="13" t="inlineStr">
        <is>
          <t>General</t>
        </is>
      </c>
      <c r="F681" s="5" t="n"/>
      <c r="G681" s="5" t="n"/>
      <c r="H681" s="5" t="n">
        <v>419</v>
      </c>
      <c r="I681" s="5" t="n">
        <v>169</v>
      </c>
      <c r="J681" s="5" t="n">
        <v>236</v>
      </c>
      <c r="K681" s="10">
        <f>IF(F681&gt;0,H681/F681,"")</f>
        <v/>
      </c>
      <c r="L681" s="16">
        <f>IF(AND(G681&gt;0,H681&gt;0),G681/H681,"")</f>
        <v/>
      </c>
    </row>
    <row r="682">
      <c r="A682" s="4" t="inlineStr">
        <is>
          <t>388</t>
        </is>
      </c>
      <c r="B682" s="4" t="n">
        <v>3</v>
      </c>
      <c r="C682" s="4" t="inlineStr">
        <is>
          <t>elk</t>
        </is>
      </c>
      <c r="D682" s="4" t="n">
        <v>2021</v>
      </c>
      <c r="E682" s="13" t="inlineStr">
        <is>
          <t>General</t>
        </is>
      </c>
      <c r="F682" s="5" t="n"/>
      <c r="G682" s="5" t="n"/>
      <c r="H682" s="5" t="n">
        <v>4</v>
      </c>
      <c r="I682" s="5" t="n">
        <v>0</v>
      </c>
      <c r="J682" s="5" t="n">
        <v>4</v>
      </c>
      <c r="K682" s="10">
        <f>IF(F682&gt;0,H682/F682,"")</f>
        <v/>
      </c>
      <c r="L682" s="16">
        <f>IF(AND(G682&gt;0,H682&gt;0),G682/H682,"")</f>
        <v/>
      </c>
    </row>
    <row r="683">
      <c r="A683" s="4" t="inlineStr">
        <is>
          <t>388</t>
        </is>
      </c>
      <c r="B683" s="4" t="n">
        <v>3</v>
      </c>
      <c r="C683" s="4" t="inlineStr">
        <is>
          <t>elk</t>
        </is>
      </c>
      <c r="D683" s="4" t="n">
        <v>2022</v>
      </c>
      <c r="E683" s="13" t="inlineStr">
        <is>
          <t>General</t>
        </is>
      </c>
      <c r="F683" s="5" t="n">
        <v>201</v>
      </c>
      <c r="G683" s="5" t="n">
        <v>1189</v>
      </c>
      <c r="H683" s="5" t="n">
        <v>38</v>
      </c>
      <c r="I683" s="5" t="n">
        <v>6</v>
      </c>
      <c r="J683" s="5" t="n">
        <v>28</v>
      </c>
      <c r="K683" s="10">
        <f>IF(F683&gt;0,H683/F683,"")</f>
        <v/>
      </c>
      <c r="L683" s="16">
        <f>IF(AND(G683&gt;0,H683&gt;0),G683/H683,"")</f>
        <v/>
      </c>
    </row>
    <row r="684">
      <c r="A684" s="4" t="inlineStr">
        <is>
          <t>388</t>
        </is>
      </c>
      <c r="B684" s="4" t="n">
        <v>3</v>
      </c>
      <c r="C684" s="4" t="inlineStr">
        <is>
          <t>elk</t>
        </is>
      </c>
      <c r="D684" s="4" t="n">
        <v>2023</v>
      </c>
      <c r="E684" s="13" t="inlineStr">
        <is>
          <t>General</t>
        </is>
      </c>
      <c r="F684" s="5" t="n"/>
      <c r="G684" s="5" t="n"/>
      <c r="H684" s="5" t="n">
        <v>28</v>
      </c>
      <c r="I684" s="5" t="n">
        <v>10</v>
      </c>
      <c r="J684" s="5" t="n">
        <v>18</v>
      </c>
      <c r="K684" s="10">
        <f>IF(F684&gt;0,H684/F684,"")</f>
        <v/>
      </c>
      <c r="L684" s="16">
        <f>IF(AND(G684&gt;0,H684&gt;0),G684/H684,"")</f>
        <v/>
      </c>
    </row>
    <row r="685">
      <c r="A685" s="4" t="inlineStr">
        <is>
          <t>388</t>
        </is>
      </c>
      <c r="B685" s="4" t="n">
        <v>3</v>
      </c>
      <c r="C685" s="4" t="inlineStr">
        <is>
          <t>elk</t>
        </is>
      </c>
      <c r="D685" s="4" t="n">
        <v>2024</v>
      </c>
      <c r="E685" s="13" t="inlineStr">
        <is>
          <t>General</t>
        </is>
      </c>
      <c r="F685" s="5" t="n">
        <v>304</v>
      </c>
      <c r="G685" s="5" t="n">
        <v>1882</v>
      </c>
      <c r="H685" s="5" t="n">
        <v>27</v>
      </c>
      <c r="I685" s="5" t="n">
        <v>12</v>
      </c>
      <c r="J685" s="5" t="n">
        <v>15</v>
      </c>
      <c r="K685" s="10">
        <f>IF(F685&gt;0,H685/F685,"")</f>
        <v/>
      </c>
      <c r="L685" s="16">
        <f>IF(AND(G685&gt;0,H685&gt;0),G685/H685,"")</f>
        <v/>
      </c>
    </row>
    <row r="686">
      <c r="A686" s="4" t="inlineStr">
        <is>
          <t>388</t>
        </is>
      </c>
      <c r="B686" s="4" t="n">
        <v>3</v>
      </c>
      <c r="C686" s="4" t="inlineStr">
        <is>
          <t>elk</t>
        </is>
      </c>
      <c r="D686" s="4" t="n">
        <v>2025</v>
      </c>
      <c r="E686" s="13" t="inlineStr">
        <is>
          <t>General</t>
        </is>
      </c>
      <c r="F686" s="5" t="n"/>
      <c r="G686" s="5" t="n"/>
      <c r="H686" s="5" t="n">
        <v>31</v>
      </c>
      <c r="I686" s="5" t="n">
        <v>17</v>
      </c>
      <c r="J686" s="5" t="n">
        <v>15</v>
      </c>
      <c r="K686" s="10">
        <f>IF(F686&gt;0,H686/F686,"")</f>
        <v/>
      </c>
      <c r="L686" s="16">
        <f>IF(AND(G686&gt;0,H686&gt;0),G686/H686,"")</f>
        <v/>
      </c>
    </row>
    <row r="687">
      <c r="A687" s="4" t="inlineStr">
        <is>
          <t>390</t>
        </is>
      </c>
      <c r="B687" s="4" t="n">
        <v>3</v>
      </c>
      <c r="C687" s="4" t="inlineStr">
        <is>
          <t>elk</t>
        </is>
      </c>
      <c r="D687" s="4" t="n">
        <v>2021</v>
      </c>
      <c r="E687" s="13" t="inlineStr">
        <is>
          <t>General</t>
        </is>
      </c>
      <c r="F687" s="5" t="n"/>
      <c r="G687" s="5" t="n"/>
      <c r="H687" s="5" t="n">
        <v>143</v>
      </c>
      <c r="I687" s="5" t="n">
        <v>62</v>
      </c>
      <c r="J687" s="5" t="n">
        <v>77</v>
      </c>
      <c r="K687" s="10">
        <f>IF(F687&gt;0,H687/F687,"")</f>
        <v/>
      </c>
      <c r="L687" s="16">
        <f>IF(AND(G687&gt;0,H687&gt;0),G687/H687,"")</f>
        <v/>
      </c>
    </row>
    <row r="688">
      <c r="A688" s="4" t="inlineStr">
        <is>
          <t>390</t>
        </is>
      </c>
      <c r="B688" s="4" t="n">
        <v>3</v>
      </c>
      <c r="C688" s="4" t="inlineStr">
        <is>
          <t>elk</t>
        </is>
      </c>
      <c r="D688" s="4" t="n">
        <v>2022</v>
      </c>
      <c r="E688" s="13" t="inlineStr">
        <is>
          <t>General</t>
        </is>
      </c>
      <c r="F688" s="5" t="n">
        <v>722</v>
      </c>
      <c r="G688" s="5" t="n">
        <v>4807</v>
      </c>
      <c r="H688" s="5" t="n">
        <v>202</v>
      </c>
      <c r="I688" s="5" t="n">
        <v>100</v>
      </c>
      <c r="J688" s="5" t="n">
        <v>99</v>
      </c>
      <c r="K688" s="10">
        <f>IF(F688&gt;0,H688/F688,"")</f>
        <v/>
      </c>
      <c r="L688" s="16">
        <f>IF(AND(G688&gt;0,H688&gt;0),G688/H688,"")</f>
        <v/>
      </c>
    </row>
    <row r="689">
      <c r="A689" s="4" t="inlineStr">
        <is>
          <t>390</t>
        </is>
      </c>
      <c r="B689" s="4" t="n">
        <v>3</v>
      </c>
      <c r="C689" s="4" t="inlineStr">
        <is>
          <t>elk</t>
        </is>
      </c>
      <c r="D689" s="4" t="n">
        <v>2023</v>
      </c>
      <c r="E689" s="13" t="inlineStr">
        <is>
          <t>General</t>
        </is>
      </c>
      <c r="F689" s="5" t="n"/>
      <c r="G689" s="5" t="n"/>
      <c r="H689" s="5" t="n">
        <v>163</v>
      </c>
      <c r="I689" s="5" t="n">
        <v>68</v>
      </c>
      <c r="J689" s="5" t="n">
        <v>96</v>
      </c>
      <c r="K689" s="10">
        <f>IF(F689&gt;0,H689/F689,"")</f>
        <v/>
      </c>
      <c r="L689" s="16">
        <f>IF(AND(G689&gt;0,H689&gt;0),G689/H689,"")</f>
        <v/>
      </c>
    </row>
    <row r="690">
      <c r="A690" s="4" t="inlineStr">
        <is>
          <t>390</t>
        </is>
      </c>
      <c r="B690" s="4" t="n">
        <v>3</v>
      </c>
      <c r="C690" s="4" t="inlineStr">
        <is>
          <t>elk</t>
        </is>
      </c>
      <c r="D690" s="4" t="n">
        <v>2024</v>
      </c>
      <c r="E690" s="13" t="inlineStr">
        <is>
          <t>General</t>
        </is>
      </c>
      <c r="F690" s="5" t="n">
        <v>790</v>
      </c>
      <c r="G690" s="5" t="n">
        <v>6178</v>
      </c>
      <c r="H690" s="5" t="n">
        <v>214</v>
      </c>
      <c r="I690" s="5" t="n">
        <v>73</v>
      </c>
      <c r="J690" s="5" t="n">
        <v>141</v>
      </c>
      <c r="K690" s="10">
        <f>IF(F690&gt;0,H690/F690,"")</f>
        <v/>
      </c>
      <c r="L690" s="16">
        <f>IF(AND(G690&gt;0,H690&gt;0),G690/H690,"")</f>
        <v/>
      </c>
    </row>
    <row r="691">
      <c r="A691" s="4" t="inlineStr">
        <is>
          <t>390</t>
        </is>
      </c>
      <c r="B691" s="4" t="n">
        <v>3</v>
      </c>
      <c r="C691" s="4" t="inlineStr">
        <is>
          <t>elk</t>
        </is>
      </c>
      <c r="D691" s="4" t="n">
        <v>2025</v>
      </c>
      <c r="E691" s="13" t="inlineStr">
        <is>
          <t>General</t>
        </is>
      </c>
      <c r="F691" s="5" t="n"/>
      <c r="G691" s="5" t="n"/>
      <c r="H691" s="5" t="n">
        <v>162</v>
      </c>
      <c r="I691" s="5" t="n">
        <v>97</v>
      </c>
      <c r="J691" s="5" t="n">
        <v>61</v>
      </c>
      <c r="K691" s="10">
        <f>IF(F691&gt;0,H691/F691,"")</f>
        <v/>
      </c>
      <c r="L691" s="16">
        <f>IF(AND(G691&gt;0,H691&gt;0),G691/H691,"")</f>
        <v/>
      </c>
    </row>
    <row r="692">
      <c r="A692" s="4" t="inlineStr">
        <is>
          <t>391</t>
        </is>
      </c>
      <c r="B692" s="4" t="n">
        <v>3</v>
      </c>
      <c r="C692" s="4" t="inlineStr">
        <is>
          <t>elk</t>
        </is>
      </c>
      <c r="D692" s="4" t="n">
        <v>2021</v>
      </c>
      <c r="E692" s="13" t="inlineStr">
        <is>
          <t>General</t>
        </is>
      </c>
      <c r="F692" s="5" t="n"/>
      <c r="G692" s="5" t="n"/>
      <c r="H692" s="5" t="n">
        <v>405</v>
      </c>
      <c r="I692" s="5" t="n">
        <v>234</v>
      </c>
      <c r="J692" s="5" t="n">
        <v>147</v>
      </c>
      <c r="K692" s="10">
        <f>IF(F692&gt;0,H692/F692,"")</f>
        <v/>
      </c>
      <c r="L692" s="16">
        <f>IF(AND(G692&gt;0,H692&gt;0),G692/H692,"")</f>
        <v/>
      </c>
    </row>
    <row r="693">
      <c r="A693" s="4" t="inlineStr">
        <is>
          <t>391</t>
        </is>
      </c>
      <c r="B693" s="4" t="n">
        <v>3</v>
      </c>
      <c r="C693" s="4" t="inlineStr">
        <is>
          <t>elk</t>
        </is>
      </c>
      <c r="D693" s="4" t="n">
        <v>2022</v>
      </c>
      <c r="E693" s="13" t="inlineStr">
        <is>
          <t>General</t>
        </is>
      </c>
      <c r="F693" s="5" t="n">
        <v>1727</v>
      </c>
      <c r="G693" s="5" t="n">
        <v>13256</v>
      </c>
      <c r="H693" s="5" t="n">
        <v>287</v>
      </c>
      <c r="I693" s="5" t="n">
        <v>154</v>
      </c>
      <c r="J693" s="5" t="n">
        <v>127</v>
      </c>
      <c r="K693" s="10">
        <f>IF(F693&gt;0,H693/F693,"")</f>
        <v/>
      </c>
      <c r="L693" s="16">
        <f>IF(AND(G693&gt;0,H693&gt;0),G693/H693,"")</f>
        <v/>
      </c>
    </row>
    <row r="694">
      <c r="A694" s="4" t="inlineStr">
        <is>
          <t>391</t>
        </is>
      </c>
      <c r="B694" s="4" t="n">
        <v>3</v>
      </c>
      <c r="C694" s="4" t="inlineStr">
        <is>
          <t>elk</t>
        </is>
      </c>
      <c r="D694" s="4" t="n">
        <v>2023</v>
      </c>
      <c r="E694" s="13" t="inlineStr">
        <is>
          <t>General</t>
        </is>
      </c>
      <c r="F694" s="5" t="n"/>
      <c r="G694" s="5" t="n"/>
      <c r="H694" s="5" t="n">
        <v>261</v>
      </c>
      <c r="I694" s="5" t="n">
        <v>189</v>
      </c>
      <c r="J694" s="5" t="n">
        <v>61</v>
      </c>
      <c r="K694" s="10">
        <f>IF(F694&gt;0,H694/F694,"")</f>
        <v/>
      </c>
      <c r="L694" s="16">
        <f>IF(AND(G694&gt;0,H694&gt;0),G694/H694,"")</f>
        <v/>
      </c>
    </row>
    <row r="695">
      <c r="A695" s="4" t="inlineStr">
        <is>
          <t>391</t>
        </is>
      </c>
      <c r="B695" s="4" t="n">
        <v>3</v>
      </c>
      <c r="C695" s="4" t="inlineStr">
        <is>
          <t>elk</t>
        </is>
      </c>
      <c r="D695" s="4" t="n">
        <v>2025</v>
      </c>
      <c r="E695" s="13" t="inlineStr">
        <is>
          <t>General</t>
        </is>
      </c>
      <c r="F695" s="5" t="n"/>
      <c r="G695" s="5" t="n"/>
      <c r="H695" s="5" t="n">
        <v>313</v>
      </c>
      <c r="I695" s="5" t="n">
        <v>189</v>
      </c>
      <c r="J695" s="5" t="n">
        <v>118</v>
      </c>
      <c r="K695" s="10">
        <f>IF(F695&gt;0,H695/F695,"")</f>
        <v/>
      </c>
      <c r="L695" s="16">
        <f>IF(AND(G695&gt;0,H695&gt;0),G695/H695,"")</f>
        <v/>
      </c>
    </row>
    <row r="696">
      <c r="A696" s="4" t="inlineStr">
        <is>
          <t>391N</t>
        </is>
      </c>
      <c r="B696" s="4" t="n">
        <v>3</v>
      </c>
      <c r="C696" s="4" t="inlineStr">
        <is>
          <t>elk</t>
        </is>
      </c>
      <c r="D696" s="4" t="n">
        <v>2024</v>
      </c>
      <c r="E696" s="13" t="inlineStr">
        <is>
          <t>General</t>
        </is>
      </c>
      <c r="F696" s="5" t="n">
        <v>1078</v>
      </c>
      <c r="G696" s="5" t="n">
        <v>8246</v>
      </c>
      <c r="H696" s="5" t="n">
        <v>182</v>
      </c>
      <c r="I696" s="5" t="n">
        <v>75</v>
      </c>
      <c r="J696" s="5" t="n">
        <v>99</v>
      </c>
      <c r="K696" s="10">
        <f>IF(F696&gt;0,H696/F696,"")</f>
        <v/>
      </c>
      <c r="L696" s="16">
        <f>IF(AND(G696&gt;0,H696&gt;0),G696/H696,"")</f>
        <v/>
      </c>
    </row>
    <row r="697">
      <c r="A697" s="4" t="inlineStr">
        <is>
          <t>391S</t>
        </is>
      </c>
      <c r="B697" s="4" t="n">
        <v>3</v>
      </c>
      <c r="C697" s="4" t="inlineStr">
        <is>
          <t>elk</t>
        </is>
      </c>
      <c r="D697" s="4" t="n">
        <v>2024</v>
      </c>
      <c r="E697" s="13" t="inlineStr">
        <is>
          <t>General</t>
        </is>
      </c>
      <c r="F697" s="5" t="n">
        <v>826</v>
      </c>
      <c r="G697" s="5" t="n">
        <v>6632</v>
      </c>
      <c r="H697" s="5" t="n">
        <v>150</v>
      </c>
      <c r="I697" s="5" t="n">
        <v>60</v>
      </c>
      <c r="J697" s="5" t="n">
        <v>86</v>
      </c>
      <c r="K697" s="10">
        <f>IF(F697&gt;0,H697/F697,"")</f>
        <v/>
      </c>
      <c r="L697" s="16">
        <f>IF(AND(G697&gt;0,H697&gt;0),G697/H697,"")</f>
        <v/>
      </c>
    </row>
    <row r="698">
      <c r="A698" s="4" t="inlineStr">
        <is>
          <t>392</t>
        </is>
      </c>
      <c r="B698" s="4" t="n">
        <v>3</v>
      </c>
      <c r="C698" s="4" t="inlineStr">
        <is>
          <t>elk</t>
        </is>
      </c>
      <c r="D698" s="4" t="n">
        <v>2021</v>
      </c>
      <c r="E698" s="13" t="inlineStr">
        <is>
          <t>General</t>
        </is>
      </c>
      <c r="F698" s="5" t="n"/>
      <c r="G698" s="5" t="n"/>
      <c r="H698" s="5" t="n">
        <v>125</v>
      </c>
      <c r="I698" s="5" t="n">
        <v>101</v>
      </c>
      <c r="J698" s="5" t="n">
        <v>24</v>
      </c>
      <c r="K698" s="10">
        <f>IF(F698&gt;0,H698/F698,"")</f>
        <v/>
      </c>
      <c r="L698" s="16">
        <f>IF(AND(G698&gt;0,H698&gt;0),G698/H698,"")</f>
        <v/>
      </c>
    </row>
    <row r="699">
      <c r="A699" s="4" t="inlineStr">
        <is>
          <t>392</t>
        </is>
      </c>
      <c r="B699" s="4" t="n">
        <v>3</v>
      </c>
      <c r="C699" s="4" t="inlineStr">
        <is>
          <t>elk</t>
        </is>
      </c>
      <c r="D699" s="4" t="n">
        <v>2022</v>
      </c>
      <c r="E699" s="13" t="inlineStr">
        <is>
          <t>General</t>
        </is>
      </c>
      <c r="F699" s="5" t="n">
        <v>987</v>
      </c>
      <c r="G699" s="5" t="n">
        <v>7923</v>
      </c>
      <c r="H699" s="5" t="n">
        <v>125</v>
      </c>
      <c r="I699" s="5" t="n">
        <v>79</v>
      </c>
      <c r="J699" s="5" t="n">
        <v>45</v>
      </c>
      <c r="K699" s="10">
        <f>IF(F699&gt;0,H699/F699,"")</f>
        <v/>
      </c>
      <c r="L699" s="16">
        <f>IF(AND(G699&gt;0,H699&gt;0),G699/H699,"")</f>
        <v/>
      </c>
    </row>
    <row r="700">
      <c r="A700" s="4" t="inlineStr">
        <is>
          <t>392</t>
        </is>
      </c>
      <c r="B700" s="4" t="n">
        <v>3</v>
      </c>
      <c r="C700" s="4" t="inlineStr">
        <is>
          <t>elk</t>
        </is>
      </c>
      <c r="D700" s="4" t="n">
        <v>2023</v>
      </c>
      <c r="E700" s="13" t="inlineStr">
        <is>
          <t>General</t>
        </is>
      </c>
      <c r="F700" s="5" t="n"/>
      <c r="G700" s="5" t="n"/>
      <c r="H700" s="5" t="n">
        <v>112</v>
      </c>
      <c r="I700" s="5" t="n">
        <v>94</v>
      </c>
      <c r="J700" s="5" t="n">
        <v>15</v>
      </c>
      <c r="K700" s="10">
        <f>IF(F700&gt;0,H700/F700,"")</f>
        <v/>
      </c>
      <c r="L700" s="16">
        <f>IF(AND(G700&gt;0,H700&gt;0),G700/H700,"")</f>
        <v/>
      </c>
    </row>
    <row r="701">
      <c r="A701" s="4" t="inlineStr">
        <is>
          <t>392</t>
        </is>
      </c>
      <c r="B701" s="4" t="n">
        <v>3</v>
      </c>
      <c r="C701" s="4" t="inlineStr">
        <is>
          <t>elk</t>
        </is>
      </c>
      <c r="D701" s="4" t="n">
        <v>2024</v>
      </c>
      <c r="E701" s="13" t="inlineStr">
        <is>
          <t>General</t>
        </is>
      </c>
      <c r="F701" s="5" t="n">
        <v>1109</v>
      </c>
      <c r="G701" s="5" t="n">
        <v>8538</v>
      </c>
      <c r="H701" s="5" t="n">
        <v>111</v>
      </c>
      <c r="I701" s="5" t="n">
        <v>66</v>
      </c>
      <c r="J701" s="5" t="n">
        <v>42</v>
      </c>
      <c r="K701" s="10">
        <f>IF(F701&gt;0,H701/F701,"")</f>
        <v/>
      </c>
      <c r="L701" s="16">
        <f>IF(AND(G701&gt;0,H701&gt;0),G701/H701,"")</f>
        <v/>
      </c>
    </row>
    <row r="702">
      <c r="A702" s="4" t="inlineStr">
        <is>
          <t>392</t>
        </is>
      </c>
      <c r="B702" s="4" t="n">
        <v>3</v>
      </c>
      <c r="C702" s="4" t="inlineStr">
        <is>
          <t>elk</t>
        </is>
      </c>
      <c r="D702" s="4" t="n">
        <v>2025</v>
      </c>
      <c r="E702" s="13" t="inlineStr">
        <is>
          <t>General</t>
        </is>
      </c>
      <c r="F702" s="5" t="n"/>
      <c r="G702" s="5" t="n"/>
      <c r="H702" s="5" t="n">
        <v>94</v>
      </c>
      <c r="I702" s="5" t="n">
        <v>84</v>
      </c>
      <c r="J702" s="5" t="n">
        <v>10</v>
      </c>
      <c r="K702" s="10">
        <f>IF(F702&gt;0,H702/F702,"")</f>
        <v/>
      </c>
      <c r="L702" s="16">
        <f>IF(AND(G702&gt;0,H702&gt;0),G702/H702,"")</f>
        <v/>
      </c>
    </row>
    <row r="703">
      <c r="A703" s="4" t="inlineStr">
        <is>
          <t>393</t>
        </is>
      </c>
      <c r="B703" s="4" t="n">
        <v>3</v>
      </c>
      <c r="C703" s="4" t="inlineStr">
        <is>
          <t>elk</t>
        </is>
      </c>
      <c r="D703" s="4" t="n">
        <v>2021</v>
      </c>
      <c r="E703" s="13" t="inlineStr">
        <is>
          <t>General</t>
        </is>
      </c>
      <c r="F703" s="5" t="n"/>
      <c r="G703" s="5" t="n"/>
      <c r="H703" s="5" t="n">
        <v>486</v>
      </c>
      <c r="I703" s="5" t="n">
        <v>233</v>
      </c>
      <c r="J703" s="5" t="n">
        <v>250</v>
      </c>
      <c r="K703" s="10">
        <f>IF(F703&gt;0,H703/F703,"")</f>
        <v/>
      </c>
      <c r="L703" s="16">
        <f>IF(AND(G703&gt;0,H703&gt;0),G703/H703,"")</f>
        <v/>
      </c>
    </row>
    <row r="704">
      <c r="A704" s="4" t="inlineStr">
        <is>
          <t>393</t>
        </is>
      </c>
      <c r="B704" s="4" t="n">
        <v>3</v>
      </c>
      <c r="C704" s="4" t="inlineStr">
        <is>
          <t>elk</t>
        </is>
      </c>
      <c r="D704" s="4" t="n">
        <v>2022</v>
      </c>
      <c r="E704" s="13" t="inlineStr">
        <is>
          <t>General</t>
        </is>
      </c>
      <c r="F704" s="5" t="n">
        <v>1861</v>
      </c>
      <c r="G704" s="5" t="n">
        <v>12237</v>
      </c>
      <c r="H704" s="5" t="n">
        <v>636</v>
      </c>
      <c r="I704" s="5" t="n">
        <v>317</v>
      </c>
      <c r="J704" s="5" t="n">
        <v>298</v>
      </c>
      <c r="K704" s="10">
        <f>IF(F704&gt;0,H704/F704,"")</f>
        <v/>
      </c>
      <c r="L704" s="16">
        <f>IF(AND(G704&gt;0,H704&gt;0),G704/H704,"")</f>
        <v/>
      </c>
    </row>
    <row r="705">
      <c r="A705" s="4" t="inlineStr">
        <is>
          <t>393</t>
        </is>
      </c>
      <c r="B705" s="4" t="n">
        <v>3</v>
      </c>
      <c r="C705" s="4" t="inlineStr">
        <is>
          <t>elk</t>
        </is>
      </c>
      <c r="D705" s="4" t="n">
        <v>2023</v>
      </c>
      <c r="E705" s="13" t="inlineStr">
        <is>
          <t>General</t>
        </is>
      </c>
      <c r="F705" s="5" t="n"/>
      <c r="G705" s="5" t="n"/>
      <c r="H705" s="5" t="n">
        <v>542</v>
      </c>
      <c r="I705" s="5" t="n">
        <v>298</v>
      </c>
      <c r="J705" s="5" t="n">
        <v>229</v>
      </c>
      <c r="K705" s="10">
        <f>IF(F705&gt;0,H705/F705,"")</f>
        <v/>
      </c>
      <c r="L705" s="16">
        <f>IF(AND(G705&gt;0,H705&gt;0),G705/H705,"")</f>
        <v/>
      </c>
    </row>
    <row r="706">
      <c r="A706" s="4" t="inlineStr">
        <is>
          <t>393</t>
        </is>
      </c>
      <c r="B706" s="4" t="n">
        <v>3</v>
      </c>
      <c r="C706" s="4" t="inlineStr">
        <is>
          <t>elk</t>
        </is>
      </c>
      <c r="D706" s="4" t="n">
        <v>2024</v>
      </c>
      <c r="E706" s="13" t="inlineStr">
        <is>
          <t>General</t>
        </is>
      </c>
      <c r="F706" s="5" t="n">
        <v>2048</v>
      </c>
      <c r="G706" s="5" t="n">
        <v>14310</v>
      </c>
      <c r="H706" s="5" t="n">
        <v>590</v>
      </c>
      <c r="I706" s="5" t="n">
        <v>237</v>
      </c>
      <c r="J706" s="5" t="n">
        <v>345</v>
      </c>
      <c r="K706" s="10">
        <f>IF(F706&gt;0,H706/F706,"")</f>
        <v/>
      </c>
      <c r="L706" s="16">
        <f>IF(AND(G706&gt;0,H706&gt;0),G706/H706,"")</f>
        <v/>
      </c>
    </row>
    <row r="707">
      <c r="A707" s="4" t="inlineStr">
        <is>
          <t>393</t>
        </is>
      </c>
      <c r="B707" s="4" t="n">
        <v>3</v>
      </c>
      <c r="C707" s="4" t="inlineStr">
        <is>
          <t>elk</t>
        </is>
      </c>
      <c r="D707" s="4" t="n">
        <v>2025</v>
      </c>
      <c r="E707" s="13" t="inlineStr">
        <is>
          <t>General</t>
        </is>
      </c>
      <c r="F707" s="5" t="n"/>
      <c r="G707" s="5" t="n"/>
      <c r="H707" s="5" t="n">
        <v>507</v>
      </c>
      <c r="I707" s="5" t="n">
        <v>270</v>
      </c>
      <c r="J707" s="5" t="n">
        <v>237</v>
      </c>
      <c r="K707" s="10">
        <f>IF(F707&gt;0,H707/F707,"")</f>
        <v/>
      </c>
      <c r="L707" s="16">
        <f>IF(AND(G707&gt;0,H707&gt;0),G707/H707,"")</f>
        <v/>
      </c>
    </row>
    <row r="708">
      <c r="A708" s="4" t="inlineStr">
        <is>
          <t>400</t>
        </is>
      </c>
      <c r="B708" s="4" t="n">
        <v>4</v>
      </c>
      <c r="C708" s="4" t="inlineStr">
        <is>
          <t>elk</t>
        </is>
      </c>
      <c r="D708" s="4" t="n">
        <v>2021</v>
      </c>
      <c r="E708" s="13" t="inlineStr">
        <is>
          <t>General</t>
        </is>
      </c>
      <c r="F708" s="5" t="n"/>
      <c r="G708" s="5" t="n"/>
      <c r="H708" s="5" t="n">
        <v>16</v>
      </c>
      <c r="I708" s="5" t="n">
        <v>12</v>
      </c>
      <c r="J708" s="5" t="n">
        <v>4</v>
      </c>
      <c r="K708" s="10">
        <f>IF(F708&gt;0,H708/F708,"")</f>
        <v/>
      </c>
      <c r="L708" s="16">
        <f>IF(AND(G708&gt;0,H708&gt;0),G708/H708,"")</f>
        <v/>
      </c>
    </row>
    <row r="709">
      <c r="A709" s="4" t="inlineStr">
        <is>
          <t>400</t>
        </is>
      </c>
      <c r="B709" s="4" t="n">
        <v>4</v>
      </c>
      <c r="C709" s="4" t="inlineStr">
        <is>
          <t>elk</t>
        </is>
      </c>
      <c r="D709" s="4" t="n">
        <v>2022</v>
      </c>
      <c r="E709" s="13" t="inlineStr">
        <is>
          <t>General</t>
        </is>
      </c>
      <c r="F709" s="5" t="n">
        <v>129</v>
      </c>
      <c r="G709" s="5" t="n">
        <v>865</v>
      </c>
      <c r="H709" s="5" t="n">
        <v>20</v>
      </c>
      <c r="I709" s="5" t="n">
        <v>7</v>
      </c>
      <c r="J709" s="5" t="n">
        <v>13</v>
      </c>
      <c r="K709" s="10">
        <f>IF(F709&gt;0,H709/F709,"")</f>
        <v/>
      </c>
      <c r="L709" s="16">
        <f>IF(AND(G709&gt;0,H709&gt;0),G709/H709,"")</f>
        <v/>
      </c>
    </row>
    <row r="710">
      <c r="A710" s="4" t="inlineStr">
        <is>
          <t>400</t>
        </is>
      </c>
      <c r="B710" s="4" t="n">
        <v>4</v>
      </c>
      <c r="C710" s="4" t="inlineStr">
        <is>
          <t>elk</t>
        </is>
      </c>
      <c r="D710" s="4" t="n">
        <v>2023</v>
      </c>
      <c r="E710" s="13" t="inlineStr">
        <is>
          <t>General</t>
        </is>
      </c>
      <c r="F710" s="5" t="n"/>
      <c r="G710" s="5" t="n"/>
      <c r="H710" s="5" t="n">
        <v>33</v>
      </c>
      <c r="I710" s="5" t="n">
        <v>12</v>
      </c>
      <c r="J710" s="5" t="n">
        <v>18</v>
      </c>
      <c r="K710" s="10">
        <f>IF(F710&gt;0,H710/F710,"")</f>
        <v/>
      </c>
      <c r="L710" s="16">
        <f>IF(AND(G710&gt;0,H710&gt;0),G710/H710,"")</f>
        <v/>
      </c>
    </row>
    <row r="711">
      <c r="A711" s="4" t="inlineStr">
        <is>
          <t>400</t>
        </is>
      </c>
      <c r="B711" s="4" t="n">
        <v>4</v>
      </c>
      <c r="C711" s="4" t="inlineStr">
        <is>
          <t>elk</t>
        </is>
      </c>
      <c r="D711" s="4" t="n">
        <v>2024</v>
      </c>
      <c r="E711" s="13" t="inlineStr">
        <is>
          <t>General</t>
        </is>
      </c>
      <c r="F711" s="5" t="n">
        <v>202</v>
      </c>
      <c r="G711" s="5" t="n">
        <v>1332</v>
      </c>
      <c r="H711" s="5" t="n">
        <v>29</v>
      </c>
      <c r="I711" s="5" t="n">
        <v>6</v>
      </c>
      <c r="J711" s="5" t="n">
        <v>23</v>
      </c>
      <c r="K711" s="10">
        <f>IF(F711&gt;0,H711/F711,"")</f>
        <v/>
      </c>
      <c r="L711" s="16">
        <f>IF(AND(G711&gt;0,H711&gt;0),G711/H711,"")</f>
        <v/>
      </c>
    </row>
    <row r="712">
      <c r="A712" s="4" t="inlineStr">
        <is>
          <t>400</t>
        </is>
      </c>
      <c r="B712" s="4" t="n">
        <v>4</v>
      </c>
      <c r="C712" s="4" t="inlineStr">
        <is>
          <t>elk</t>
        </is>
      </c>
      <c r="D712" s="4" t="n">
        <v>2025</v>
      </c>
      <c r="E712" s="13" t="inlineStr">
        <is>
          <t>General</t>
        </is>
      </c>
      <c r="F712" s="5" t="n"/>
      <c r="G712" s="5" t="n"/>
      <c r="H712" s="5" t="n">
        <v>27</v>
      </c>
      <c r="I712" s="5" t="n">
        <v>4</v>
      </c>
      <c r="J712" s="5" t="n">
        <v>23</v>
      </c>
      <c r="K712" s="10">
        <f>IF(F712&gt;0,H712/F712,"")</f>
        <v/>
      </c>
      <c r="L712" s="16">
        <f>IF(AND(G712&gt;0,H712&gt;0),G712/H712,"")</f>
        <v/>
      </c>
    </row>
    <row r="713">
      <c r="A713" s="4" t="inlineStr">
        <is>
          <t>401</t>
        </is>
      </c>
      <c r="B713" s="4" t="n">
        <v>4</v>
      </c>
      <c r="C713" s="4" t="inlineStr">
        <is>
          <t>elk</t>
        </is>
      </c>
      <c r="D713" s="4" t="n">
        <v>2021</v>
      </c>
      <c r="E713" s="13" t="inlineStr">
        <is>
          <t>General</t>
        </is>
      </c>
      <c r="F713" s="5" t="n"/>
      <c r="G713" s="5" t="n"/>
      <c r="H713" s="5" t="n">
        <v>42</v>
      </c>
      <c r="I713" s="5" t="n">
        <v>20</v>
      </c>
      <c r="J713" s="5" t="n">
        <v>22</v>
      </c>
      <c r="K713" s="10">
        <f>IF(F713&gt;0,H713/F713,"")</f>
        <v/>
      </c>
      <c r="L713" s="16">
        <f>IF(AND(G713&gt;0,H713&gt;0),G713/H713,"")</f>
        <v/>
      </c>
    </row>
    <row r="714">
      <c r="A714" s="4" t="inlineStr">
        <is>
          <t>401</t>
        </is>
      </c>
      <c r="B714" s="4" t="n">
        <v>4</v>
      </c>
      <c r="C714" s="4" t="inlineStr">
        <is>
          <t>elk</t>
        </is>
      </c>
      <c r="D714" s="4" t="n">
        <v>2022</v>
      </c>
      <c r="E714" s="13" t="inlineStr">
        <is>
          <t>General</t>
        </is>
      </c>
      <c r="F714" s="5" t="n">
        <v>414</v>
      </c>
      <c r="G714" s="5" t="n">
        <v>2734</v>
      </c>
      <c r="H714" s="5" t="n">
        <v>98</v>
      </c>
      <c r="I714" s="5" t="n">
        <v>41</v>
      </c>
      <c r="J714" s="5" t="n">
        <v>54</v>
      </c>
      <c r="K714" s="10">
        <f>IF(F714&gt;0,H714/F714,"")</f>
        <v/>
      </c>
      <c r="L714" s="16">
        <f>IF(AND(G714&gt;0,H714&gt;0),G714/H714,"")</f>
        <v/>
      </c>
    </row>
    <row r="715">
      <c r="A715" s="4" t="inlineStr">
        <is>
          <t>401</t>
        </is>
      </c>
      <c r="B715" s="4" t="n">
        <v>4</v>
      </c>
      <c r="C715" s="4" t="inlineStr">
        <is>
          <t>elk</t>
        </is>
      </c>
      <c r="D715" s="4" t="n">
        <v>2023</v>
      </c>
      <c r="E715" s="13" t="inlineStr">
        <is>
          <t>General</t>
        </is>
      </c>
      <c r="F715" s="5" t="n"/>
      <c r="G715" s="5" t="n"/>
      <c r="H715" s="5" t="n">
        <v>104</v>
      </c>
      <c r="I715" s="5" t="n">
        <v>37</v>
      </c>
      <c r="J715" s="5" t="n">
        <v>67</v>
      </c>
      <c r="K715" s="10">
        <f>IF(F715&gt;0,H715/F715,"")</f>
        <v/>
      </c>
      <c r="L715" s="16">
        <f>IF(AND(G715&gt;0,H715&gt;0),G715/H715,"")</f>
        <v/>
      </c>
    </row>
    <row r="716">
      <c r="A716" s="4" t="inlineStr">
        <is>
          <t>401</t>
        </is>
      </c>
      <c r="B716" s="4" t="n">
        <v>4</v>
      </c>
      <c r="C716" s="4" t="inlineStr">
        <is>
          <t>elk</t>
        </is>
      </c>
      <c r="D716" s="4" t="n">
        <v>2024</v>
      </c>
      <c r="E716" s="13" t="inlineStr">
        <is>
          <t>General</t>
        </is>
      </c>
      <c r="F716" s="5" t="n">
        <v>405</v>
      </c>
      <c r="G716" s="5" t="n">
        <v>2461</v>
      </c>
      <c r="H716" s="5" t="n">
        <v>125</v>
      </c>
      <c r="I716" s="5" t="n">
        <v>65</v>
      </c>
      <c r="J716" s="5" t="n">
        <v>60</v>
      </c>
      <c r="K716" s="10">
        <f>IF(F716&gt;0,H716/F716,"")</f>
        <v/>
      </c>
      <c r="L716" s="16">
        <f>IF(AND(G716&gt;0,H716&gt;0),G716/H716,"")</f>
        <v/>
      </c>
    </row>
    <row r="717">
      <c r="A717" s="4" t="inlineStr">
        <is>
          <t>401</t>
        </is>
      </c>
      <c r="B717" s="4" t="n">
        <v>4</v>
      </c>
      <c r="C717" s="4" t="inlineStr">
        <is>
          <t>elk</t>
        </is>
      </c>
      <c r="D717" s="4" t="n">
        <v>2025</v>
      </c>
      <c r="E717" s="13" t="inlineStr">
        <is>
          <t>General</t>
        </is>
      </c>
      <c r="F717" s="5" t="n"/>
      <c r="G717" s="5" t="n"/>
      <c r="H717" s="5" t="n">
        <v>106</v>
      </c>
      <c r="I717" s="5" t="n">
        <v>34</v>
      </c>
      <c r="J717" s="5" t="n">
        <v>68</v>
      </c>
      <c r="K717" s="10">
        <f>IF(F717&gt;0,H717/F717,"")</f>
        <v/>
      </c>
      <c r="L717" s="16">
        <f>IF(AND(G717&gt;0,H717&gt;0),G717/H717,"")</f>
        <v/>
      </c>
    </row>
    <row r="718">
      <c r="A718" s="4" t="inlineStr">
        <is>
          <t>403</t>
        </is>
      </c>
      <c r="B718" s="4" t="n">
        <v>4</v>
      </c>
      <c r="C718" s="4" t="inlineStr">
        <is>
          <t>elk</t>
        </is>
      </c>
      <c r="D718" s="4" t="n">
        <v>2021</v>
      </c>
      <c r="E718" s="13" t="inlineStr">
        <is>
          <t>General</t>
        </is>
      </c>
      <c r="F718" s="5" t="n"/>
      <c r="G718" s="5" t="n"/>
      <c r="H718" s="5" t="n">
        <v>3</v>
      </c>
      <c r="I718" s="5" t="n">
        <v>0</v>
      </c>
      <c r="J718" s="5" t="n">
        <v>3</v>
      </c>
      <c r="K718" s="10">
        <f>IF(F718&gt;0,H718/F718,"")</f>
        <v/>
      </c>
      <c r="L718" s="16">
        <f>IF(AND(G718&gt;0,H718&gt;0),G718/H718,"")</f>
        <v/>
      </c>
    </row>
    <row r="719">
      <c r="A719" s="4" t="inlineStr">
        <is>
          <t>403</t>
        </is>
      </c>
      <c r="B719" s="4" t="n">
        <v>4</v>
      </c>
      <c r="C719" s="4" t="inlineStr">
        <is>
          <t>elk</t>
        </is>
      </c>
      <c r="D719" s="4" t="n">
        <v>2022</v>
      </c>
      <c r="E719" s="13" t="inlineStr">
        <is>
          <t>General</t>
        </is>
      </c>
      <c r="F719" s="5" t="n">
        <v>46</v>
      </c>
      <c r="G719" s="5" t="n">
        <v>139</v>
      </c>
      <c r="H719" s="5" t="n">
        <v>6</v>
      </c>
      <c r="I719" s="5" t="n">
        <v>3</v>
      </c>
      <c r="J719" s="5" t="n">
        <v>3</v>
      </c>
      <c r="K719" s="10">
        <f>IF(F719&gt;0,H719/F719,"")</f>
        <v/>
      </c>
      <c r="L719" s="16">
        <f>IF(AND(G719&gt;0,H719&gt;0),G719/H719,"")</f>
        <v/>
      </c>
    </row>
    <row r="720">
      <c r="A720" s="4" t="inlineStr">
        <is>
          <t>403</t>
        </is>
      </c>
      <c r="B720" s="4" t="n">
        <v>4</v>
      </c>
      <c r="C720" s="4" t="inlineStr">
        <is>
          <t>elk</t>
        </is>
      </c>
      <c r="D720" s="4" t="n">
        <v>2023</v>
      </c>
      <c r="E720" s="13" t="inlineStr">
        <is>
          <t>General</t>
        </is>
      </c>
      <c r="F720" s="5" t="n"/>
      <c r="G720" s="5" t="n"/>
      <c r="H720" s="5" t="n">
        <v>3</v>
      </c>
      <c r="I720" s="5" t="n">
        <v>3</v>
      </c>
      <c r="J720" s="5" t="n">
        <v>0</v>
      </c>
      <c r="K720" s="10">
        <f>IF(F720&gt;0,H720/F720,"")</f>
        <v/>
      </c>
      <c r="L720" s="16">
        <f>IF(AND(G720&gt;0,H720&gt;0),G720/H720,"")</f>
        <v/>
      </c>
    </row>
    <row r="721">
      <c r="A721" s="4" t="inlineStr">
        <is>
          <t>403</t>
        </is>
      </c>
      <c r="B721" s="4" t="n">
        <v>4</v>
      </c>
      <c r="C721" s="4" t="inlineStr">
        <is>
          <t>elk</t>
        </is>
      </c>
      <c r="D721" s="4" t="n">
        <v>2024</v>
      </c>
      <c r="E721" s="13" t="inlineStr">
        <is>
          <t>General</t>
        </is>
      </c>
      <c r="F721" s="5" t="n">
        <v>54</v>
      </c>
      <c r="G721" s="5" t="n">
        <v>278</v>
      </c>
      <c r="H721" s="5" t="n">
        <v>6</v>
      </c>
      <c r="I721" s="5" t="n">
        <v>0</v>
      </c>
      <c r="J721" s="5" t="n">
        <v>6</v>
      </c>
      <c r="K721" s="10">
        <f>IF(F721&gt;0,H721/F721,"")</f>
        <v/>
      </c>
      <c r="L721" s="16">
        <f>IF(AND(G721&gt;0,H721&gt;0),G721/H721,"")</f>
        <v/>
      </c>
    </row>
    <row r="722">
      <c r="A722" s="4" t="inlineStr">
        <is>
          <t>403</t>
        </is>
      </c>
      <c r="B722" s="4" t="n">
        <v>4</v>
      </c>
      <c r="C722" s="4" t="inlineStr">
        <is>
          <t>elk</t>
        </is>
      </c>
      <c r="D722" s="4" t="n">
        <v>2025</v>
      </c>
      <c r="E722" s="13" t="inlineStr">
        <is>
          <t>General</t>
        </is>
      </c>
      <c r="F722" s="5" t="n"/>
      <c r="G722" s="5" t="n"/>
      <c r="H722" s="5" t="n">
        <v>10</v>
      </c>
      <c r="I722" s="5" t="n">
        <v>10</v>
      </c>
      <c r="J722" s="5" t="n">
        <v>0</v>
      </c>
      <c r="K722" s="10">
        <f>IF(F722&gt;0,H722/F722,"")</f>
        <v/>
      </c>
      <c r="L722" s="16">
        <f>IF(AND(G722&gt;0,H722&gt;0),G722/H722,"")</f>
        <v/>
      </c>
    </row>
    <row r="723">
      <c r="A723" s="4" t="inlineStr">
        <is>
          <t>404</t>
        </is>
      </c>
      <c r="B723" s="4" t="n">
        <v>4</v>
      </c>
      <c r="C723" s="4" t="inlineStr">
        <is>
          <t>elk</t>
        </is>
      </c>
      <c r="D723" s="4" t="n">
        <v>2021</v>
      </c>
      <c r="E723" s="13" t="inlineStr">
        <is>
          <t>General</t>
        </is>
      </c>
      <c r="F723" s="5" t="n"/>
      <c r="G723" s="5" t="n"/>
      <c r="H723" s="5" t="n">
        <v>12</v>
      </c>
      <c r="I723" s="5" t="n">
        <v>8</v>
      </c>
      <c r="J723" s="5" t="n">
        <v>0</v>
      </c>
      <c r="K723" s="10">
        <f>IF(F723&gt;0,H723/F723,"")</f>
        <v/>
      </c>
      <c r="L723" s="16">
        <f>IF(AND(G723&gt;0,H723&gt;0),G723/H723,"")</f>
        <v/>
      </c>
    </row>
    <row r="724">
      <c r="A724" s="4" t="inlineStr">
        <is>
          <t>404</t>
        </is>
      </c>
      <c r="B724" s="4" t="n">
        <v>4</v>
      </c>
      <c r="C724" s="4" t="inlineStr">
        <is>
          <t>elk</t>
        </is>
      </c>
      <c r="D724" s="4" t="n">
        <v>2022</v>
      </c>
      <c r="E724" s="13" t="inlineStr">
        <is>
          <t>General</t>
        </is>
      </c>
      <c r="F724" s="5" t="n">
        <v>139</v>
      </c>
      <c r="G724" s="5" t="n">
        <v>747</v>
      </c>
      <c r="H724" s="5" t="n">
        <v>15</v>
      </c>
      <c r="I724" s="5" t="n">
        <v>6</v>
      </c>
      <c r="J724" s="5" t="n">
        <v>9</v>
      </c>
      <c r="K724" s="10">
        <f>IF(F724&gt;0,H724/F724,"")</f>
        <v/>
      </c>
      <c r="L724" s="16">
        <f>IF(AND(G724&gt;0,H724&gt;0),G724/H724,"")</f>
        <v/>
      </c>
    </row>
    <row r="725">
      <c r="A725" s="4" t="inlineStr">
        <is>
          <t>404</t>
        </is>
      </c>
      <c r="B725" s="4" t="n">
        <v>4</v>
      </c>
      <c r="C725" s="4" t="inlineStr">
        <is>
          <t>elk</t>
        </is>
      </c>
      <c r="D725" s="4" t="n">
        <v>2023</v>
      </c>
      <c r="E725" s="13" t="inlineStr">
        <is>
          <t>General</t>
        </is>
      </c>
      <c r="F725" s="5" t="n"/>
      <c r="G725" s="5" t="n"/>
      <c r="H725" s="5" t="n">
        <v>15</v>
      </c>
      <c r="I725" s="5" t="n">
        <v>5</v>
      </c>
      <c r="J725" s="5" t="n">
        <v>9</v>
      </c>
      <c r="K725" s="10">
        <f>IF(F725&gt;0,H725/F725,"")</f>
        <v/>
      </c>
      <c r="L725" s="16">
        <f>IF(AND(G725&gt;0,H725&gt;0),G725/H725,"")</f>
        <v/>
      </c>
    </row>
    <row r="726">
      <c r="A726" s="4" t="inlineStr">
        <is>
          <t>404</t>
        </is>
      </c>
      <c r="B726" s="4" t="n">
        <v>4</v>
      </c>
      <c r="C726" s="4" t="inlineStr">
        <is>
          <t>elk</t>
        </is>
      </c>
      <c r="D726" s="4" t="n">
        <v>2024</v>
      </c>
      <c r="E726" s="13" t="inlineStr">
        <is>
          <t>General</t>
        </is>
      </c>
      <c r="F726" s="5" t="n">
        <v>134</v>
      </c>
      <c r="G726" s="5" t="n">
        <v>713</v>
      </c>
      <c r="H726" s="5" t="n">
        <v>17</v>
      </c>
      <c r="I726" s="5" t="n">
        <v>6</v>
      </c>
      <c r="J726" s="5" t="n">
        <v>11</v>
      </c>
      <c r="K726" s="10">
        <f>IF(F726&gt;0,H726/F726,"")</f>
        <v/>
      </c>
      <c r="L726" s="16">
        <f>IF(AND(G726&gt;0,H726&gt;0),G726/H726,"")</f>
        <v/>
      </c>
    </row>
    <row r="727">
      <c r="A727" s="4" t="inlineStr">
        <is>
          <t>404</t>
        </is>
      </c>
      <c r="B727" s="4" t="n">
        <v>4</v>
      </c>
      <c r="C727" s="4" t="inlineStr">
        <is>
          <t>elk</t>
        </is>
      </c>
      <c r="D727" s="4" t="n">
        <v>2025</v>
      </c>
      <c r="E727" s="13" t="inlineStr">
        <is>
          <t>General</t>
        </is>
      </c>
      <c r="F727" s="5" t="n"/>
      <c r="G727" s="5" t="n"/>
      <c r="H727" s="5" t="n">
        <v>3</v>
      </c>
      <c r="I727" s="5" t="n">
        <v>0</v>
      </c>
      <c r="J727" s="5" t="n">
        <v>3</v>
      </c>
      <c r="K727" s="10">
        <f>IF(F727&gt;0,H727/F727,"")</f>
        <v/>
      </c>
      <c r="L727" s="16">
        <f>IF(AND(G727&gt;0,H727&gt;0),G727/H727,"")</f>
        <v/>
      </c>
    </row>
    <row r="728">
      <c r="A728" s="4" t="inlineStr">
        <is>
          <t>405</t>
        </is>
      </c>
      <c r="B728" s="4" t="n">
        <v>4</v>
      </c>
      <c r="C728" s="4" t="inlineStr">
        <is>
          <t>elk</t>
        </is>
      </c>
      <c r="D728" s="4" t="n">
        <v>2021</v>
      </c>
      <c r="E728" s="13" t="inlineStr">
        <is>
          <t>General</t>
        </is>
      </c>
      <c r="F728" s="5" t="n"/>
      <c r="G728" s="5" t="n"/>
      <c r="H728" s="5" t="n">
        <v>8</v>
      </c>
      <c r="I728" s="5" t="n">
        <v>4</v>
      </c>
      <c r="J728" s="5" t="n">
        <v>4</v>
      </c>
      <c r="K728" s="10">
        <f>IF(F728&gt;0,H728/F728,"")</f>
        <v/>
      </c>
      <c r="L728" s="16">
        <f>IF(AND(G728&gt;0,H728&gt;0),G728/H728,"")</f>
        <v/>
      </c>
    </row>
    <row r="729">
      <c r="A729" s="4" t="inlineStr">
        <is>
          <t>405</t>
        </is>
      </c>
      <c r="B729" s="4" t="n">
        <v>4</v>
      </c>
      <c r="C729" s="4" t="inlineStr">
        <is>
          <t>elk</t>
        </is>
      </c>
      <c r="D729" s="4" t="n">
        <v>2022</v>
      </c>
      <c r="E729" s="13" t="inlineStr">
        <is>
          <t>General</t>
        </is>
      </c>
      <c r="F729" s="5" t="n">
        <v>53</v>
      </c>
      <c r="G729" s="5" t="n">
        <v>271</v>
      </c>
      <c r="H729" s="5" t="n">
        <v>15</v>
      </c>
      <c r="I729" s="5" t="n">
        <v>2</v>
      </c>
      <c r="J729" s="5" t="n">
        <v>13</v>
      </c>
      <c r="K729" s="10">
        <f>IF(F729&gt;0,H729/F729,"")</f>
        <v/>
      </c>
      <c r="L729" s="16">
        <f>IF(AND(G729&gt;0,H729&gt;0),G729/H729,"")</f>
        <v/>
      </c>
    </row>
    <row r="730">
      <c r="A730" s="4" t="inlineStr">
        <is>
          <t>405</t>
        </is>
      </c>
      <c r="B730" s="4" t="n">
        <v>4</v>
      </c>
      <c r="C730" s="4" t="inlineStr">
        <is>
          <t>elk</t>
        </is>
      </c>
      <c r="D730" s="4" t="n">
        <v>2023</v>
      </c>
      <c r="E730" s="13" t="inlineStr">
        <is>
          <t>General</t>
        </is>
      </c>
      <c r="F730" s="5" t="n"/>
      <c r="G730" s="5" t="n"/>
      <c r="H730" s="5" t="n">
        <v>11</v>
      </c>
      <c r="I730" s="5" t="n">
        <v>8</v>
      </c>
      <c r="J730" s="5" t="n">
        <v>3</v>
      </c>
      <c r="K730" s="10">
        <f>IF(F730&gt;0,H730/F730,"")</f>
        <v/>
      </c>
      <c r="L730" s="16">
        <f>IF(AND(G730&gt;0,H730&gt;0),G730/H730,"")</f>
        <v/>
      </c>
    </row>
    <row r="731">
      <c r="A731" s="4" t="inlineStr">
        <is>
          <t>405</t>
        </is>
      </c>
      <c r="B731" s="4" t="n">
        <v>4</v>
      </c>
      <c r="C731" s="4" t="inlineStr">
        <is>
          <t>elk</t>
        </is>
      </c>
      <c r="D731" s="4" t="n">
        <v>2024</v>
      </c>
      <c r="E731" s="13" t="inlineStr">
        <is>
          <t>General</t>
        </is>
      </c>
      <c r="F731" s="5" t="n">
        <v>101</v>
      </c>
      <c r="G731" s="5" t="n">
        <v>540</v>
      </c>
      <c r="H731" s="5" t="n">
        <v>14</v>
      </c>
      <c r="I731" s="5" t="n">
        <v>3</v>
      </c>
      <c r="J731" s="5" t="n">
        <v>9</v>
      </c>
      <c r="K731" s="10">
        <f>IF(F731&gt;0,H731/F731,"")</f>
        <v/>
      </c>
      <c r="L731" s="16">
        <f>IF(AND(G731&gt;0,H731&gt;0),G731/H731,"")</f>
        <v/>
      </c>
    </row>
    <row r="732">
      <c r="A732" s="4" t="inlineStr">
        <is>
          <t>405</t>
        </is>
      </c>
      <c r="B732" s="4" t="n">
        <v>4</v>
      </c>
      <c r="C732" s="4" t="inlineStr">
        <is>
          <t>elk</t>
        </is>
      </c>
      <c r="D732" s="4" t="n">
        <v>2025</v>
      </c>
      <c r="E732" s="13" t="inlineStr">
        <is>
          <t>General</t>
        </is>
      </c>
      <c r="F732" s="5" t="n"/>
      <c r="G732" s="5" t="n"/>
      <c r="H732" s="5" t="n">
        <v>18</v>
      </c>
      <c r="I732" s="5" t="n">
        <v>4</v>
      </c>
      <c r="J732" s="5" t="n">
        <v>14</v>
      </c>
      <c r="K732" s="10">
        <f>IF(F732&gt;0,H732/F732,"")</f>
        <v/>
      </c>
      <c r="L732" s="16">
        <f>IF(AND(G732&gt;0,H732&gt;0),G732/H732,"")</f>
        <v/>
      </c>
    </row>
    <row r="733">
      <c r="A733" s="4" t="inlineStr">
        <is>
          <t>406</t>
        </is>
      </c>
      <c r="B733" s="4" t="n">
        <v>4</v>
      </c>
      <c r="C733" s="4" t="inlineStr">
        <is>
          <t>elk</t>
        </is>
      </c>
      <c r="D733" s="4" t="n">
        <v>2021</v>
      </c>
      <c r="E733" s="13" t="inlineStr">
        <is>
          <t>General</t>
        </is>
      </c>
      <c r="F733" s="5" t="n"/>
      <c r="G733" s="5" t="n"/>
      <c r="H733" s="5" t="n">
        <v>3</v>
      </c>
      <c r="I733" s="5" t="n">
        <v>3</v>
      </c>
      <c r="J733" s="5" t="n">
        <v>0</v>
      </c>
      <c r="K733" s="10">
        <f>IF(F733&gt;0,H733/F733,"")</f>
        <v/>
      </c>
      <c r="L733" s="16">
        <f>IF(AND(G733&gt;0,H733&gt;0),G733/H733,"")</f>
        <v/>
      </c>
    </row>
    <row r="734">
      <c r="A734" s="4" t="inlineStr">
        <is>
          <t>406</t>
        </is>
      </c>
      <c r="B734" s="4" t="n">
        <v>4</v>
      </c>
      <c r="C734" s="4" t="inlineStr">
        <is>
          <t>elk</t>
        </is>
      </c>
      <c r="D734" s="4" t="n">
        <v>2022</v>
      </c>
      <c r="E734" s="13" t="inlineStr">
        <is>
          <t>General</t>
        </is>
      </c>
      <c r="F734" s="5" t="n">
        <v>62</v>
      </c>
      <c r="G734" s="5" t="n">
        <v>281</v>
      </c>
      <c r="H734" s="5" t="n">
        <v>6</v>
      </c>
      <c r="I734" s="5" t="n">
        <v>6</v>
      </c>
      <c r="J734" s="5" t="n">
        <v>0</v>
      </c>
      <c r="K734" s="10">
        <f>IF(F734&gt;0,H734/F734,"")</f>
        <v/>
      </c>
      <c r="L734" s="16">
        <f>IF(AND(G734&gt;0,H734&gt;0),G734/H734,"")</f>
        <v/>
      </c>
    </row>
    <row r="735">
      <c r="A735" s="4" t="inlineStr">
        <is>
          <t>406</t>
        </is>
      </c>
      <c r="B735" s="4" t="n">
        <v>4</v>
      </c>
      <c r="C735" s="4" t="inlineStr">
        <is>
          <t>elk</t>
        </is>
      </c>
      <c r="D735" s="4" t="n">
        <v>2023</v>
      </c>
      <c r="E735" s="13" t="inlineStr">
        <is>
          <t>General</t>
        </is>
      </c>
      <c r="F735" s="5" t="n"/>
      <c r="G735" s="5" t="n"/>
      <c r="H735" s="5" t="n">
        <v>6</v>
      </c>
      <c r="I735" s="5" t="n">
        <v>3</v>
      </c>
      <c r="J735" s="5" t="n">
        <v>3</v>
      </c>
      <c r="K735" s="10">
        <f>IF(F735&gt;0,H735/F735,"")</f>
        <v/>
      </c>
      <c r="L735" s="16">
        <f>IF(AND(G735&gt;0,H735&gt;0),G735/H735,"")</f>
        <v/>
      </c>
    </row>
    <row r="736">
      <c r="A736" s="4" t="inlineStr">
        <is>
          <t>406</t>
        </is>
      </c>
      <c r="B736" s="4" t="n">
        <v>4</v>
      </c>
      <c r="C736" s="4" t="inlineStr">
        <is>
          <t>elk</t>
        </is>
      </c>
      <c r="D736" s="4" t="n">
        <v>2024</v>
      </c>
      <c r="E736" s="13" t="inlineStr">
        <is>
          <t>General</t>
        </is>
      </c>
      <c r="F736" s="5" t="n">
        <v>78</v>
      </c>
      <c r="G736" s="5" t="n">
        <v>405</v>
      </c>
      <c r="H736" s="5" t="n">
        <v>11</v>
      </c>
      <c r="I736" s="5" t="n">
        <v>6</v>
      </c>
      <c r="J736" s="5" t="n">
        <v>6</v>
      </c>
      <c r="K736" s="10">
        <f>IF(F736&gt;0,H736/F736,"")</f>
        <v/>
      </c>
      <c r="L736" s="16">
        <f>IF(AND(G736&gt;0,H736&gt;0),G736/H736,"")</f>
        <v/>
      </c>
    </row>
    <row r="737">
      <c r="A737" s="4" t="inlineStr">
        <is>
          <t>406</t>
        </is>
      </c>
      <c r="B737" s="4" t="n">
        <v>4</v>
      </c>
      <c r="C737" s="4" t="inlineStr">
        <is>
          <t>elk</t>
        </is>
      </c>
      <c r="D737" s="4" t="n">
        <v>2025</v>
      </c>
      <c r="E737" s="13" t="inlineStr">
        <is>
          <t>General</t>
        </is>
      </c>
      <c r="F737" s="5" t="n"/>
      <c r="G737" s="5" t="n"/>
      <c r="H737" s="5" t="n">
        <v>7</v>
      </c>
      <c r="I737" s="5" t="n">
        <v>3</v>
      </c>
      <c r="J737" s="5" t="n">
        <v>4</v>
      </c>
      <c r="K737" s="10">
        <f>IF(F737&gt;0,H737/F737,"")</f>
        <v/>
      </c>
      <c r="L737" s="16">
        <f>IF(AND(G737&gt;0,H737&gt;0),G737/H737,"")</f>
        <v/>
      </c>
    </row>
    <row r="738">
      <c r="A738" s="4" t="inlineStr">
        <is>
          <t>410</t>
        </is>
      </c>
      <c r="B738" s="4" t="n">
        <v>4</v>
      </c>
      <c r="C738" s="4" t="inlineStr">
        <is>
          <t>elk</t>
        </is>
      </c>
      <c r="D738" s="4" t="n">
        <v>2021</v>
      </c>
      <c r="E738" s="15" t="inlineStr">
        <is>
          <t>Draw</t>
        </is>
      </c>
      <c r="F738" s="5" t="n"/>
      <c r="G738" s="5" t="n"/>
      <c r="H738" s="5" t="n">
        <v>723</v>
      </c>
      <c r="I738" s="5" t="n">
        <v>326</v>
      </c>
      <c r="J738" s="5" t="n">
        <v>387</v>
      </c>
      <c r="K738" s="10">
        <f>IF(F738&gt;0,H738/F738,"")</f>
        <v/>
      </c>
      <c r="L738" s="16">
        <f>IF(AND(G738&gt;0,H738&gt;0),G738/H738,"")</f>
        <v/>
      </c>
    </row>
    <row r="739">
      <c r="A739" s="4" t="inlineStr">
        <is>
          <t>410</t>
        </is>
      </c>
      <c r="B739" s="4" t="n">
        <v>4</v>
      </c>
      <c r="C739" s="4" t="inlineStr">
        <is>
          <t>elk</t>
        </is>
      </c>
      <c r="D739" s="4" t="n">
        <v>2022</v>
      </c>
      <c r="E739" s="15" t="inlineStr">
        <is>
          <t>Draw</t>
        </is>
      </c>
      <c r="F739" s="5" t="n">
        <v>1871</v>
      </c>
      <c r="G739" s="5" t="n">
        <v>15743</v>
      </c>
      <c r="H739" s="5" t="n">
        <v>452</v>
      </c>
      <c r="I739" s="5" t="n">
        <v>213</v>
      </c>
      <c r="J739" s="5" t="n">
        <v>236</v>
      </c>
      <c r="K739" s="10">
        <f>IF(F739&gt;0,H739/F739,"")</f>
        <v/>
      </c>
      <c r="L739" s="16">
        <f>IF(AND(G739&gt;0,H739&gt;0),G739/H739,"")</f>
        <v/>
      </c>
    </row>
    <row r="740">
      <c r="A740" s="4" t="inlineStr">
        <is>
          <t>410</t>
        </is>
      </c>
      <c r="B740" s="4" t="n">
        <v>4</v>
      </c>
      <c r="C740" s="4" t="inlineStr">
        <is>
          <t>elk</t>
        </is>
      </c>
      <c r="D740" s="4" t="n">
        <v>2023</v>
      </c>
      <c r="E740" s="15" t="inlineStr">
        <is>
          <t>Draw</t>
        </is>
      </c>
      <c r="F740" s="5" t="n"/>
      <c r="G740" s="5" t="n"/>
      <c r="H740" s="5" t="n">
        <v>333</v>
      </c>
      <c r="I740" s="5" t="n">
        <v>170</v>
      </c>
      <c r="J740" s="5" t="n">
        <v>158</v>
      </c>
      <c r="K740" s="10">
        <f>IF(F740&gt;0,H740/F740,"")</f>
        <v/>
      </c>
      <c r="L740" s="16">
        <f>IF(AND(G740&gt;0,H740&gt;0),G740/H740,"")</f>
        <v/>
      </c>
    </row>
    <row r="741">
      <c r="A741" s="4" t="inlineStr">
        <is>
          <t>410</t>
        </is>
      </c>
      <c r="B741" s="4" t="n">
        <v>4</v>
      </c>
      <c r="C741" s="4" t="inlineStr">
        <is>
          <t>elk</t>
        </is>
      </c>
      <c r="D741" s="4" t="n">
        <v>2024</v>
      </c>
      <c r="E741" s="15" t="inlineStr">
        <is>
          <t>Draw</t>
        </is>
      </c>
      <c r="F741" s="5" t="n">
        <v>1332</v>
      </c>
      <c r="G741" s="5" t="n">
        <v>11196</v>
      </c>
      <c r="H741" s="5" t="n">
        <v>378</v>
      </c>
      <c r="I741" s="5" t="n">
        <v>209</v>
      </c>
      <c r="J741" s="5" t="n">
        <v>167</v>
      </c>
      <c r="K741" s="10">
        <f>IF(F741&gt;0,H741/F741,"")</f>
        <v/>
      </c>
      <c r="L741" s="16">
        <f>IF(AND(G741&gt;0,H741&gt;0),G741/H741,"")</f>
        <v/>
      </c>
    </row>
    <row r="742">
      <c r="A742" s="4" t="inlineStr">
        <is>
          <t>410</t>
        </is>
      </c>
      <c r="B742" s="4" t="n">
        <v>4</v>
      </c>
      <c r="C742" s="4" t="inlineStr">
        <is>
          <t>elk</t>
        </is>
      </c>
      <c r="D742" s="4" t="n">
        <v>2025</v>
      </c>
      <c r="E742" s="15" t="inlineStr">
        <is>
          <t>Draw</t>
        </is>
      </c>
      <c r="F742" s="5" t="n"/>
      <c r="G742" s="5" t="n"/>
      <c r="H742" s="5" t="n">
        <v>452</v>
      </c>
      <c r="I742" s="5" t="n">
        <v>247</v>
      </c>
      <c r="J742" s="5" t="n">
        <v>202</v>
      </c>
      <c r="K742" s="10">
        <f>IF(F742&gt;0,H742/F742,"")</f>
        <v/>
      </c>
      <c r="L742" s="16">
        <f>IF(AND(G742&gt;0,H742&gt;0),G742/H742,"")</f>
        <v/>
      </c>
    </row>
    <row r="743">
      <c r="A743" s="4" t="inlineStr">
        <is>
          <t>411E</t>
        </is>
      </c>
      <c r="B743" s="4" t="n">
        <v>4</v>
      </c>
      <c r="C743" s="4" t="inlineStr">
        <is>
          <t>elk</t>
        </is>
      </c>
      <c r="D743" s="4" t="n">
        <v>2021</v>
      </c>
      <c r="E743" s="13" t="inlineStr">
        <is>
          <t>General</t>
        </is>
      </c>
      <c r="F743" s="5" t="n"/>
      <c r="G743" s="5" t="n"/>
      <c r="H743" s="5" t="n">
        <v>348</v>
      </c>
      <c r="I743" s="5" t="n">
        <v>125</v>
      </c>
      <c r="J743" s="5" t="n">
        <v>212</v>
      </c>
      <c r="K743" s="10">
        <f>IF(F743&gt;0,H743/F743,"")</f>
        <v/>
      </c>
      <c r="L743" s="16">
        <f>IF(AND(G743&gt;0,H743&gt;0),G743/H743,"")</f>
        <v/>
      </c>
    </row>
    <row r="744">
      <c r="A744" s="4" t="inlineStr">
        <is>
          <t>411E</t>
        </is>
      </c>
      <c r="B744" s="4" t="n">
        <v>4</v>
      </c>
      <c r="C744" s="4" t="inlineStr">
        <is>
          <t>elk</t>
        </is>
      </c>
      <c r="D744" s="4" t="n">
        <v>2022</v>
      </c>
      <c r="E744" s="13" t="inlineStr">
        <is>
          <t>General</t>
        </is>
      </c>
      <c r="F744" s="5" t="n">
        <v>1350</v>
      </c>
      <c r="G744" s="5" t="n">
        <v>9563</v>
      </c>
      <c r="H744" s="5" t="n">
        <v>402</v>
      </c>
      <c r="I744" s="5" t="n">
        <v>159</v>
      </c>
      <c r="J744" s="5" t="n">
        <v>236</v>
      </c>
      <c r="K744" s="10">
        <f>IF(F744&gt;0,H744/F744,"")</f>
        <v/>
      </c>
      <c r="L744" s="16">
        <f>IF(AND(G744&gt;0,H744&gt;0),G744/H744,"")</f>
        <v/>
      </c>
    </row>
    <row r="745">
      <c r="A745" s="4" t="inlineStr">
        <is>
          <t>411E</t>
        </is>
      </c>
      <c r="B745" s="4" t="n">
        <v>4</v>
      </c>
      <c r="C745" s="4" t="inlineStr">
        <is>
          <t>elk</t>
        </is>
      </c>
      <c r="D745" s="4" t="n">
        <v>2023</v>
      </c>
      <c r="E745" s="13" t="inlineStr">
        <is>
          <t>General</t>
        </is>
      </c>
      <c r="F745" s="5" t="n"/>
      <c r="G745" s="5" t="n"/>
      <c r="H745" s="5" t="n">
        <v>523</v>
      </c>
      <c r="I745" s="5" t="n">
        <v>181</v>
      </c>
      <c r="J745" s="5" t="n">
        <v>334</v>
      </c>
      <c r="K745" s="10">
        <f>IF(F745&gt;0,H745/F745,"")</f>
        <v/>
      </c>
      <c r="L745" s="16">
        <f>IF(AND(G745&gt;0,H745&gt;0),G745/H745,"")</f>
        <v/>
      </c>
    </row>
    <row r="746">
      <c r="A746" s="4" t="inlineStr">
        <is>
          <t>411E</t>
        </is>
      </c>
      <c r="B746" s="4" t="n">
        <v>4</v>
      </c>
      <c r="C746" s="4" t="inlineStr">
        <is>
          <t>elk</t>
        </is>
      </c>
      <c r="D746" s="4" t="n">
        <v>2024</v>
      </c>
      <c r="E746" s="13" t="inlineStr">
        <is>
          <t>General</t>
        </is>
      </c>
      <c r="F746" s="5" t="n">
        <v>1381</v>
      </c>
      <c r="G746" s="5" t="n">
        <v>10671</v>
      </c>
      <c r="H746" s="5" t="n">
        <v>534</v>
      </c>
      <c r="I746" s="5" t="n">
        <v>220</v>
      </c>
      <c r="J746" s="5" t="n">
        <v>296</v>
      </c>
      <c r="K746" s="10">
        <f>IF(F746&gt;0,H746/F746,"")</f>
        <v/>
      </c>
      <c r="L746" s="16">
        <f>IF(AND(G746&gt;0,H746&gt;0),G746/H746,"")</f>
        <v/>
      </c>
    </row>
    <row r="747">
      <c r="A747" s="4" t="inlineStr">
        <is>
          <t>411E</t>
        </is>
      </c>
      <c r="B747" s="4" t="n">
        <v>4</v>
      </c>
      <c r="C747" s="4" t="inlineStr">
        <is>
          <t>elk</t>
        </is>
      </c>
      <c r="D747" s="4" t="n">
        <v>2025</v>
      </c>
      <c r="E747" s="13" t="inlineStr">
        <is>
          <t>General</t>
        </is>
      </c>
      <c r="F747" s="5" t="n"/>
      <c r="G747" s="5" t="n"/>
      <c r="H747" s="5" t="n">
        <v>525</v>
      </c>
      <c r="I747" s="5" t="n">
        <v>332</v>
      </c>
      <c r="J747" s="5" t="n">
        <v>189</v>
      </c>
      <c r="K747" s="10">
        <f>IF(F747&gt;0,H747/F747,"")</f>
        <v/>
      </c>
      <c r="L747" s="16">
        <f>IF(AND(G747&gt;0,H747&gt;0),G747/H747,"")</f>
        <v/>
      </c>
    </row>
    <row r="748">
      <c r="A748" s="4" t="inlineStr">
        <is>
          <t>411W</t>
        </is>
      </c>
      <c r="B748" s="4" t="n">
        <v>4</v>
      </c>
      <c r="C748" s="4" t="inlineStr">
        <is>
          <t>elk</t>
        </is>
      </c>
      <c r="D748" s="4" t="n">
        <v>2021</v>
      </c>
      <c r="E748" s="13" t="inlineStr">
        <is>
          <t>General</t>
        </is>
      </c>
      <c r="F748" s="5" t="n"/>
      <c r="G748" s="5" t="n"/>
      <c r="H748" s="5" t="n">
        <v>152</v>
      </c>
      <c r="I748" s="5" t="n">
        <v>66</v>
      </c>
      <c r="J748" s="5" t="n">
        <v>83</v>
      </c>
      <c r="K748" s="10">
        <f>IF(F748&gt;0,H748/F748,"")</f>
        <v/>
      </c>
      <c r="L748" s="16">
        <f>IF(AND(G748&gt;0,H748&gt;0),G748/H748,"")</f>
        <v/>
      </c>
    </row>
    <row r="749">
      <c r="A749" s="4" t="inlineStr">
        <is>
          <t>411W</t>
        </is>
      </c>
      <c r="B749" s="4" t="n">
        <v>4</v>
      </c>
      <c r="C749" s="4" t="inlineStr">
        <is>
          <t>elk</t>
        </is>
      </c>
      <c r="D749" s="4" t="n">
        <v>2022</v>
      </c>
      <c r="E749" s="13" t="inlineStr">
        <is>
          <t>General</t>
        </is>
      </c>
      <c r="F749" s="5" t="n">
        <v>953</v>
      </c>
      <c r="G749" s="5" t="n">
        <v>6343</v>
      </c>
      <c r="H749" s="5" t="n">
        <v>293</v>
      </c>
      <c r="I749" s="5" t="n">
        <v>107</v>
      </c>
      <c r="J749" s="5" t="n">
        <v>186</v>
      </c>
      <c r="K749" s="10">
        <f>IF(F749&gt;0,H749/F749,"")</f>
        <v/>
      </c>
      <c r="L749" s="16">
        <f>IF(AND(G749&gt;0,H749&gt;0),G749/H749,"")</f>
        <v/>
      </c>
    </row>
    <row r="750">
      <c r="A750" s="4" t="inlineStr">
        <is>
          <t>411W</t>
        </is>
      </c>
      <c r="B750" s="4" t="n">
        <v>4</v>
      </c>
      <c r="C750" s="4" t="inlineStr">
        <is>
          <t>elk</t>
        </is>
      </c>
      <c r="D750" s="4" t="n">
        <v>2023</v>
      </c>
      <c r="E750" s="13" t="inlineStr">
        <is>
          <t>General</t>
        </is>
      </c>
      <c r="F750" s="5" t="n"/>
      <c r="G750" s="5" t="n"/>
      <c r="H750" s="5" t="n">
        <v>323</v>
      </c>
      <c r="I750" s="5" t="n">
        <v>117</v>
      </c>
      <c r="J750" s="5" t="n">
        <v>194</v>
      </c>
      <c r="K750" s="10">
        <f>IF(F750&gt;0,H750/F750,"")</f>
        <v/>
      </c>
      <c r="L750" s="16">
        <f>IF(AND(G750&gt;0,H750&gt;0),G750/H750,"")</f>
        <v/>
      </c>
    </row>
    <row r="751">
      <c r="A751" s="4" t="inlineStr">
        <is>
          <t>411W</t>
        </is>
      </c>
      <c r="B751" s="4" t="n">
        <v>4</v>
      </c>
      <c r="C751" s="4" t="inlineStr">
        <is>
          <t>elk</t>
        </is>
      </c>
      <c r="D751" s="4" t="n">
        <v>2024</v>
      </c>
      <c r="E751" s="13" t="inlineStr">
        <is>
          <t>General</t>
        </is>
      </c>
      <c r="F751" s="5" t="n">
        <v>902</v>
      </c>
      <c r="G751" s="5" t="n">
        <v>7285</v>
      </c>
      <c r="H751" s="5" t="n">
        <v>355</v>
      </c>
      <c r="I751" s="5" t="n">
        <v>156</v>
      </c>
      <c r="J751" s="5" t="n">
        <v>196</v>
      </c>
      <c r="K751" s="10">
        <f>IF(F751&gt;0,H751/F751,"")</f>
        <v/>
      </c>
      <c r="L751" s="16">
        <f>IF(AND(G751&gt;0,H751&gt;0),G751/H751,"")</f>
        <v/>
      </c>
    </row>
    <row r="752">
      <c r="A752" s="4" t="inlineStr">
        <is>
          <t>411W</t>
        </is>
      </c>
      <c r="B752" s="4" t="n">
        <v>4</v>
      </c>
      <c r="C752" s="4" t="inlineStr">
        <is>
          <t>elk</t>
        </is>
      </c>
      <c r="D752" s="4" t="n">
        <v>2025</v>
      </c>
      <c r="E752" s="13" t="inlineStr">
        <is>
          <t>General</t>
        </is>
      </c>
      <c r="F752" s="5" t="n"/>
      <c r="G752" s="5" t="n"/>
      <c r="H752" s="5" t="n">
        <v>320</v>
      </c>
      <c r="I752" s="5" t="n">
        <v>151</v>
      </c>
      <c r="J752" s="5" t="n">
        <v>165</v>
      </c>
      <c r="K752" s="10">
        <f>IF(F752&gt;0,H752/F752,"")</f>
        <v/>
      </c>
      <c r="L752" s="16">
        <f>IF(AND(G752&gt;0,H752&gt;0),G752/H752,"")</f>
        <v/>
      </c>
    </row>
    <row r="753">
      <c r="A753" s="4" t="inlineStr">
        <is>
          <t>412</t>
        </is>
      </c>
      <c r="B753" s="4" t="n">
        <v>4</v>
      </c>
      <c r="C753" s="4" t="inlineStr">
        <is>
          <t>elk</t>
        </is>
      </c>
      <c r="D753" s="4" t="n">
        <v>2021</v>
      </c>
      <c r="E753" s="13" t="inlineStr">
        <is>
          <t>General</t>
        </is>
      </c>
      <c r="F753" s="5" t="n"/>
      <c r="G753" s="5" t="n"/>
      <c r="H753" s="5" t="n">
        <v>160</v>
      </c>
      <c r="I753" s="5" t="n">
        <v>78</v>
      </c>
      <c r="J753" s="5" t="n">
        <v>82</v>
      </c>
      <c r="K753" s="10">
        <f>IF(F753&gt;0,H753/F753,"")</f>
        <v/>
      </c>
      <c r="L753" s="16">
        <f>IF(AND(G753&gt;0,H753&gt;0),G753/H753,"")</f>
        <v/>
      </c>
    </row>
    <row r="754">
      <c r="A754" s="4" t="inlineStr">
        <is>
          <t>412</t>
        </is>
      </c>
      <c r="B754" s="4" t="n">
        <v>4</v>
      </c>
      <c r="C754" s="4" t="inlineStr">
        <is>
          <t>elk</t>
        </is>
      </c>
      <c r="D754" s="4" t="n">
        <v>2022</v>
      </c>
      <c r="E754" s="13" t="inlineStr">
        <is>
          <t>General</t>
        </is>
      </c>
      <c r="F754" s="5" t="n">
        <v>643</v>
      </c>
      <c r="G754" s="5" t="n">
        <v>3754</v>
      </c>
      <c r="H754" s="5" t="n">
        <v>150</v>
      </c>
      <c r="I754" s="5" t="n">
        <v>85</v>
      </c>
      <c r="J754" s="5" t="n">
        <v>65</v>
      </c>
      <c r="K754" s="10">
        <f>IF(F754&gt;0,H754/F754,"")</f>
        <v/>
      </c>
      <c r="L754" s="16">
        <f>IF(AND(G754&gt;0,H754&gt;0),G754/H754,"")</f>
        <v/>
      </c>
    </row>
    <row r="755">
      <c r="A755" s="4" t="inlineStr">
        <is>
          <t>412</t>
        </is>
      </c>
      <c r="B755" s="4" t="n">
        <v>4</v>
      </c>
      <c r="C755" s="4" t="inlineStr">
        <is>
          <t>elk</t>
        </is>
      </c>
      <c r="D755" s="4" t="n">
        <v>2023</v>
      </c>
      <c r="E755" s="13" t="inlineStr">
        <is>
          <t>General</t>
        </is>
      </c>
      <c r="F755" s="5" t="n"/>
      <c r="G755" s="5" t="n"/>
      <c r="H755" s="5" t="n">
        <v>179</v>
      </c>
      <c r="I755" s="5" t="n">
        <v>81</v>
      </c>
      <c r="J755" s="5" t="n">
        <v>94</v>
      </c>
      <c r="K755" s="10">
        <f>IF(F755&gt;0,H755/F755,"")</f>
        <v/>
      </c>
      <c r="L755" s="16">
        <f>IF(AND(G755&gt;0,H755&gt;0),G755/H755,"")</f>
        <v/>
      </c>
    </row>
    <row r="756">
      <c r="A756" s="4" t="inlineStr">
        <is>
          <t>412</t>
        </is>
      </c>
      <c r="B756" s="4" t="n">
        <v>4</v>
      </c>
      <c r="C756" s="4" t="inlineStr">
        <is>
          <t>elk</t>
        </is>
      </c>
      <c r="D756" s="4" t="n">
        <v>2024</v>
      </c>
      <c r="E756" s="13" t="inlineStr">
        <is>
          <t>General</t>
        </is>
      </c>
      <c r="F756" s="5" t="n">
        <v>614</v>
      </c>
      <c r="G756" s="5" t="n">
        <v>4376</v>
      </c>
      <c r="H756" s="5" t="n">
        <v>186</v>
      </c>
      <c r="I756" s="5" t="n">
        <v>107</v>
      </c>
      <c r="J756" s="5" t="n">
        <v>76</v>
      </c>
      <c r="K756" s="10">
        <f>IF(F756&gt;0,H756/F756,"")</f>
        <v/>
      </c>
      <c r="L756" s="16">
        <f>IF(AND(G756&gt;0,H756&gt;0),G756/H756,"")</f>
        <v/>
      </c>
    </row>
    <row r="757">
      <c r="A757" s="4" t="inlineStr">
        <is>
          <t>412</t>
        </is>
      </c>
      <c r="B757" s="4" t="n">
        <v>4</v>
      </c>
      <c r="C757" s="4" t="inlineStr">
        <is>
          <t>elk</t>
        </is>
      </c>
      <c r="D757" s="4" t="n">
        <v>2025</v>
      </c>
      <c r="E757" s="13" t="inlineStr">
        <is>
          <t>General</t>
        </is>
      </c>
      <c r="F757" s="5" t="n"/>
      <c r="G757" s="5" t="n"/>
      <c r="H757" s="5" t="n">
        <v>253</v>
      </c>
      <c r="I757" s="5" t="n">
        <v>117</v>
      </c>
      <c r="J757" s="5" t="n">
        <v>129</v>
      </c>
      <c r="K757" s="10">
        <f>IF(F757&gt;0,H757/F757,"")</f>
        <v/>
      </c>
      <c r="L757" s="16">
        <f>IF(AND(G757&gt;0,H757&gt;0),G757/H757,"")</f>
        <v/>
      </c>
    </row>
    <row r="758">
      <c r="A758" s="4" t="inlineStr">
        <is>
          <t>413</t>
        </is>
      </c>
      <c r="B758" s="4" t="n">
        <v>4</v>
      </c>
      <c r="C758" s="4" t="inlineStr">
        <is>
          <t>elk</t>
        </is>
      </c>
      <c r="D758" s="4" t="n">
        <v>2021</v>
      </c>
      <c r="E758" s="13" t="inlineStr">
        <is>
          <t>General</t>
        </is>
      </c>
      <c r="F758" s="5" t="n"/>
      <c r="G758" s="5" t="n"/>
      <c r="H758" s="5" t="n">
        <v>238</v>
      </c>
      <c r="I758" s="5" t="n">
        <v>122</v>
      </c>
      <c r="J758" s="5" t="n">
        <v>115</v>
      </c>
      <c r="K758" s="10">
        <f>IF(F758&gt;0,H758/F758,"")</f>
        <v/>
      </c>
      <c r="L758" s="16">
        <f>IF(AND(G758&gt;0,H758&gt;0),G758/H758,"")</f>
        <v/>
      </c>
    </row>
    <row r="759">
      <c r="A759" s="4" t="inlineStr">
        <is>
          <t>413</t>
        </is>
      </c>
      <c r="B759" s="4" t="n">
        <v>4</v>
      </c>
      <c r="C759" s="4" t="inlineStr">
        <is>
          <t>elk</t>
        </is>
      </c>
      <c r="D759" s="4" t="n">
        <v>2022</v>
      </c>
      <c r="E759" s="13" t="inlineStr">
        <is>
          <t>General</t>
        </is>
      </c>
      <c r="F759" s="5" t="n">
        <v>1789</v>
      </c>
      <c r="G759" s="5" t="n">
        <v>11684</v>
      </c>
      <c r="H759" s="5" t="n">
        <v>406</v>
      </c>
      <c r="I759" s="5" t="n">
        <v>213</v>
      </c>
      <c r="J759" s="5" t="n">
        <v>184</v>
      </c>
      <c r="K759" s="10">
        <f>IF(F759&gt;0,H759/F759,"")</f>
        <v/>
      </c>
      <c r="L759" s="16">
        <f>IF(AND(G759&gt;0,H759&gt;0),G759/H759,"")</f>
        <v/>
      </c>
    </row>
    <row r="760">
      <c r="A760" s="4" t="inlineStr">
        <is>
          <t>413</t>
        </is>
      </c>
      <c r="B760" s="4" t="n">
        <v>4</v>
      </c>
      <c r="C760" s="4" t="inlineStr">
        <is>
          <t>elk</t>
        </is>
      </c>
      <c r="D760" s="4" t="n">
        <v>2023</v>
      </c>
      <c r="E760" s="13" t="inlineStr">
        <is>
          <t>General</t>
        </is>
      </c>
      <c r="F760" s="5" t="n"/>
      <c r="G760" s="5" t="n"/>
      <c r="H760" s="5" t="n">
        <v>348</v>
      </c>
      <c r="I760" s="5" t="n">
        <v>203</v>
      </c>
      <c r="J760" s="5" t="n">
        <v>136</v>
      </c>
      <c r="K760" s="10">
        <f>IF(F760&gt;0,H760/F760,"")</f>
        <v/>
      </c>
      <c r="L760" s="16">
        <f>IF(AND(G760&gt;0,H760&gt;0),G760/H760,"")</f>
        <v/>
      </c>
    </row>
    <row r="761">
      <c r="A761" s="4" t="inlineStr">
        <is>
          <t>413</t>
        </is>
      </c>
      <c r="B761" s="4" t="n">
        <v>4</v>
      </c>
      <c r="C761" s="4" t="inlineStr">
        <is>
          <t>elk</t>
        </is>
      </c>
      <c r="D761" s="4" t="n">
        <v>2024</v>
      </c>
      <c r="E761" s="13" t="inlineStr">
        <is>
          <t>General</t>
        </is>
      </c>
      <c r="F761" s="5" t="n">
        <v>1994</v>
      </c>
      <c r="G761" s="5" t="n">
        <v>15316</v>
      </c>
      <c r="H761" s="5" t="n">
        <v>317</v>
      </c>
      <c r="I761" s="5" t="n">
        <v>158</v>
      </c>
      <c r="J761" s="5" t="n">
        <v>144</v>
      </c>
      <c r="K761" s="10">
        <f>IF(F761&gt;0,H761/F761,"")</f>
        <v/>
      </c>
      <c r="L761" s="16">
        <f>IF(AND(G761&gt;0,H761&gt;0),G761/H761,"")</f>
        <v/>
      </c>
    </row>
    <row r="762">
      <c r="A762" s="4" t="inlineStr">
        <is>
          <t>413</t>
        </is>
      </c>
      <c r="B762" s="4" t="n">
        <v>4</v>
      </c>
      <c r="C762" s="4" t="inlineStr">
        <is>
          <t>elk</t>
        </is>
      </c>
      <c r="D762" s="4" t="n">
        <v>2025</v>
      </c>
      <c r="E762" s="13" t="inlineStr">
        <is>
          <t>General</t>
        </is>
      </c>
      <c r="F762" s="5" t="n"/>
      <c r="G762" s="5" t="n"/>
      <c r="H762" s="5" t="n">
        <v>374</v>
      </c>
      <c r="I762" s="5" t="n">
        <v>162</v>
      </c>
      <c r="J762" s="5" t="n">
        <v>208</v>
      </c>
      <c r="K762" s="10">
        <f>IF(F762&gt;0,H762/F762,"")</f>
        <v/>
      </c>
      <c r="L762" s="16">
        <f>IF(AND(G762&gt;0,H762&gt;0),G762/H762,"")</f>
        <v/>
      </c>
    </row>
    <row r="763">
      <c r="A763" s="4" t="inlineStr">
        <is>
          <t>415</t>
        </is>
      </c>
      <c r="B763" s="4" t="n">
        <v>4</v>
      </c>
      <c r="C763" s="4" t="inlineStr">
        <is>
          <t>elk</t>
        </is>
      </c>
      <c r="D763" s="4" t="n">
        <v>2021</v>
      </c>
      <c r="E763" s="13" t="inlineStr">
        <is>
          <t>General</t>
        </is>
      </c>
      <c r="F763" s="5" t="n"/>
      <c r="G763" s="5" t="n"/>
      <c r="H763" s="5" t="n">
        <v>11</v>
      </c>
      <c r="I763" s="5" t="n">
        <v>0</v>
      </c>
      <c r="J763" s="5" t="n">
        <v>11</v>
      </c>
      <c r="K763" s="10">
        <f>IF(F763&gt;0,H763/F763,"")</f>
        <v/>
      </c>
      <c r="L763" s="16">
        <f>IF(AND(G763&gt;0,H763&gt;0),G763/H763,"")</f>
        <v/>
      </c>
    </row>
    <row r="764">
      <c r="A764" s="4" t="inlineStr">
        <is>
          <t>415</t>
        </is>
      </c>
      <c r="B764" s="4" t="n">
        <v>4</v>
      </c>
      <c r="C764" s="4" t="inlineStr">
        <is>
          <t>elk</t>
        </is>
      </c>
      <c r="D764" s="4" t="n">
        <v>2022</v>
      </c>
      <c r="E764" s="13" t="inlineStr">
        <is>
          <t>General</t>
        </is>
      </c>
      <c r="F764" s="5" t="n">
        <v>164</v>
      </c>
      <c r="G764" s="5" t="n">
        <v>1247</v>
      </c>
      <c r="H764" s="5" t="n">
        <v>16</v>
      </c>
      <c r="I764" s="5" t="n">
        <v>0</v>
      </c>
      <c r="J764" s="5" t="n">
        <v>16</v>
      </c>
      <c r="K764" s="10">
        <f>IF(F764&gt;0,H764/F764,"")</f>
        <v/>
      </c>
      <c r="L764" s="16">
        <f>IF(AND(G764&gt;0,H764&gt;0),G764/H764,"")</f>
        <v/>
      </c>
    </row>
    <row r="765">
      <c r="A765" s="4" t="inlineStr">
        <is>
          <t>415</t>
        </is>
      </c>
      <c r="B765" s="4" t="n">
        <v>4</v>
      </c>
      <c r="C765" s="4" t="inlineStr">
        <is>
          <t>elk</t>
        </is>
      </c>
      <c r="D765" s="4" t="n">
        <v>2023</v>
      </c>
      <c r="E765" s="13" t="inlineStr">
        <is>
          <t>General</t>
        </is>
      </c>
      <c r="F765" s="5" t="n"/>
      <c r="G765" s="5" t="n"/>
      <c r="H765" s="5" t="n">
        <v>12</v>
      </c>
      <c r="I765" s="5" t="n">
        <v>3</v>
      </c>
      <c r="J765" s="5" t="n">
        <v>6</v>
      </c>
      <c r="K765" s="10">
        <f>IF(F765&gt;0,H765/F765,"")</f>
        <v/>
      </c>
      <c r="L765" s="16">
        <f>IF(AND(G765&gt;0,H765&gt;0),G765/H765,"")</f>
        <v/>
      </c>
    </row>
    <row r="766">
      <c r="A766" s="4" t="inlineStr">
        <is>
          <t>415</t>
        </is>
      </c>
      <c r="B766" s="4" t="n">
        <v>4</v>
      </c>
      <c r="C766" s="4" t="inlineStr">
        <is>
          <t>elk</t>
        </is>
      </c>
      <c r="D766" s="4" t="n">
        <v>2024</v>
      </c>
      <c r="E766" s="13" t="inlineStr">
        <is>
          <t>General</t>
        </is>
      </c>
      <c r="F766" s="5" t="n">
        <v>134</v>
      </c>
      <c r="G766" s="5" t="n">
        <v>877</v>
      </c>
      <c r="H766" s="5" t="n">
        <v>12</v>
      </c>
      <c r="I766" s="5" t="n">
        <v>9</v>
      </c>
      <c r="J766" s="5" t="n">
        <v>3</v>
      </c>
      <c r="K766" s="10">
        <f>IF(F766&gt;0,H766/F766,"")</f>
        <v/>
      </c>
      <c r="L766" s="16">
        <f>IF(AND(G766&gt;0,H766&gt;0),G766/H766,"")</f>
        <v/>
      </c>
    </row>
    <row r="767">
      <c r="A767" s="4" t="inlineStr">
        <is>
          <t>415</t>
        </is>
      </c>
      <c r="B767" s="4" t="n">
        <v>4</v>
      </c>
      <c r="C767" s="4" t="inlineStr">
        <is>
          <t>elk</t>
        </is>
      </c>
      <c r="D767" s="4" t="n">
        <v>2025</v>
      </c>
      <c r="E767" s="13" t="inlineStr">
        <is>
          <t>General</t>
        </is>
      </c>
      <c r="F767" s="5" t="n"/>
      <c r="G767" s="5" t="n"/>
      <c r="H767" s="5" t="n">
        <v>18</v>
      </c>
      <c r="I767" s="5" t="n">
        <v>18</v>
      </c>
      <c r="J767" s="5" t="n">
        <v>0</v>
      </c>
      <c r="K767" s="10">
        <f>IF(F767&gt;0,H767/F767,"")</f>
        <v/>
      </c>
      <c r="L767" s="16">
        <f>IF(AND(G767&gt;0,H767&gt;0),G767/H767,"")</f>
        <v/>
      </c>
    </row>
    <row r="768">
      <c r="A768" s="4" t="inlineStr">
        <is>
          <t>416</t>
        </is>
      </c>
      <c r="B768" s="4" t="n">
        <v>4</v>
      </c>
      <c r="C768" s="4" t="inlineStr">
        <is>
          <t>elk</t>
        </is>
      </c>
      <c r="D768" s="4" t="n">
        <v>2021</v>
      </c>
      <c r="E768" s="13" t="inlineStr">
        <is>
          <t>General</t>
        </is>
      </c>
      <c r="F768" s="5" t="n"/>
      <c r="G768" s="5" t="n"/>
      <c r="H768" s="5" t="n">
        <v>480</v>
      </c>
      <c r="I768" s="5" t="n">
        <v>273</v>
      </c>
      <c r="J768" s="5" t="n">
        <v>191</v>
      </c>
      <c r="K768" s="10">
        <f>IF(F768&gt;0,H768/F768,"")</f>
        <v/>
      </c>
      <c r="L768" s="16">
        <f>IF(AND(G768&gt;0,H768&gt;0),G768/H768,"")</f>
        <v/>
      </c>
    </row>
    <row r="769">
      <c r="A769" s="4" t="inlineStr">
        <is>
          <t>416</t>
        </is>
      </c>
      <c r="B769" s="4" t="n">
        <v>4</v>
      </c>
      <c r="C769" s="4" t="inlineStr">
        <is>
          <t>elk</t>
        </is>
      </c>
      <c r="D769" s="4" t="n">
        <v>2022</v>
      </c>
      <c r="E769" s="13" t="inlineStr">
        <is>
          <t>General</t>
        </is>
      </c>
      <c r="F769" s="5" t="n">
        <v>3081</v>
      </c>
      <c r="G769" s="5" t="n">
        <v>19666</v>
      </c>
      <c r="H769" s="5" t="n">
        <v>695</v>
      </c>
      <c r="I769" s="5" t="n">
        <v>359</v>
      </c>
      <c r="J769" s="5" t="n">
        <v>320</v>
      </c>
      <c r="K769" s="10">
        <f>IF(F769&gt;0,H769/F769,"")</f>
        <v/>
      </c>
      <c r="L769" s="16">
        <f>IF(AND(G769&gt;0,H769&gt;0),G769/H769,"")</f>
        <v/>
      </c>
    </row>
    <row r="770">
      <c r="A770" s="4" t="inlineStr">
        <is>
          <t>416</t>
        </is>
      </c>
      <c r="B770" s="4" t="n">
        <v>4</v>
      </c>
      <c r="C770" s="4" t="inlineStr">
        <is>
          <t>elk</t>
        </is>
      </c>
      <c r="D770" s="4" t="n">
        <v>2023</v>
      </c>
      <c r="E770" s="13" t="inlineStr">
        <is>
          <t>General</t>
        </is>
      </c>
      <c r="F770" s="5" t="n"/>
      <c r="G770" s="5" t="n"/>
      <c r="H770" s="5" t="n">
        <v>589</v>
      </c>
      <c r="I770" s="5" t="n">
        <v>334</v>
      </c>
      <c r="J770" s="5" t="n">
        <v>252</v>
      </c>
      <c r="K770" s="10">
        <f>IF(F770&gt;0,H770/F770,"")</f>
        <v/>
      </c>
      <c r="L770" s="16">
        <f>IF(AND(G770&gt;0,H770&gt;0),G770/H770,"")</f>
        <v/>
      </c>
    </row>
    <row r="771">
      <c r="A771" s="4" t="inlineStr">
        <is>
          <t>416</t>
        </is>
      </c>
      <c r="B771" s="4" t="n">
        <v>4</v>
      </c>
      <c r="C771" s="4" t="inlineStr">
        <is>
          <t>elk</t>
        </is>
      </c>
      <c r="D771" s="4" t="n">
        <v>2024</v>
      </c>
      <c r="E771" s="13" t="inlineStr">
        <is>
          <t>General</t>
        </is>
      </c>
      <c r="F771" s="5" t="n">
        <v>3284</v>
      </c>
      <c r="G771" s="5" t="n">
        <v>23265</v>
      </c>
      <c r="H771" s="5" t="n">
        <v>620</v>
      </c>
      <c r="I771" s="5" t="n">
        <v>311</v>
      </c>
      <c r="J771" s="5" t="n">
        <v>297</v>
      </c>
      <c r="K771" s="10">
        <f>IF(F771&gt;0,H771/F771,"")</f>
        <v/>
      </c>
      <c r="L771" s="16">
        <f>IF(AND(G771&gt;0,H771&gt;0),G771/H771,"")</f>
        <v/>
      </c>
    </row>
    <row r="772">
      <c r="A772" s="4" t="inlineStr">
        <is>
          <t>416</t>
        </is>
      </c>
      <c r="B772" s="4" t="n">
        <v>4</v>
      </c>
      <c r="C772" s="4" t="inlineStr">
        <is>
          <t>elk</t>
        </is>
      </c>
      <c r="D772" s="4" t="n">
        <v>2025</v>
      </c>
      <c r="E772" s="13" t="inlineStr">
        <is>
          <t>General</t>
        </is>
      </c>
      <c r="F772" s="5" t="n"/>
      <c r="G772" s="5" t="n"/>
      <c r="H772" s="5" t="n">
        <v>563</v>
      </c>
      <c r="I772" s="5" t="n">
        <v>279</v>
      </c>
      <c r="J772" s="5" t="n">
        <v>273</v>
      </c>
      <c r="K772" s="10">
        <f>IF(F772&gt;0,H772/F772,"")</f>
        <v/>
      </c>
      <c r="L772" s="16">
        <f>IF(AND(G772&gt;0,H772&gt;0),G772/H772,"")</f>
        <v/>
      </c>
    </row>
    <row r="773">
      <c r="A773" s="4" t="inlineStr">
        <is>
          <t>417</t>
        </is>
      </c>
      <c r="B773" s="4" t="n">
        <v>4</v>
      </c>
      <c r="C773" s="4" t="inlineStr">
        <is>
          <t>elk</t>
        </is>
      </c>
      <c r="D773" s="4" t="n">
        <v>2021</v>
      </c>
      <c r="E773" s="15" t="inlineStr">
        <is>
          <t>Draw</t>
        </is>
      </c>
      <c r="F773" s="5" t="n"/>
      <c r="G773" s="5" t="n"/>
      <c r="H773" s="5" t="n">
        <v>208</v>
      </c>
      <c r="I773" s="5" t="n">
        <v>105</v>
      </c>
      <c r="J773" s="5" t="n">
        <v>99</v>
      </c>
      <c r="K773" s="10">
        <f>IF(F773&gt;0,H773/F773,"")</f>
        <v/>
      </c>
      <c r="L773" s="16">
        <f>IF(AND(G773&gt;0,H773&gt;0),G773/H773,"")</f>
        <v/>
      </c>
    </row>
    <row r="774">
      <c r="A774" s="4" t="inlineStr">
        <is>
          <t>417</t>
        </is>
      </c>
      <c r="B774" s="4" t="n">
        <v>4</v>
      </c>
      <c r="C774" s="4" t="inlineStr">
        <is>
          <t>elk</t>
        </is>
      </c>
      <c r="D774" s="4" t="n">
        <v>2022</v>
      </c>
      <c r="E774" s="15" t="inlineStr">
        <is>
          <t>Draw</t>
        </is>
      </c>
      <c r="F774" s="5" t="n">
        <v>822</v>
      </c>
      <c r="G774" s="5" t="n">
        <v>5685</v>
      </c>
      <c r="H774" s="5" t="n">
        <v>278</v>
      </c>
      <c r="I774" s="5" t="n">
        <v>161</v>
      </c>
      <c r="J774" s="5" t="n">
        <v>114</v>
      </c>
      <c r="K774" s="10">
        <f>IF(F774&gt;0,H774/F774,"")</f>
        <v/>
      </c>
      <c r="L774" s="16">
        <f>IF(AND(G774&gt;0,H774&gt;0),G774/H774,"")</f>
        <v/>
      </c>
    </row>
    <row r="775">
      <c r="A775" s="4" t="inlineStr">
        <is>
          <t>417</t>
        </is>
      </c>
      <c r="B775" s="4" t="n">
        <v>4</v>
      </c>
      <c r="C775" s="4" t="inlineStr">
        <is>
          <t>elk</t>
        </is>
      </c>
      <c r="D775" s="4" t="n">
        <v>2023</v>
      </c>
      <c r="E775" s="15" t="inlineStr">
        <is>
          <t>Draw</t>
        </is>
      </c>
      <c r="F775" s="5" t="n"/>
      <c r="G775" s="5" t="n"/>
      <c r="H775" s="5" t="n">
        <v>245</v>
      </c>
      <c r="I775" s="5" t="n">
        <v>105</v>
      </c>
      <c r="J775" s="5" t="n">
        <v>134</v>
      </c>
      <c r="K775" s="10">
        <f>IF(F775&gt;0,H775/F775,"")</f>
        <v/>
      </c>
      <c r="L775" s="16">
        <f>IF(AND(G775&gt;0,H775&gt;0),G775/H775,"")</f>
        <v/>
      </c>
    </row>
    <row r="776">
      <c r="A776" s="4" t="inlineStr">
        <is>
          <t>417</t>
        </is>
      </c>
      <c r="B776" s="4" t="n">
        <v>4</v>
      </c>
      <c r="C776" s="4" t="inlineStr">
        <is>
          <t>elk</t>
        </is>
      </c>
      <c r="D776" s="4" t="n">
        <v>2024</v>
      </c>
      <c r="E776" s="15" t="inlineStr">
        <is>
          <t>Draw</t>
        </is>
      </c>
      <c r="F776" s="5" t="n">
        <v>662</v>
      </c>
      <c r="G776" s="5" t="n">
        <v>4997</v>
      </c>
      <c r="H776" s="5" t="n">
        <v>292</v>
      </c>
      <c r="I776" s="5" t="n">
        <v>185</v>
      </c>
      <c r="J776" s="5" t="n">
        <v>107</v>
      </c>
      <c r="K776" s="10">
        <f>IF(F776&gt;0,H776/F776,"")</f>
        <v/>
      </c>
      <c r="L776" s="16">
        <f>IF(AND(G776&gt;0,H776&gt;0),G776/H776,"")</f>
        <v/>
      </c>
    </row>
    <row r="777">
      <c r="A777" s="4" t="inlineStr">
        <is>
          <t>417</t>
        </is>
      </c>
      <c r="B777" s="4" t="n">
        <v>4</v>
      </c>
      <c r="C777" s="4" t="inlineStr">
        <is>
          <t>elk</t>
        </is>
      </c>
      <c r="D777" s="4" t="n">
        <v>2025</v>
      </c>
      <c r="E777" s="15" t="inlineStr">
        <is>
          <t>Draw</t>
        </is>
      </c>
      <c r="F777" s="5" t="n"/>
      <c r="G777" s="5" t="n"/>
      <c r="H777" s="5" t="n">
        <v>302</v>
      </c>
      <c r="I777" s="5" t="n">
        <v>185</v>
      </c>
      <c r="J777" s="5" t="n">
        <v>117</v>
      </c>
      <c r="K777" s="10">
        <f>IF(F777&gt;0,H777/F777,"")</f>
        <v/>
      </c>
      <c r="L777" s="16">
        <f>IF(AND(G777&gt;0,H777&gt;0),G777/H777,"")</f>
        <v/>
      </c>
    </row>
    <row r="778">
      <c r="A778" s="4" t="inlineStr">
        <is>
          <t>418</t>
        </is>
      </c>
      <c r="B778" s="4" t="n">
        <v>4</v>
      </c>
      <c r="C778" s="4" t="inlineStr">
        <is>
          <t>elk</t>
        </is>
      </c>
      <c r="D778" s="4" t="n">
        <v>2021</v>
      </c>
      <c r="E778" s="13" t="inlineStr">
        <is>
          <t>General</t>
        </is>
      </c>
      <c r="F778" s="5" t="n"/>
      <c r="G778" s="5" t="n"/>
      <c r="H778" s="5" t="n">
        <v>76</v>
      </c>
      <c r="I778" s="5" t="n">
        <v>37</v>
      </c>
      <c r="J778" s="5" t="n">
        <v>39</v>
      </c>
      <c r="K778" s="10">
        <f>IF(F778&gt;0,H778/F778,"")</f>
        <v/>
      </c>
      <c r="L778" s="16">
        <f>IF(AND(G778&gt;0,H778&gt;0),G778/H778,"")</f>
        <v/>
      </c>
    </row>
    <row r="779">
      <c r="A779" s="4" t="inlineStr">
        <is>
          <t>418</t>
        </is>
      </c>
      <c r="B779" s="4" t="n">
        <v>4</v>
      </c>
      <c r="C779" s="4" t="inlineStr">
        <is>
          <t>elk</t>
        </is>
      </c>
      <c r="D779" s="4" t="n">
        <v>2022</v>
      </c>
      <c r="E779" s="13" t="inlineStr">
        <is>
          <t>General</t>
        </is>
      </c>
      <c r="F779" s="5" t="n">
        <v>297</v>
      </c>
      <c r="G779" s="5" t="n">
        <v>1643</v>
      </c>
      <c r="H779" s="5" t="n">
        <v>103</v>
      </c>
      <c r="I779" s="5" t="n">
        <v>40</v>
      </c>
      <c r="J779" s="5" t="n">
        <v>61</v>
      </c>
      <c r="K779" s="10">
        <f>IF(F779&gt;0,H779/F779,"")</f>
        <v/>
      </c>
      <c r="L779" s="16">
        <f>IF(AND(G779&gt;0,H779&gt;0),G779/H779,"")</f>
        <v/>
      </c>
    </row>
    <row r="780">
      <c r="A780" s="4" t="inlineStr">
        <is>
          <t>418</t>
        </is>
      </c>
      <c r="B780" s="4" t="n">
        <v>4</v>
      </c>
      <c r="C780" s="4" t="inlineStr">
        <is>
          <t>elk</t>
        </is>
      </c>
      <c r="D780" s="4" t="n">
        <v>2023</v>
      </c>
      <c r="E780" s="13" t="inlineStr">
        <is>
          <t>General</t>
        </is>
      </c>
      <c r="F780" s="5" t="n"/>
      <c r="G780" s="5" t="n"/>
      <c r="H780" s="5" t="n">
        <v>108</v>
      </c>
      <c r="I780" s="5" t="n">
        <v>58</v>
      </c>
      <c r="J780" s="5" t="n">
        <v>50</v>
      </c>
      <c r="K780" s="10">
        <f>IF(F780&gt;0,H780/F780,"")</f>
        <v/>
      </c>
      <c r="L780" s="16">
        <f>IF(AND(G780&gt;0,H780&gt;0),G780/H780,"")</f>
        <v/>
      </c>
    </row>
    <row r="781">
      <c r="A781" s="4" t="inlineStr">
        <is>
          <t>418</t>
        </is>
      </c>
      <c r="B781" s="4" t="n">
        <v>4</v>
      </c>
      <c r="C781" s="4" t="inlineStr">
        <is>
          <t>elk</t>
        </is>
      </c>
      <c r="D781" s="4" t="n">
        <v>2024</v>
      </c>
      <c r="E781" s="13" t="inlineStr">
        <is>
          <t>General</t>
        </is>
      </c>
      <c r="F781" s="5" t="n">
        <v>416</v>
      </c>
      <c r="G781" s="5" t="n">
        <v>2919</v>
      </c>
      <c r="H781" s="5" t="n">
        <v>114</v>
      </c>
      <c r="I781" s="5" t="n">
        <v>19</v>
      </c>
      <c r="J781" s="5" t="n">
        <v>89</v>
      </c>
      <c r="K781" s="10">
        <f>IF(F781&gt;0,H781/F781,"")</f>
        <v/>
      </c>
      <c r="L781" s="16">
        <f>IF(AND(G781&gt;0,H781&gt;0),G781/H781,"")</f>
        <v/>
      </c>
    </row>
    <row r="782">
      <c r="A782" s="4" t="inlineStr">
        <is>
          <t>418</t>
        </is>
      </c>
      <c r="B782" s="4" t="n">
        <v>4</v>
      </c>
      <c r="C782" s="4" t="inlineStr">
        <is>
          <t>elk</t>
        </is>
      </c>
      <c r="D782" s="4" t="n">
        <v>2025</v>
      </c>
      <c r="E782" s="13" t="inlineStr">
        <is>
          <t>General</t>
        </is>
      </c>
      <c r="F782" s="5" t="n"/>
      <c r="G782" s="5" t="n"/>
      <c r="H782" s="5" t="n">
        <v>186</v>
      </c>
      <c r="I782" s="5" t="n">
        <v>53</v>
      </c>
      <c r="J782" s="5" t="n">
        <v>122</v>
      </c>
      <c r="K782" s="10">
        <f>IF(F782&gt;0,H782/F782,"")</f>
        <v/>
      </c>
      <c r="L782" s="16">
        <f>IF(AND(G782&gt;0,H782&gt;0),G782/H782,"")</f>
        <v/>
      </c>
    </row>
    <row r="783">
      <c r="A783" s="4" t="inlineStr">
        <is>
          <t>419</t>
        </is>
      </c>
      <c r="B783" s="4" t="n">
        <v>4</v>
      </c>
      <c r="C783" s="4" t="inlineStr">
        <is>
          <t>elk</t>
        </is>
      </c>
      <c r="D783" s="4" t="n">
        <v>2021</v>
      </c>
      <c r="E783" s="13" t="inlineStr">
        <is>
          <t>General</t>
        </is>
      </c>
      <c r="F783" s="5" t="n"/>
      <c r="G783" s="5" t="n"/>
      <c r="H783" s="5" t="n">
        <v>22</v>
      </c>
      <c r="I783" s="5" t="n">
        <v>7</v>
      </c>
      <c r="J783" s="5" t="n">
        <v>11</v>
      </c>
      <c r="K783" s="10">
        <f>IF(F783&gt;0,H783/F783,"")</f>
        <v/>
      </c>
      <c r="L783" s="16">
        <f>IF(AND(G783&gt;0,H783&gt;0),G783/H783,"")</f>
        <v/>
      </c>
    </row>
    <row r="784">
      <c r="A784" s="4" t="inlineStr">
        <is>
          <t>419</t>
        </is>
      </c>
      <c r="B784" s="4" t="n">
        <v>4</v>
      </c>
      <c r="C784" s="4" t="inlineStr">
        <is>
          <t>elk</t>
        </is>
      </c>
      <c r="D784" s="4" t="n">
        <v>2022</v>
      </c>
      <c r="E784" s="13" t="inlineStr">
        <is>
          <t>General</t>
        </is>
      </c>
      <c r="F784" s="5" t="n">
        <v>144</v>
      </c>
      <c r="G784" s="5" t="n">
        <v>764</v>
      </c>
      <c r="H784" s="5" t="n">
        <v>61</v>
      </c>
      <c r="I784" s="5" t="n">
        <v>29</v>
      </c>
      <c r="J784" s="5" t="n">
        <v>32</v>
      </c>
      <c r="K784" s="10">
        <f>IF(F784&gt;0,H784/F784,"")</f>
        <v/>
      </c>
      <c r="L784" s="16">
        <f>IF(AND(G784&gt;0,H784&gt;0),G784/H784,"")</f>
        <v/>
      </c>
    </row>
    <row r="785">
      <c r="A785" s="4" t="inlineStr">
        <is>
          <t>419</t>
        </is>
      </c>
      <c r="B785" s="4" t="n">
        <v>4</v>
      </c>
      <c r="C785" s="4" t="inlineStr">
        <is>
          <t>elk</t>
        </is>
      </c>
      <c r="D785" s="4" t="n">
        <v>2023</v>
      </c>
      <c r="E785" s="13" t="inlineStr">
        <is>
          <t>General</t>
        </is>
      </c>
      <c r="F785" s="5" t="n"/>
      <c r="G785" s="5" t="n"/>
      <c r="H785" s="5" t="n">
        <v>59</v>
      </c>
      <c r="I785" s="5" t="n">
        <v>30</v>
      </c>
      <c r="J785" s="5" t="n">
        <v>26</v>
      </c>
      <c r="K785" s="10">
        <f>IF(F785&gt;0,H785/F785,"")</f>
        <v/>
      </c>
      <c r="L785" s="16">
        <f>IF(AND(G785&gt;0,H785&gt;0),G785/H785,"")</f>
        <v/>
      </c>
    </row>
    <row r="786">
      <c r="A786" s="4" t="inlineStr">
        <is>
          <t>419</t>
        </is>
      </c>
      <c r="B786" s="4" t="n">
        <v>4</v>
      </c>
      <c r="C786" s="4" t="inlineStr">
        <is>
          <t>elk</t>
        </is>
      </c>
      <c r="D786" s="4" t="n">
        <v>2024</v>
      </c>
      <c r="E786" s="13" t="inlineStr">
        <is>
          <t>General</t>
        </is>
      </c>
      <c r="F786" s="5" t="n">
        <v>247</v>
      </c>
      <c r="G786" s="5" t="n">
        <v>1542</v>
      </c>
      <c r="H786" s="5" t="n">
        <v>42</v>
      </c>
      <c r="I786" s="5" t="n">
        <v>18</v>
      </c>
      <c r="J786" s="5" t="n">
        <v>21</v>
      </c>
      <c r="K786" s="10">
        <f>IF(F786&gt;0,H786/F786,"")</f>
        <v/>
      </c>
      <c r="L786" s="16">
        <f>IF(AND(G786&gt;0,H786&gt;0),G786/H786,"")</f>
        <v/>
      </c>
    </row>
    <row r="787">
      <c r="A787" s="4" t="inlineStr">
        <is>
          <t>419</t>
        </is>
      </c>
      <c r="B787" s="4" t="n">
        <v>4</v>
      </c>
      <c r="C787" s="4" t="inlineStr">
        <is>
          <t>elk</t>
        </is>
      </c>
      <c r="D787" s="4" t="n">
        <v>2025</v>
      </c>
      <c r="E787" s="13" t="inlineStr">
        <is>
          <t>General</t>
        </is>
      </c>
      <c r="F787" s="5" t="n"/>
      <c r="G787" s="5" t="n"/>
      <c r="H787" s="5" t="n">
        <v>58</v>
      </c>
      <c r="I787" s="5" t="n">
        <v>17</v>
      </c>
      <c r="J787" s="5" t="n">
        <v>40</v>
      </c>
      <c r="K787" s="10">
        <f>IF(F787&gt;0,H787/F787,"")</f>
        <v/>
      </c>
      <c r="L787" s="16">
        <f>IF(AND(G787&gt;0,H787&gt;0),G787/H787,"")</f>
        <v/>
      </c>
    </row>
    <row r="788">
      <c r="A788" s="4" t="inlineStr">
        <is>
          <t>420</t>
        </is>
      </c>
      <c r="B788" s="4" t="n">
        <v>4</v>
      </c>
      <c r="C788" s="4" t="inlineStr">
        <is>
          <t>elk</t>
        </is>
      </c>
      <c r="D788" s="4" t="n">
        <v>2021</v>
      </c>
      <c r="E788" s="13" t="inlineStr">
        <is>
          <t>General</t>
        </is>
      </c>
      <c r="F788" s="5" t="n"/>
      <c r="G788" s="5" t="n"/>
      <c r="H788" s="5" t="n">
        <v>83</v>
      </c>
      <c r="I788" s="5" t="n">
        <v>42</v>
      </c>
      <c r="J788" s="5" t="n">
        <v>34</v>
      </c>
      <c r="K788" s="10">
        <f>IF(F788&gt;0,H788/F788,"")</f>
        <v/>
      </c>
      <c r="L788" s="16">
        <f>IF(AND(G788&gt;0,H788&gt;0),G788/H788,"")</f>
        <v/>
      </c>
    </row>
    <row r="789">
      <c r="A789" s="4" t="inlineStr">
        <is>
          <t>420</t>
        </is>
      </c>
      <c r="B789" s="4" t="n">
        <v>4</v>
      </c>
      <c r="C789" s="4" t="inlineStr">
        <is>
          <t>elk</t>
        </is>
      </c>
      <c r="D789" s="4" t="n">
        <v>2022</v>
      </c>
      <c r="E789" s="13" t="inlineStr">
        <is>
          <t>General</t>
        </is>
      </c>
      <c r="F789" s="5" t="n">
        <v>296</v>
      </c>
      <c r="G789" s="5" t="n">
        <v>2061</v>
      </c>
      <c r="H789" s="5" t="n">
        <v>58</v>
      </c>
      <c r="I789" s="5" t="n">
        <v>21</v>
      </c>
      <c r="J789" s="5" t="n">
        <v>37</v>
      </c>
      <c r="K789" s="10">
        <f>IF(F789&gt;0,H789/F789,"")</f>
        <v/>
      </c>
      <c r="L789" s="16">
        <f>IF(AND(G789&gt;0,H789&gt;0),G789/H789,"")</f>
        <v/>
      </c>
    </row>
    <row r="790">
      <c r="A790" s="4" t="inlineStr">
        <is>
          <t>420</t>
        </is>
      </c>
      <c r="B790" s="4" t="n">
        <v>4</v>
      </c>
      <c r="C790" s="4" t="inlineStr">
        <is>
          <t>elk</t>
        </is>
      </c>
      <c r="D790" s="4" t="n">
        <v>2023</v>
      </c>
      <c r="E790" s="13" t="inlineStr">
        <is>
          <t>General</t>
        </is>
      </c>
      <c r="F790" s="5" t="n"/>
      <c r="G790" s="5" t="n"/>
      <c r="H790" s="5" t="n">
        <v>37</v>
      </c>
      <c r="I790" s="5" t="n">
        <v>12</v>
      </c>
      <c r="J790" s="5" t="n">
        <v>25</v>
      </c>
      <c r="K790" s="10">
        <f>IF(F790&gt;0,H790/F790,"")</f>
        <v/>
      </c>
      <c r="L790" s="16">
        <f>IF(AND(G790&gt;0,H790&gt;0),G790/H790,"")</f>
        <v/>
      </c>
    </row>
    <row r="791">
      <c r="A791" s="4" t="inlineStr">
        <is>
          <t>420</t>
        </is>
      </c>
      <c r="B791" s="4" t="n">
        <v>4</v>
      </c>
      <c r="C791" s="4" t="inlineStr">
        <is>
          <t>elk</t>
        </is>
      </c>
      <c r="D791" s="4" t="n">
        <v>2024</v>
      </c>
      <c r="E791" s="13" t="inlineStr">
        <is>
          <t>General</t>
        </is>
      </c>
      <c r="F791" s="5" t="n">
        <v>314</v>
      </c>
      <c r="G791" s="5" t="n">
        <v>2385</v>
      </c>
      <c r="H791" s="5" t="n">
        <v>80</v>
      </c>
      <c r="I791" s="5" t="n">
        <v>41</v>
      </c>
      <c r="J791" s="5" t="n">
        <v>37</v>
      </c>
      <c r="K791" s="10">
        <f>IF(F791&gt;0,H791/F791,"")</f>
        <v/>
      </c>
      <c r="L791" s="16">
        <f>IF(AND(G791&gt;0,H791&gt;0),G791/H791,"")</f>
        <v/>
      </c>
    </row>
    <row r="792">
      <c r="A792" s="4" t="inlineStr">
        <is>
          <t>420</t>
        </is>
      </c>
      <c r="B792" s="4" t="n">
        <v>4</v>
      </c>
      <c r="C792" s="4" t="inlineStr">
        <is>
          <t>elk</t>
        </is>
      </c>
      <c r="D792" s="4" t="n">
        <v>2025</v>
      </c>
      <c r="E792" s="13" t="inlineStr">
        <is>
          <t>General</t>
        </is>
      </c>
      <c r="F792" s="5" t="n"/>
      <c r="G792" s="5" t="n"/>
      <c r="H792" s="5" t="n">
        <v>80</v>
      </c>
      <c r="I792" s="5" t="n">
        <v>34</v>
      </c>
      <c r="J792" s="5" t="n">
        <v>45</v>
      </c>
      <c r="K792" s="10">
        <f>IF(F792&gt;0,H792/F792,"")</f>
        <v/>
      </c>
      <c r="L792" s="16">
        <f>IF(AND(G792&gt;0,H792&gt;0),G792/H792,"")</f>
        <v/>
      </c>
    </row>
    <row r="793">
      <c r="A793" s="4" t="inlineStr">
        <is>
          <t>421</t>
        </is>
      </c>
      <c r="B793" s="4" t="n">
        <v>4</v>
      </c>
      <c r="C793" s="4" t="inlineStr">
        <is>
          <t>elk</t>
        </is>
      </c>
      <c r="D793" s="4" t="n">
        <v>2021</v>
      </c>
      <c r="E793" s="13" t="inlineStr">
        <is>
          <t>General</t>
        </is>
      </c>
      <c r="F793" s="5" t="n"/>
      <c r="G793" s="5" t="n"/>
      <c r="H793" s="5" t="n">
        <v>136</v>
      </c>
      <c r="I793" s="5" t="n">
        <v>81</v>
      </c>
      <c r="J793" s="5" t="n">
        <v>51</v>
      </c>
      <c r="K793" s="10">
        <f>IF(F793&gt;0,H793/F793,"")</f>
        <v/>
      </c>
      <c r="L793" s="16">
        <f>IF(AND(G793&gt;0,H793&gt;0),G793/H793,"")</f>
        <v/>
      </c>
    </row>
    <row r="794">
      <c r="A794" s="4" t="inlineStr">
        <is>
          <t>421</t>
        </is>
      </c>
      <c r="B794" s="4" t="n">
        <v>4</v>
      </c>
      <c r="C794" s="4" t="inlineStr">
        <is>
          <t>elk</t>
        </is>
      </c>
      <c r="D794" s="4" t="n">
        <v>2022</v>
      </c>
      <c r="E794" s="13" t="inlineStr">
        <is>
          <t>General</t>
        </is>
      </c>
      <c r="F794" s="5" t="n">
        <v>478</v>
      </c>
      <c r="G794" s="5" t="n">
        <v>2615</v>
      </c>
      <c r="H794" s="5" t="n">
        <v>103</v>
      </c>
      <c r="I794" s="5" t="n">
        <v>47</v>
      </c>
      <c r="J794" s="5" t="n">
        <v>56</v>
      </c>
      <c r="K794" s="10">
        <f>IF(F794&gt;0,H794/F794,"")</f>
        <v/>
      </c>
      <c r="L794" s="16">
        <f>IF(AND(G794&gt;0,H794&gt;0),G794/H794,"")</f>
        <v/>
      </c>
    </row>
    <row r="795">
      <c r="A795" s="4" t="inlineStr">
        <is>
          <t>421</t>
        </is>
      </c>
      <c r="B795" s="4" t="n">
        <v>4</v>
      </c>
      <c r="C795" s="4" t="inlineStr">
        <is>
          <t>elk</t>
        </is>
      </c>
      <c r="D795" s="4" t="n">
        <v>2023</v>
      </c>
      <c r="E795" s="13" t="inlineStr">
        <is>
          <t>General</t>
        </is>
      </c>
      <c r="F795" s="5" t="n"/>
      <c r="G795" s="5" t="n"/>
      <c r="H795" s="5" t="n">
        <v>154</v>
      </c>
      <c r="I795" s="5" t="n">
        <v>96</v>
      </c>
      <c r="J795" s="5" t="n">
        <v>55</v>
      </c>
      <c r="K795" s="10">
        <f>IF(F795&gt;0,H795/F795,"")</f>
        <v/>
      </c>
      <c r="L795" s="16">
        <f>IF(AND(G795&gt;0,H795&gt;0),G795/H795,"")</f>
        <v/>
      </c>
    </row>
    <row r="796">
      <c r="A796" s="4" t="inlineStr">
        <is>
          <t>421</t>
        </is>
      </c>
      <c r="B796" s="4" t="n">
        <v>4</v>
      </c>
      <c r="C796" s="4" t="inlineStr">
        <is>
          <t>elk</t>
        </is>
      </c>
      <c r="D796" s="4" t="n">
        <v>2024</v>
      </c>
      <c r="E796" s="13" t="inlineStr">
        <is>
          <t>General</t>
        </is>
      </c>
      <c r="F796" s="5" t="n">
        <v>596</v>
      </c>
      <c r="G796" s="5" t="n">
        <v>3737</v>
      </c>
      <c r="H796" s="5" t="n">
        <v>167</v>
      </c>
      <c r="I796" s="5" t="n">
        <v>68</v>
      </c>
      <c r="J796" s="5" t="n">
        <v>99</v>
      </c>
      <c r="K796" s="10">
        <f>IF(F796&gt;0,H796/F796,"")</f>
        <v/>
      </c>
      <c r="L796" s="16">
        <f>IF(AND(G796&gt;0,H796&gt;0),G796/H796,"")</f>
        <v/>
      </c>
    </row>
    <row r="797">
      <c r="A797" s="4" t="inlineStr">
        <is>
          <t>421</t>
        </is>
      </c>
      <c r="B797" s="4" t="n">
        <v>4</v>
      </c>
      <c r="C797" s="4" t="inlineStr">
        <is>
          <t>elk</t>
        </is>
      </c>
      <c r="D797" s="4" t="n">
        <v>2025</v>
      </c>
      <c r="E797" s="13" t="inlineStr">
        <is>
          <t>General</t>
        </is>
      </c>
      <c r="F797" s="5" t="n"/>
      <c r="G797" s="5" t="n"/>
      <c r="H797" s="5" t="n">
        <v>184</v>
      </c>
      <c r="I797" s="5" t="n">
        <v>84</v>
      </c>
      <c r="J797" s="5" t="n">
        <v>96</v>
      </c>
      <c r="K797" s="10">
        <f>IF(F797&gt;0,H797/F797,"")</f>
        <v/>
      </c>
      <c r="L797" s="16">
        <f>IF(AND(G797&gt;0,H797&gt;0),G797/H797,"")</f>
        <v/>
      </c>
    </row>
    <row r="798">
      <c r="A798" s="4" t="inlineStr">
        <is>
          <t>422</t>
        </is>
      </c>
      <c r="B798" s="4" t="n">
        <v>4</v>
      </c>
      <c r="C798" s="4" t="inlineStr">
        <is>
          <t>elk</t>
        </is>
      </c>
      <c r="D798" s="4" t="n">
        <v>2021</v>
      </c>
      <c r="E798" s="13" t="inlineStr">
        <is>
          <t>General</t>
        </is>
      </c>
      <c r="F798" s="5" t="n"/>
      <c r="G798" s="5" t="n"/>
      <c r="H798" s="5" t="n">
        <v>140</v>
      </c>
      <c r="I798" s="5" t="n">
        <v>42</v>
      </c>
      <c r="J798" s="5" t="n">
        <v>98</v>
      </c>
      <c r="K798" s="10">
        <f>IF(F798&gt;0,H798/F798,"")</f>
        <v/>
      </c>
      <c r="L798" s="16">
        <f>IF(AND(G798&gt;0,H798&gt;0),G798/H798,"")</f>
        <v/>
      </c>
    </row>
    <row r="799">
      <c r="A799" s="4" t="inlineStr">
        <is>
          <t>422</t>
        </is>
      </c>
      <c r="B799" s="4" t="n">
        <v>4</v>
      </c>
      <c r="C799" s="4" t="inlineStr">
        <is>
          <t>elk</t>
        </is>
      </c>
      <c r="D799" s="4" t="n">
        <v>2022</v>
      </c>
      <c r="E799" s="13" t="inlineStr">
        <is>
          <t>General</t>
        </is>
      </c>
      <c r="F799" s="5" t="n">
        <v>627</v>
      </c>
      <c r="G799" s="5" t="n">
        <v>3890</v>
      </c>
      <c r="H799" s="5" t="n">
        <v>133</v>
      </c>
      <c r="I799" s="5" t="n">
        <v>75</v>
      </c>
      <c r="J799" s="5" t="n">
        <v>54</v>
      </c>
      <c r="K799" s="10">
        <f>IF(F799&gt;0,H799/F799,"")</f>
        <v/>
      </c>
      <c r="L799" s="16">
        <f>IF(AND(G799&gt;0,H799&gt;0),G799/H799,"")</f>
        <v/>
      </c>
    </row>
    <row r="800">
      <c r="A800" s="4" t="inlineStr">
        <is>
          <t>422</t>
        </is>
      </c>
      <c r="B800" s="4" t="n">
        <v>4</v>
      </c>
      <c r="C800" s="4" t="inlineStr">
        <is>
          <t>elk</t>
        </is>
      </c>
      <c r="D800" s="4" t="n">
        <v>2023</v>
      </c>
      <c r="E800" s="13" t="inlineStr">
        <is>
          <t>General</t>
        </is>
      </c>
      <c r="F800" s="5" t="n"/>
      <c r="G800" s="5" t="n"/>
      <c r="H800" s="5" t="n">
        <v>109</v>
      </c>
      <c r="I800" s="5" t="n">
        <v>51</v>
      </c>
      <c r="J800" s="5" t="n">
        <v>58</v>
      </c>
      <c r="K800" s="10">
        <f>IF(F800&gt;0,H800/F800,"")</f>
        <v/>
      </c>
      <c r="L800" s="16">
        <f>IF(AND(G800&gt;0,H800&gt;0),G800/H800,"")</f>
        <v/>
      </c>
    </row>
    <row r="801">
      <c r="A801" s="4" t="inlineStr">
        <is>
          <t>422</t>
        </is>
      </c>
      <c r="B801" s="4" t="n">
        <v>4</v>
      </c>
      <c r="C801" s="4" t="inlineStr">
        <is>
          <t>elk</t>
        </is>
      </c>
      <c r="D801" s="4" t="n">
        <v>2024</v>
      </c>
      <c r="E801" s="13" t="inlineStr">
        <is>
          <t>General</t>
        </is>
      </c>
      <c r="F801" s="5" t="n">
        <v>740</v>
      </c>
      <c r="G801" s="5" t="n">
        <v>4379</v>
      </c>
      <c r="H801" s="5" t="n">
        <v>151</v>
      </c>
      <c r="I801" s="5" t="n">
        <v>61</v>
      </c>
      <c r="J801" s="5" t="n">
        <v>87</v>
      </c>
      <c r="K801" s="10">
        <f>IF(F801&gt;0,H801/F801,"")</f>
        <v/>
      </c>
      <c r="L801" s="16">
        <f>IF(AND(G801&gt;0,H801&gt;0),G801/H801,"")</f>
        <v/>
      </c>
    </row>
    <row r="802">
      <c r="A802" s="4" t="inlineStr">
        <is>
          <t>422</t>
        </is>
      </c>
      <c r="B802" s="4" t="n">
        <v>4</v>
      </c>
      <c r="C802" s="4" t="inlineStr">
        <is>
          <t>elk</t>
        </is>
      </c>
      <c r="D802" s="4" t="n">
        <v>2025</v>
      </c>
      <c r="E802" s="13" t="inlineStr">
        <is>
          <t>General</t>
        </is>
      </c>
      <c r="F802" s="5" t="n"/>
      <c r="G802" s="5" t="n"/>
      <c r="H802" s="5" t="n">
        <v>136</v>
      </c>
      <c r="I802" s="5" t="n">
        <v>52</v>
      </c>
      <c r="J802" s="5" t="n">
        <v>84</v>
      </c>
      <c r="K802" s="10">
        <f>IF(F802&gt;0,H802/F802,"")</f>
        <v/>
      </c>
      <c r="L802" s="16">
        <f>IF(AND(G802&gt;0,H802&gt;0),G802/H802,"")</f>
        <v/>
      </c>
    </row>
    <row r="803">
      <c r="A803" s="4" t="inlineStr">
        <is>
          <t>423</t>
        </is>
      </c>
      <c r="B803" s="4" t="n">
        <v>4</v>
      </c>
      <c r="C803" s="4" t="inlineStr">
        <is>
          <t>elk</t>
        </is>
      </c>
      <c r="D803" s="4" t="n">
        <v>2021</v>
      </c>
      <c r="E803" s="4" t="inlineStr"/>
      <c r="F803" s="5" t="n"/>
      <c r="G803" s="5" t="n"/>
      <c r="H803" s="5" t="n">
        <v>53</v>
      </c>
      <c r="I803" s="5" t="n">
        <v>26</v>
      </c>
      <c r="J803" s="5" t="n">
        <v>27</v>
      </c>
      <c r="K803" s="10">
        <f>IF(F803&gt;0,H803/F803,"")</f>
        <v/>
      </c>
      <c r="L803" s="16">
        <f>IF(AND(G803&gt;0,H803&gt;0),G803/H803,"")</f>
        <v/>
      </c>
    </row>
    <row r="804">
      <c r="A804" s="4" t="inlineStr">
        <is>
          <t>424</t>
        </is>
      </c>
      <c r="B804" s="4" t="n">
        <v>4</v>
      </c>
      <c r="C804" s="4" t="inlineStr">
        <is>
          <t>elk</t>
        </is>
      </c>
      <c r="D804" s="4" t="n">
        <v>2021</v>
      </c>
      <c r="E804" s="13" t="inlineStr">
        <is>
          <t>General</t>
        </is>
      </c>
      <c r="F804" s="5" t="n"/>
      <c r="G804" s="5" t="n"/>
      <c r="H804" s="5" t="n">
        <v>14</v>
      </c>
      <c r="I804" s="5" t="n">
        <v>11</v>
      </c>
      <c r="J804" s="5" t="n">
        <v>2</v>
      </c>
      <c r="K804" s="10">
        <f>IF(F804&gt;0,H804/F804,"")</f>
        <v/>
      </c>
      <c r="L804" s="16">
        <f>IF(AND(G804&gt;0,H804&gt;0),G804/H804,"")</f>
        <v/>
      </c>
    </row>
    <row r="805">
      <c r="A805" s="4" t="inlineStr">
        <is>
          <t>424</t>
        </is>
      </c>
      <c r="B805" s="4" t="n">
        <v>4</v>
      </c>
      <c r="C805" s="4" t="inlineStr">
        <is>
          <t>elk</t>
        </is>
      </c>
      <c r="D805" s="4" t="n">
        <v>2022</v>
      </c>
      <c r="E805" s="13" t="inlineStr">
        <is>
          <t>General</t>
        </is>
      </c>
      <c r="F805" s="5" t="n">
        <v>210</v>
      </c>
      <c r="G805" s="5" t="n">
        <v>1099</v>
      </c>
      <c r="H805" s="5" t="n">
        <v>28</v>
      </c>
      <c r="I805" s="5" t="n">
        <v>22</v>
      </c>
      <c r="J805" s="5" t="n">
        <v>3</v>
      </c>
      <c r="K805" s="10">
        <f>IF(F805&gt;0,H805/F805,"")</f>
        <v/>
      </c>
      <c r="L805" s="16">
        <f>IF(AND(G805&gt;0,H805&gt;0),G805/H805,"")</f>
        <v/>
      </c>
    </row>
    <row r="806">
      <c r="A806" s="4" t="inlineStr">
        <is>
          <t>424</t>
        </is>
      </c>
      <c r="B806" s="4" t="n">
        <v>4</v>
      </c>
      <c r="C806" s="4" t="inlineStr">
        <is>
          <t>elk</t>
        </is>
      </c>
      <c r="D806" s="4" t="n">
        <v>2023</v>
      </c>
      <c r="E806" s="13" t="inlineStr">
        <is>
          <t>General</t>
        </is>
      </c>
      <c r="F806" s="5" t="n"/>
      <c r="G806" s="5" t="n"/>
      <c r="H806" s="5" t="n">
        <v>11</v>
      </c>
      <c r="I806" s="5" t="n">
        <v>11</v>
      </c>
      <c r="J806" s="5" t="n">
        <v>0</v>
      </c>
      <c r="K806" s="10">
        <f>IF(F806&gt;0,H806/F806,"")</f>
        <v/>
      </c>
      <c r="L806" s="16">
        <f>IF(AND(G806&gt;0,H806&gt;0),G806/H806,"")</f>
        <v/>
      </c>
    </row>
    <row r="807">
      <c r="A807" s="4" t="inlineStr">
        <is>
          <t>424</t>
        </is>
      </c>
      <c r="B807" s="4" t="n">
        <v>4</v>
      </c>
      <c r="C807" s="4" t="inlineStr">
        <is>
          <t>elk</t>
        </is>
      </c>
      <c r="D807" s="4" t="n">
        <v>2024</v>
      </c>
      <c r="E807" s="13" t="inlineStr">
        <is>
          <t>General</t>
        </is>
      </c>
      <c r="F807" s="5" t="n">
        <v>279</v>
      </c>
      <c r="G807" s="5" t="n">
        <v>1391</v>
      </c>
      <c r="H807" s="5" t="n">
        <v>29</v>
      </c>
      <c r="I807" s="5" t="n">
        <v>8</v>
      </c>
      <c r="J807" s="5" t="n">
        <v>18</v>
      </c>
      <c r="K807" s="10">
        <f>IF(F807&gt;0,H807/F807,"")</f>
        <v/>
      </c>
      <c r="L807" s="16">
        <f>IF(AND(G807&gt;0,H807&gt;0),G807/H807,"")</f>
        <v/>
      </c>
    </row>
    <row r="808">
      <c r="A808" s="4" t="inlineStr">
        <is>
          <t>424</t>
        </is>
      </c>
      <c r="B808" s="4" t="n">
        <v>4</v>
      </c>
      <c r="C808" s="4" t="inlineStr">
        <is>
          <t>elk</t>
        </is>
      </c>
      <c r="D808" s="4" t="n">
        <v>2025</v>
      </c>
      <c r="E808" s="13" t="inlineStr">
        <is>
          <t>General</t>
        </is>
      </c>
      <c r="F808" s="5" t="n"/>
      <c r="G808" s="5" t="n"/>
      <c r="H808" s="5" t="n">
        <v>4</v>
      </c>
      <c r="I808" s="5" t="n">
        <v>4</v>
      </c>
      <c r="J808" s="5" t="n">
        <v>0</v>
      </c>
      <c r="K808" s="10">
        <f>IF(F808&gt;0,H808/F808,"")</f>
        <v/>
      </c>
      <c r="L808" s="16">
        <f>IF(AND(G808&gt;0,H808&gt;0),G808/H808,"")</f>
        <v/>
      </c>
    </row>
    <row r="809">
      <c r="A809" s="4" t="inlineStr">
        <is>
          <t>425</t>
        </is>
      </c>
      <c r="B809" s="4" t="n">
        <v>4</v>
      </c>
      <c r="C809" s="4" t="inlineStr">
        <is>
          <t>elk</t>
        </is>
      </c>
      <c r="D809" s="4" t="n">
        <v>2021</v>
      </c>
      <c r="E809" s="13" t="inlineStr">
        <is>
          <t>General</t>
        </is>
      </c>
      <c r="F809" s="5" t="n"/>
      <c r="G809" s="5" t="n"/>
      <c r="H809" s="5" t="n">
        <v>43</v>
      </c>
      <c r="I809" s="5" t="n">
        <v>19</v>
      </c>
      <c r="J809" s="5" t="n">
        <v>24</v>
      </c>
      <c r="K809" s="10">
        <f>IF(F809&gt;0,H809/F809,"")</f>
        <v/>
      </c>
      <c r="L809" s="16">
        <f>IF(AND(G809&gt;0,H809&gt;0),G809/H809,"")</f>
        <v/>
      </c>
    </row>
    <row r="810">
      <c r="A810" s="4" t="inlineStr">
        <is>
          <t>425</t>
        </is>
      </c>
      <c r="B810" s="4" t="n">
        <v>4</v>
      </c>
      <c r="C810" s="4" t="inlineStr">
        <is>
          <t>elk</t>
        </is>
      </c>
      <c r="D810" s="4" t="n">
        <v>2022</v>
      </c>
      <c r="E810" s="13" t="inlineStr">
        <is>
          <t>General</t>
        </is>
      </c>
      <c r="F810" s="5" t="n">
        <v>338</v>
      </c>
      <c r="G810" s="5" t="n">
        <v>1990</v>
      </c>
      <c r="H810" s="5" t="n">
        <v>51</v>
      </c>
      <c r="I810" s="5" t="n">
        <v>25</v>
      </c>
      <c r="J810" s="5" t="n">
        <v>26</v>
      </c>
      <c r="K810" s="10">
        <f>IF(F810&gt;0,H810/F810,"")</f>
        <v/>
      </c>
      <c r="L810" s="16">
        <f>IF(AND(G810&gt;0,H810&gt;0),G810/H810,"")</f>
        <v/>
      </c>
    </row>
    <row r="811">
      <c r="A811" s="4" t="inlineStr">
        <is>
          <t>425</t>
        </is>
      </c>
      <c r="B811" s="4" t="n">
        <v>4</v>
      </c>
      <c r="C811" s="4" t="inlineStr">
        <is>
          <t>elk</t>
        </is>
      </c>
      <c r="D811" s="4" t="n">
        <v>2023</v>
      </c>
      <c r="E811" s="13" t="inlineStr">
        <is>
          <t>General</t>
        </is>
      </c>
      <c r="F811" s="5" t="n"/>
      <c r="G811" s="5" t="n"/>
      <c r="H811" s="5" t="n">
        <v>66</v>
      </c>
      <c r="I811" s="5" t="n">
        <v>34</v>
      </c>
      <c r="J811" s="5" t="n">
        <v>32</v>
      </c>
      <c r="K811" s="10">
        <f>IF(F811&gt;0,H811/F811,"")</f>
        <v/>
      </c>
      <c r="L811" s="16">
        <f>IF(AND(G811&gt;0,H811&gt;0),G811/H811,"")</f>
        <v/>
      </c>
    </row>
    <row r="812">
      <c r="A812" s="4" t="inlineStr">
        <is>
          <t>425</t>
        </is>
      </c>
      <c r="B812" s="4" t="n">
        <v>4</v>
      </c>
      <c r="C812" s="4" t="inlineStr">
        <is>
          <t>elk</t>
        </is>
      </c>
      <c r="D812" s="4" t="n">
        <v>2024</v>
      </c>
      <c r="E812" s="13" t="inlineStr">
        <is>
          <t>General</t>
        </is>
      </c>
      <c r="F812" s="5" t="n">
        <v>461</v>
      </c>
      <c r="G812" s="5" t="n">
        <v>2781</v>
      </c>
      <c r="H812" s="5" t="n">
        <v>76</v>
      </c>
      <c r="I812" s="5" t="n">
        <v>32</v>
      </c>
      <c r="J812" s="5" t="n">
        <v>44</v>
      </c>
      <c r="K812" s="10">
        <f>IF(F812&gt;0,H812/F812,"")</f>
        <v/>
      </c>
      <c r="L812" s="16">
        <f>IF(AND(G812&gt;0,H812&gt;0),G812/H812,"")</f>
        <v/>
      </c>
    </row>
    <row r="813">
      <c r="A813" s="4" t="inlineStr">
        <is>
          <t>425</t>
        </is>
      </c>
      <c r="B813" s="4" t="n">
        <v>4</v>
      </c>
      <c r="C813" s="4" t="inlineStr">
        <is>
          <t>elk</t>
        </is>
      </c>
      <c r="D813" s="4" t="n">
        <v>2025</v>
      </c>
      <c r="E813" s="13" t="inlineStr">
        <is>
          <t>General</t>
        </is>
      </c>
      <c r="F813" s="5" t="n"/>
      <c r="G813" s="5" t="n"/>
      <c r="H813" s="5" t="n">
        <v>98</v>
      </c>
      <c r="I813" s="5" t="n">
        <v>18</v>
      </c>
      <c r="J813" s="5" t="n">
        <v>74</v>
      </c>
      <c r="K813" s="10">
        <f>IF(F813&gt;0,H813/F813,"")</f>
        <v/>
      </c>
      <c r="L813" s="16">
        <f>IF(AND(G813&gt;0,H813&gt;0),G813/H813,"")</f>
        <v/>
      </c>
    </row>
    <row r="814">
      <c r="A814" s="4" t="inlineStr">
        <is>
          <t>426</t>
        </is>
      </c>
      <c r="B814" s="4" t="n">
        <v>4</v>
      </c>
      <c r="C814" s="4" t="inlineStr">
        <is>
          <t>elk</t>
        </is>
      </c>
      <c r="D814" s="4" t="n">
        <v>2021</v>
      </c>
      <c r="E814" s="15" t="inlineStr">
        <is>
          <t>Draw</t>
        </is>
      </c>
      <c r="F814" s="5" t="n"/>
      <c r="G814" s="5" t="n"/>
      <c r="H814" s="5" t="n">
        <v>67</v>
      </c>
      <c r="I814" s="5" t="n">
        <v>49</v>
      </c>
      <c r="J814" s="5" t="n">
        <v>18</v>
      </c>
      <c r="K814" s="10">
        <f>IF(F814&gt;0,H814/F814,"")</f>
        <v/>
      </c>
      <c r="L814" s="16">
        <f>IF(AND(G814&gt;0,H814&gt;0),G814/H814,"")</f>
        <v/>
      </c>
    </row>
    <row r="815">
      <c r="A815" s="4" t="inlineStr">
        <is>
          <t>426</t>
        </is>
      </c>
      <c r="B815" s="4" t="n">
        <v>4</v>
      </c>
      <c r="C815" s="4" t="inlineStr">
        <is>
          <t>elk</t>
        </is>
      </c>
      <c r="D815" s="4" t="n">
        <v>2022</v>
      </c>
      <c r="E815" s="15" t="inlineStr">
        <is>
          <t>Draw</t>
        </is>
      </c>
      <c r="F815" s="5" t="n">
        <v>322</v>
      </c>
      <c r="G815" s="5" t="n">
        <v>2477</v>
      </c>
      <c r="H815" s="5" t="n">
        <v>91</v>
      </c>
      <c r="I815" s="5" t="n">
        <v>50</v>
      </c>
      <c r="J815" s="5" t="n">
        <v>42</v>
      </c>
      <c r="K815" s="10">
        <f>IF(F815&gt;0,H815/F815,"")</f>
        <v/>
      </c>
      <c r="L815" s="16">
        <f>IF(AND(G815&gt;0,H815&gt;0),G815/H815,"")</f>
        <v/>
      </c>
    </row>
    <row r="816">
      <c r="A816" s="4" t="inlineStr">
        <is>
          <t>426</t>
        </is>
      </c>
      <c r="B816" s="4" t="n">
        <v>4</v>
      </c>
      <c r="C816" s="4" t="inlineStr">
        <is>
          <t>elk</t>
        </is>
      </c>
      <c r="D816" s="4" t="n">
        <v>2023</v>
      </c>
      <c r="E816" s="15" t="inlineStr">
        <is>
          <t>Draw</t>
        </is>
      </c>
      <c r="F816" s="5" t="n"/>
      <c r="G816" s="5" t="n"/>
      <c r="H816" s="5" t="n">
        <v>106</v>
      </c>
      <c r="I816" s="5" t="n">
        <v>45</v>
      </c>
      <c r="J816" s="5" t="n">
        <v>58</v>
      </c>
      <c r="K816" s="10">
        <f>IF(F816&gt;0,H816/F816,"")</f>
        <v/>
      </c>
      <c r="L816" s="16">
        <f>IF(AND(G816&gt;0,H816&gt;0),G816/H816,"")</f>
        <v/>
      </c>
    </row>
    <row r="817">
      <c r="A817" s="4" t="inlineStr">
        <is>
          <t>426</t>
        </is>
      </c>
      <c r="B817" s="4" t="n">
        <v>4</v>
      </c>
      <c r="C817" s="4" t="inlineStr">
        <is>
          <t>elk</t>
        </is>
      </c>
      <c r="D817" s="4" t="n">
        <v>2024</v>
      </c>
      <c r="E817" s="15" t="inlineStr">
        <is>
          <t>Draw</t>
        </is>
      </c>
      <c r="F817" s="5" t="n">
        <v>319</v>
      </c>
      <c r="G817" s="5" t="n">
        <v>2106</v>
      </c>
      <c r="H817" s="5" t="n">
        <v>89</v>
      </c>
      <c r="I817" s="5" t="n">
        <v>57</v>
      </c>
      <c r="J817" s="5" t="n">
        <v>29</v>
      </c>
      <c r="K817" s="10">
        <f>IF(F817&gt;0,H817/F817,"")</f>
        <v/>
      </c>
      <c r="L817" s="16">
        <f>IF(AND(G817&gt;0,H817&gt;0),G817/H817,"")</f>
        <v/>
      </c>
    </row>
    <row r="818">
      <c r="A818" s="4" t="inlineStr">
        <is>
          <t>426</t>
        </is>
      </c>
      <c r="B818" s="4" t="n">
        <v>4</v>
      </c>
      <c r="C818" s="4" t="inlineStr">
        <is>
          <t>elk</t>
        </is>
      </c>
      <c r="D818" s="4" t="n">
        <v>2025</v>
      </c>
      <c r="E818" s="15" t="inlineStr">
        <is>
          <t>Draw</t>
        </is>
      </c>
      <c r="F818" s="5" t="n"/>
      <c r="G818" s="5" t="n"/>
      <c r="H818" s="5" t="n">
        <v>122</v>
      </c>
      <c r="I818" s="5" t="n">
        <v>53</v>
      </c>
      <c r="J818" s="5" t="n">
        <v>69</v>
      </c>
      <c r="K818" s="10">
        <f>IF(F818&gt;0,H818/F818,"")</f>
        <v/>
      </c>
      <c r="L818" s="16">
        <f>IF(AND(G818&gt;0,H818&gt;0),G818/H818,"")</f>
        <v/>
      </c>
    </row>
    <row r="819">
      <c r="A819" s="4" t="inlineStr">
        <is>
          <t>432</t>
        </is>
      </c>
      <c r="B819" s="4" t="n">
        <v>4</v>
      </c>
      <c r="C819" s="4" t="inlineStr">
        <is>
          <t>elk</t>
        </is>
      </c>
      <c r="D819" s="4" t="n">
        <v>2021</v>
      </c>
      <c r="E819" s="13" t="inlineStr">
        <is>
          <t>General</t>
        </is>
      </c>
      <c r="F819" s="5" t="n"/>
      <c r="G819" s="5" t="n"/>
      <c r="H819" s="5" t="n">
        <v>115</v>
      </c>
      <c r="I819" s="5" t="n">
        <v>76</v>
      </c>
      <c r="J819" s="5" t="n">
        <v>39</v>
      </c>
      <c r="K819" s="10">
        <f>IF(F819&gt;0,H819/F819,"")</f>
        <v/>
      </c>
      <c r="L819" s="16">
        <f>IF(AND(G819&gt;0,H819&gt;0),G819/H819,"")</f>
        <v/>
      </c>
    </row>
    <row r="820">
      <c r="A820" s="4" t="inlineStr">
        <is>
          <t>441</t>
        </is>
      </c>
      <c r="B820" s="4" t="n">
        <v>4</v>
      </c>
      <c r="C820" s="4" t="inlineStr">
        <is>
          <t>elk</t>
        </is>
      </c>
      <c r="D820" s="4" t="n">
        <v>2021</v>
      </c>
      <c r="E820" s="13" t="inlineStr">
        <is>
          <t>General</t>
        </is>
      </c>
      <c r="F820" s="5" t="n"/>
      <c r="G820" s="5" t="n"/>
      <c r="H820" s="5" t="n">
        <v>73</v>
      </c>
      <c r="I820" s="5" t="n">
        <v>27</v>
      </c>
      <c r="J820" s="5" t="n">
        <v>42</v>
      </c>
      <c r="K820" s="10">
        <f>IF(F820&gt;0,H820/F820,"")</f>
        <v/>
      </c>
      <c r="L820" s="16">
        <f>IF(AND(G820&gt;0,H820&gt;0),G820/H820,"")</f>
        <v/>
      </c>
    </row>
    <row r="821">
      <c r="A821" s="4" t="inlineStr">
        <is>
          <t>441</t>
        </is>
      </c>
      <c r="B821" s="4" t="n">
        <v>4</v>
      </c>
      <c r="C821" s="4" t="inlineStr">
        <is>
          <t>elk</t>
        </is>
      </c>
      <c r="D821" s="4" t="n">
        <v>2022</v>
      </c>
      <c r="E821" s="13" t="inlineStr">
        <is>
          <t>General</t>
        </is>
      </c>
      <c r="F821" s="5" t="n">
        <v>401</v>
      </c>
      <c r="G821" s="5" t="n">
        <v>2924</v>
      </c>
      <c r="H821" s="5" t="n">
        <v>64</v>
      </c>
      <c r="I821" s="5" t="n">
        <v>22</v>
      </c>
      <c r="J821" s="5" t="n">
        <v>42</v>
      </c>
      <c r="K821" s="10">
        <f>IF(F821&gt;0,H821/F821,"")</f>
        <v/>
      </c>
      <c r="L821" s="16">
        <f>IF(AND(G821&gt;0,H821&gt;0),G821/H821,"")</f>
        <v/>
      </c>
    </row>
    <row r="822">
      <c r="A822" s="4" t="inlineStr">
        <is>
          <t>441</t>
        </is>
      </c>
      <c r="B822" s="4" t="n">
        <v>4</v>
      </c>
      <c r="C822" s="4" t="inlineStr">
        <is>
          <t>elk</t>
        </is>
      </c>
      <c r="D822" s="4" t="n">
        <v>2023</v>
      </c>
      <c r="E822" s="13" t="inlineStr">
        <is>
          <t>General</t>
        </is>
      </c>
      <c r="F822" s="5" t="n"/>
      <c r="G822" s="5" t="n"/>
      <c r="H822" s="5" t="n">
        <v>75</v>
      </c>
      <c r="I822" s="5" t="n">
        <v>25</v>
      </c>
      <c r="J822" s="5" t="n">
        <v>48</v>
      </c>
      <c r="K822" s="10">
        <f>IF(F822&gt;0,H822/F822,"")</f>
        <v/>
      </c>
      <c r="L822" s="16">
        <f>IF(AND(G822&gt;0,H822&gt;0),G822/H822,"")</f>
        <v/>
      </c>
    </row>
    <row r="823">
      <c r="A823" s="4" t="inlineStr">
        <is>
          <t>441</t>
        </is>
      </c>
      <c r="B823" s="4" t="n">
        <v>4</v>
      </c>
      <c r="C823" s="4" t="inlineStr">
        <is>
          <t>elk</t>
        </is>
      </c>
      <c r="D823" s="4" t="n">
        <v>2024</v>
      </c>
      <c r="E823" s="13" t="inlineStr">
        <is>
          <t>General</t>
        </is>
      </c>
      <c r="F823" s="5" t="n">
        <v>577</v>
      </c>
      <c r="G823" s="5" t="n">
        <v>3846</v>
      </c>
      <c r="H823" s="5" t="n">
        <v>98</v>
      </c>
      <c r="I823" s="5" t="n">
        <v>30</v>
      </c>
      <c r="J823" s="5" t="n">
        <v>65</v>
      </c>
      <c r="K823" s="10">
        <f>IF(F823&gt;0,H823/F823,"")</f>
        <v/>
      </c>
      <c r="L823" s="16">
        <f>IF(AND(G823&gt;0,H823&gt;0),G823/H823,"")</f>
        <v/>
      </c>
    </row>
    <row r="824">
      <c r="A824" s="4" t="inlineStr">
        <is>
          <t>441</t>
        </is>
      </c>
      <c r="B824" s="4" t="n">
        <v>4</v>
      </c>
      <c r="C824" s="4" t="inlineStr">
        <is>
          <t>elk</t>
        </is>
      </c>
      <c r="D824" s="4" t="n">
        <v>2025</v>
      </c>
      <c r="E824" s="13" t="inlineStr">
        <is>
          <t>General</t>
        </is>
      </c>
      <c r="F824" s="5" t="n"/>
      <c r="G824" s="5" t="n"/>
      <c r="H824" s="5" t="n">
        <v>123</v>
      </c>
      <c r="I824" s="5" t="n">
        <v>48</v>
      </c>
      <c r="J824" s="5" t="n">
        <v>75</v>
      </c>
      <c r="K824" s="10">
        <f>IF(F824&gt;0,H824/F824,"")</f>
        <v/>
      </c>
      <c r="L824" s="16">
        <f>IF(AND(G824&gt;0,H824&gt;0),G824/H824,"")</f>
        <v/>
      </c>
    </row>
    <row r="825">
      <c r="A825" s="4" t="inlineStr">
        <is>
          <t>442</t>
        </is>
      </c>
      <c r="B825" s="4" t="n">
        <v>4</v>
      </c>
      <c r="C825" s="4" t="inlineStr">
        <is>
          <t>elk</t>
        </is>
      </c>
      <c r="D825" s="4" t="n">
        <v>2021</v>
      </c>
      <c r="E825" s="13" t="inlineStr">
        <is>
          <t>General</t>
        </is>
      </c>
      <c r="F825" s="5" t="n"/>
      <c r="G825" s="5" t="n"/>
      <c r="H825" s="5" t="n">
        <v>92</v>
      </c>
      <c r="I825" s="5" t="n">
        <v>63</v>
      </c>
      <c r="J825" s="5" t="n">
        <v>29</v>
      </c>
      <c r="K825" s="10">
        <f>IF(F825&gt;0,H825/F825,"")</f>
        <v/>
      </c>
      <c r="L825" s="16">
        <f>IF(AND(G825&gt;0,H825&gt;0),G825/H825,"")</f>
        <v/>
      </c>
    </row>
    <row r="826">
      <c r="A826" s="4" t="inlineStr">
        <is>
          <t>442</t>
        </is>
      </c>
      <c r="B826" s="4" t="n">
        <v>4</v>
      </c>
      <c r="C826" s="4" t="inlineStr">
        <is>
          <t>elk</t>
        </is>
      </c>
      <c r="D826" s="4" t="n">
        <v>2022</v>
      </c>
      <c r="E826" s="13" t="inlineStr">
        <is>
          <t>General</t>
        </is>
      </c>
      <c r="F826" s="5" t="n">
        <v>512</v>
      </c>
      <c r="G826" s="5" t="n">
        <v>3226</v>
      </c>
      <c r="H826" s="5" t="n">
        <v>98</v>
      </c>
      <c r="I826" s="5" t="n">
        <v>69</v>
      </c>
      <c r="J826" s="5" t="n">
        <v>25</v>
      </c>
      <c r="K826" s="10">
        <f>IF(F826&gt;0,H826/F826,"")</f>
        <v/>
      </c>
      <c r="L826" s="16">
        <f>IF(AND(G826&gt;0,H826&gt;0),G826/H826,"")</f>
        <v/>
      </c>
    </row>
    <row r="827">
      <c r="A827" s="4" t="inlineStr">
        <is>
          <t>442</t>
        </is>
      </c>
      <c r="B827" s="4" t="n">
        <v>4</v>
      </c>
      <c r="C827" s="4" t="inlineStr">
        <is>
          <t>elk</t>
        </is>
      </c>
      <c r="D827" s="4" t="n">
        <v>2023</v>
      </c>
      <c r="E827" s="13" t="inlineStr">
        <is>
          <t>General</t>
        </is>
      </c>
      <c r="F827" s="5" t="n"/>
      <c r="G827" s="5" t="n"/>
      <c r="H827" s="5" t="n">
        <v>52</v>
      </c>
      <c r="I827" s="5" t="n">
        <v>44</v>
      </c>
      <c r="J827" s="5" t="n">
        <v>6</v>
      </c>
      <c r="K827" s="10">
        <f>IF(F827&gt;0,H827/F827,"")</f>
        <v/>
      </c>
      <c r="L827" s="16">
        <f>IF(AND(G827&gt;0,H827&gt;0),G827/H827,"")</f>
        <v/>
      </c>
    </row>
    <row r="828">
      <c r="A828" s="4" t="inlineStr">
        <is>
          <t>442</t>
        </is>
      </c>
      <c r="B828" s="4" t="n">
        <v>4</v>
      </c>
      <c r="C828" s="4" t="inlineStr">
        <is>
          <t>elk</t>
        </is>
      </c>
      <c r="D828" s="4" t="n">
        <v>2024</v>
      </c>
      <c r="E828" s="13" t="inlineStr">
        <is>
          <t>General</t>
        </is>
      </c>
      <c r="F828" s="5" t="n">
        <v>550</v>
      </c>
      <c r="G828" s="5" t="n">
        <v>3920</v>
      </c>
      <c r="H828" s="5" t="n">
        <v>58</v>
      </c>
      <c r="I828" s="5" t="n">
        <v>32</v>
      </c>
      <c r="J828" s="5" t="n">
        <v>26</v>
      </c>
      <c r="K828" s="10">
        <f>IF(F828&gt;0,H828/F828,"")</f>
        <v/>
      </c>
      <c r="L828" s="16">
        <f>IF(AND(G828&gt;0,H828&gt;0),G828/H828,"")</f>
        <v/>
      </c>
    </row>
    <row r="829">
      <c r="A829" s="4" t="inlineStr">
        <is>
          <t>442</t>
        </is>
      </c>
      <c r="B829" s="4" t="n">
        <v>4</v>
      </c>
      <c r="C829" s="4" t="inlineStr">
        <is>
          <t>elk</t>
        </is>
      </c>
      <c r="D829" s="4" t="n">
        <v>2025</v>
      </c>
      <c r="E829" s="13" t="inlineStr">
        <is>
          <t>General</t>
        </is>
      </c>
      <c r="F829" s="5" t="n"/>
      <c r="G829" s="5" t="n"/>
      <c r="H829" s="5" t="n">
        <v>44</v>
      </c>
      <c r="I829" s="5" t="n">
        <v>38</v>
      </c>
      <c r="J829" s="5" t="n">
        <v>7</v>
      </c>
      <c r="K829" s="10">
        <f>IF(F829&gt;0,H829/F829,"")</f>
        <v/>
      </c>
      <c r="L829" s="16">
        <f>IF(AND(G829&gt;0,H829&gt;0),G829/H829,"")</f>
        <v/>
      </c>
    </row>
    <row r="830">
      <c r="A830" s="4" t="inlineStr">
        <is>
          <t>444</t>
        </is>
      </c>
      <c r="B830" s="4" t="n">
        <v>4</v>
      </c>
      <c r="C830" s="4" t="inlineStr">
        <is>
          <t>elk</t>
        </is>
      </c>
      <c r="D830" s="4" t="n">
        <v>2021</v>
      </c>
      <c r="E830" s="13" t="inlineStr">
        <is>
          <t>General</t>
        </is>
      </c>
      <c r="F830" s="5" t="n"/>
      <c r="G830" s="5" t="n"/>
      <c r="H830" s="5" t="n">
        <v>15</v>
      </c>
      <c r="I830" s="5" t="n">
        <v>7</v>
      </c>
      <c r="J830" s="5" t="n">
        <v>7</v>
      </c>
      <c r="K830" s="10">
        <f>IF(F830&gt;0,H830/F830,"")</f>
        <v/>
      </c>
      <c r="L830" s="16">
        <f>IF(AND(G830&gt;0,H830&gt;0),G830/H830,"")</f>
        <v/>
      </c>
    </row>
    <row r="831">
      <c r="A831" s="4" t="inlineStr">
        <is>
          <t>444</t>
        </is>
      </c>
      <c r="B831" s="4" t="n">
        <v>4</v>
      </c>
      <c r="C831" s="4" t="inlineStr">
        <is>
          <t>elk</t>
        </is>
      </c>
      <c r="D831" s="4" t="n">
        <v>2022</v>
      </c>
      <c r="E831" s="13" t="inlineStr">
        <is>
          <t>General</t>
        </is>
      </c>
      <c r="F831" s="5" t="n">
        <v>143</v>
      </c>
      <c r="G831" s="5" t="n">
        <v>675</v>
      </c>
      <c r="H831" s="5" t="n">
        <v>16</v>
      </c>
      <c r="I831" s="5" t="n">
        <v>10</v>
      </c>
      <c r="J831" s="5" t="n">
        <v>6</v>
      </c>
      <c r="K831" s="10">
        <f>IF(F831&gt;0,H831/F831,"")</f>
        <v/>
      </c>
      <c r="L831" s="16">
        <f>IF(AND(G831&gt;0,H831&gt;0),G831/H831,"")</f>
        <v/>
      </c>
    </row>
    <row r="832">
      <c r="A832" s="4" t="inlineStr">
        <is>
          <t>444</t>
        </is>
      </c>
      <c r="B832" s="4" t="n">
        <v>4</v>
      </c>
      <c r="C832" s="4" t="inlineStr">
        <is>
          <t>elk</t>
        </is>
      </c>
      <c r="D832" s="4" t="n">
        <v>2023</v>
      </c>
      <c r="E832" s="13" t="inlineStr">
        <is>
          <t>General</t>
        </is>
      </c>
      <c r="F832" s="5" t="n"/>
      <c r="G832" s="5" t="n"/>
      <c r="H832" s="5" t="n">
        <v>18</v>
      </c>
      <c r="I832" s="5" t="n">
        <v>8</v>
      </c>
      <c r="J832" s="5" t="n">
        <v>9</v>
      </c>
      <c r="K832" s="10">
        <f>IF(F832&gt;0,H832/F832,"")</f>
        <v/>
      </c>
      <c r="L832" s="16">
        <f>IF(AND(G832&gt;0,H832&gt;0),G832/H832,"")</f>
        <v/>
      </c>
    </row>
    <row r="833">
      <c r="A833" s="4" t="inlineStr">
        <is>
          <t>444</t>
        </is>
      </c>
      <c r="B833" s="4" t="n">
        <v>4</v>
      </c>
      <c r="C833" s="4" t="inlineStr">
        <is>
          <t>elk</t>
        </is>
      </c>
      <c r="D833" s="4" t="n">
        <v>2024</v>
      </c>
      <c r="E833" s="13" t="inlineStr">
        <is>
          <t>General</t>
        </is>
      </c>
      <c r="F833" s="5" t="n">
        <v>175</v>
      </c>
      <c r="G833" s="5" t="n">
        <v>1159</v>
      </c>
      <c r="H833" s="5" t="n">
        <v>18</v>
      </c>
      <c r="I833" s="5" t="n">
        <v>11</v>
      </c>
      <c r="J833" s="5" t="n">
        <v>7</v>
      </c>
      <c r="K833" s="10">
        <f>IF(F833&gt;0,H833/F833,"")</f>
        <v/>
      </c>
      <c r="L833" s="16">
        <f>IF(AND(G833&gt;0,H833&gt;0),G833/H833,"")</f>
        <v/>
      </c>
    </row>
    <row r="834">
      <c r="A834" s="4" t="inlineStr">
        <is>
          <t>444</t>
        </is>
      </c>
      <c r="B834" s="4" t="n">
        <v>4</v>
      </c>
      <c r="C834" s="4" t="inlineStr">
        <is>
          <t>elk</t>
        </is>
      </c>
      <c r="D834" s="4" t="n">
        <v>2025</v>
      </c>
      <c r="E834" s="13" t="inlineStr">
        <is>
          <t>General</t>
        </is>
      </c>
      <c r="F834" s="5" t="n"/>
      <c r="G834" s="5" t="n"/>
      <c r="H834" s="5" t="n">
        <v>22</v>
      </c>
      <c r="I834" s="5" t="n">
        <v>14</v>
      </c>
      <c r="J834" s="5" t="n">
        <v>8</v>
      </c>
      <c r="K834" s="10">
        <f>IF(F834&gt;0,H834/F834,"")</f>
        <v/>
      </c>
      <c r="L834" s="16">
        <f>IF(AND(G834&gt;0,H834&gt;0),G834/H834,"")</f>
        <v/>
      </c>
    </row>
    <row r="835">
      <c r="A835" s="4" t="inlineStr">
        <is>
          <t>445</t>
        </is>
      </c>
      <c r="B835" s="4" t="n">
        <v>4</v>
      </c>
      <c r="C835" s="4" t="inlineStr">
        <is>
          <t>elk</t>
        </is>
      </c>
      <c r="D835" s="4" t="n">
        <v>2021</v>
      </c>
      <c r="E835" s="13" t="inlineStr">
        <is>
          <t>General</t>
        </is>
      </c>
      <c r="F835" s="5" t="n"/>
      <c r="G835" s="5" t="n"/>
      <c r="H835" s="5" t="n">
        <v>330</v>
      </c>
      <c r="I835" s="5" t="n">
        <v>157</v>
      </c>
      <c r="J835" s="5" t="n">
        <v>169</v>
      </c>
      <c r="K835" s="10">
        <f>IF(F835&gt;0,H835/F835,"")</f>
        <v/>
      </c>
      <c r="L835" s="16">
        <f>IF(AND(G835&gt;0,H835&gt;0),G835/H835,"")</f>
        <v/>
      </c>
    </row>
    <row r="836">
      <c r="A836" s="4" t="inlineStr">
        <is>
          <t>445</t>
        </is>
      </c>
      <c r="B836" s="4" t="n">
        <v>4</v>
      </c>
      <c r="C836" s="4" t="inlineStr">
        <is>
          <t>elk</t>
        </is>
      </c>
      <c r="D836" s="4" t="n">
        <v>2022</v>
      </c>
      <c r="E836" s="13" t="inlineStr">
        <is>
          <t>General</t>
        </is>
      </c>
      <c r="F836" s="5" t="n">
        <v>720</v>
      </c>
      <c r="G836" s="5" t="n">
        <v>3777</v>
      </c>
      <c r="H836" s="5" t="n">
        <v>266</v>
      </c>
      <c r="I836" s="5" t="n">
        <v>137</v>
      </c>
      <c r="J836" s="5" t="n">
        <v>123</v>
      </c>
      <c r="K836" s="10">
        <f>IF(F836&gt;0,H836/F836,"")</f>
        <v/>
      </c>
      <c r="L836" s="16">
        <f>IF(AND(G836&gt;0,H836&gt;0),G836/H836,"")</f>
        <v/>
      </c>
    </row>
    <row r="837">
      <c r="A837" s="4" t="inlineStr">
        <is>
          <t>445</t>
        </is>
      </c>
      <c r="B837" s="4" t="n">
        <v>4</v>
      </c>
      <c r="C837" s="4" t="inlineStr">
        <is>
          <t>elk</t>
        </is>
      </c>
      <c r="D837" s="4" t="n">
        <v>2023</v>
      </c>
      <c r="E837" s="13" t="inlineStr">
        <is>
          <t>General</t>
        </is>
      </c>
      <c r="F837" s="5" t="n"/>
      <c r="G837" s="5" t="n"/>
      <c r="H837" s="5" t="n">
        <v>382</v>
      </c>
      <c r="I837" s="5" t="n">
        <v>170</v>
      </c>
      <c r="J837" s="5" t="n">
        <v>213</v>
      </c>
      <c r="K837" s="10">
        <f>IF(F837&gt;0,H837/F837,"")</f>
        <v/>
      </c>
      <c r="L837" s="16">
        <f>IF(AND(G837&gt;0,H837&gt;0),G837/H837,"")</f>
        <v/>
      </c>
    </row>
    <row r="838">
      <c r="A838" s="4" t="inlineStr">
        <is>
          <t>445</t>
        </is>
      </c>
      <c r="B838" s="4" t="n">
        <v>4</v>
      </c>
      <c r="C838" s="4" t="inlineStr">
        <is>
          <t>elk</t>
        </is>
      </c>
      <c r="D838" s="4" t="n">
        <v>2024</v>
      </c>
      <c r="E838" s="13" t="inlineStr">
        <is>
          <t>General</t>
        </is>
      </c>
      <c r="F838" s="5" t="n">
        <v>847</v>
      </c>
      <c r="G838" s="5" t="n">
        <v>5200</v>
      </c>
      <c r="H838" s="5" t="n">
        <v>350</v>
      </c>
      <c r="I838" s="5" t="n">
        <v>147</v>
      </c>
      <c r="J838" s="5" t="n">
        <v>187</v>
      </c>
      <c r="K838" s="10">
        <f>IF(F838&gt;0,H838/F838,"")</f>
        <v/>
      </c>
      <c r="L838" s="16">
        <f>IF(AND(G838&gt;0,H838&gt;0),G838/H838,"")</f>
        <v/>
      </c>
    </row>
    <row r="839">
      <c r="A839" s="4" t="inlineStr">
        <is>
          <t>445</t>
        </is>
      </c>
      <c r="B839" s="4" t="n">
        <v>4</v>
      </c>
      <c r="C839" s="4" t="inlineStr">
        <is>
          <t>elk</t>
        </is>
      </c>
      <c r="D839" s="4" t="n">
        <v>2025</v>
      </c>
      <c r="E839" s="13" t="inlineStr">
        <is>
          <t>General</t>
        </is>
      </c>
      <c r="F839" s="5" t="n"/>
      <c r="G839" s="5" t="n"/>
      <c r="H839" s="5" t="n">
        <v>521</v>
      </c>
      <c r="I839" s="5" t="n">
        <v>181</v>
      </c>
      <c r="J839" s="5" t="n">
        <v>341</v>
      </c>
      <c r="K839" s="10">
        <f>IF(F839&gt;0,H839/F839,"")</f>
        <v/>
      </c>
      <c r="L839" s="16">
        <f>IF(AND(G839&gt;0,H839&gt;0),G839/H839,"")</f>
        <v/>
      </c>
    </row>
    <row r="840">
      <c r="A840" s="4" t="inlineStr">
        <is>
          <t>446</t>
        </is>
      </c>
      <c r="B840" s="4" t="n">
        <v>4</v>
      </c>
      <c r="C840" s="4" t="inlineStr">
        <is>
          <t>elk</t>
        </is>
      </c>
      <c r="D840" s="4" t="n">
        <v>2021</v>
      </c>
      <c r="E840" s="13" t="inlineStr">
        <is>
          <t>General</t>
        </is>
      </c>
      <c r="F840" s="5" t="n"/>
      <c r="G840" s="5" t="n"/>
      <c r="H840" s="5" t="n">
        <v>391</v>
      </c>
      <c r="I840" s="5" t="n">
        <v>214</v>
      </c>
      <c r="J840" s="5" t="n">
        <v>169</v>
      </c>
      <c r="K840" s="10">
        <f>IF(F840&gt;0,H840/F840,"")</f>
        <v/>
      </c>
      <c r="L840" s="16">
        <f>IF(AND(G840&gt;0,H840&gt;0),G840/H840,"")</f>
        <v/>
      </c>
    </row>
    <row r="841">
      <c r="A841" s="4" t="inlineStr">
        <is>
          <t>446</t>
        </is>
      </c>
      <c r="B841" s="4" t="n">
        <v>4</v>
      </c>
      <c r="C841" s="4" t="inlineStr">
        <is>
          <t>elk</t>
        </is>
      </c>
      <c r="D841" s="4" t="n">
        <v>2022</v>
      </c>
      <c r="E841" s="13" t="inlineStr">
        <is>
          <t>General</t>
        </is>
      </c>
      <c r="F841" s="5" t="n">
        <v>1081</v>
      </c>
      <c r="G841" s="5" t="n">
        <v>6807</v>
      </c>
      <c r="H841" s="5" t="n">
        <v>361</v>
      </c>
      <c r="I841" s="5" t="n">
        <v>217</v>
      </c>
      <c r="J841" s="5" t="n">
        <v>140</v>
      </c>
      <c r="K841" s="10">
        <f>IF(F841&gt;0,H841/F841,"")</f>
        <v/>
      </c>
      <c r="L841" s="16">
        <f>IF(AND(G841&gt;0,H841&gt;0),G841/H841,"")</f>
        <v/>
      </c>
    </row>
    <row r="842">
      <c r="A842" s="4" t="inlineStr">
        <is>
          <t>446</t>
        </is>
      </c>
      <c r="B842" s="4" t="n">
        <v>4</v>
      </c>
      <c r="C842" s="4" t="inlineStr">
        <is>
          <t>elk</t>
        </is>
      </c>
      <c r="D842" s="4" t="n">
        <v>2023</v>
      </c>
      <c r="E842" s="13" t="inlineStr">
        <is>
          <t>General</t>
        </is>
      </c>
      <c r="F842" s="5" t="n"/>
      <c r="G842" s="5" t="n"/>
      <c r="H842" s="5" t="n">
        <v>432</v>
      </c>
      <c r="I842" s="5" t="n">
        <v>232</v>
      </c>
      <c r="J842" s="5" t="n">
        <v>190</v>
      </c>
      <c r="K842" s="10">
        <f>IF(F842&gt;0,H842/F842,"")</f>
        <v/>
      </c>
      <c r="L842" s="16">
        <f>IF(AND(G842&gt;0,H842&gt;0),G842/H842,"")</f>
        <v/>
      </c>
    </row>
    <row r="843">
      <c r="A843" s="4" t="inlineStr">
        <is>
          <t>446</t>
        </is>
      </c>
      <c r="B843" s="4" t="n">
        <v>4</v>
      </c>
      <c r="C843" s="4" t="inlineStr">
        <is>
          <t>elk</t>
        </is>
      </c>
      <c r="D843" s="4" t="n">
        <v>2024</v>
      </c>
      <c r="E843" s="13" t="inlineStr">
        <is>
          <t>General</t>
        </is>
      </c>
      <c r="F843" s="5" t="n">
        <v>1140</v>
      </c>
      <c r="G843" s="5" t="n">
        <v>7253</v>
      </c>
      <c r="H843" s="5" t="n">
        <v>399</v>
      </c>
      <c r="I843" s="5" t="n">
        <v>167</v>
      </c>
      <c r="J843" s="5" t="n">
        <v>220</v>
      </c>
      <c r="K843" s="10">
        <f>IF(F843&gt;0,H843/F843,"")</f>
        <v/>
      </c>
      <c r="L843" s="16">
        <f>IF(AND(G843&gt;0,H843&gt;0),G843/H843,"")</f>
        <v/>
      </c>
    </row>
    <row r="844">
      <c r="A844" s="4" t="inlineStr">
        <is>
          <t>446</t>
        </is>
      </c>
      <c r="B844" s="4" t="n">
        <v>4</v>
      </c>
      <c r="C844" s="4" t="inlineStr">
        <is>
          <t>elk</t>
        </is>
      </c>
      <c r="D844" s="4" t="n">
        <v>2025</v>
      </c>
      <c r="E844" s="13" t="inlineStr">
        <is>
          <t>General</t>
        </is>
      </c>
      <c r="F844" s="5" t="n"/>
      <c r="G844" s="5" t="n"/>
      <c r="H844" s="5" t="n">
        <v>294</v>
      </c>
      <c r="I844" s="5" t="n">
        <v>143</v>
      </c>
      <c r="J844" s="5" t="n">
        <v>151</v>
      </c>
      <c r="K844" s="10">
        <f>IF(F844&gt;0,H844/F844,"")</f>
        <v/>
      </c>
      <c r="L844" s="16">
        <f>IF(AND(G844&gt;0,H844&gt;0),G844/H844,"")</f>
        <v/>
      </c>
    </row>
    <row r="845">
      <c r="A845" s="4" t="inlineStr">
        <is>
          <t>447</t>
        </is>
      </c>
      <c r="B845" s="4" t="n">
        <v>4</v>
      </c>
      <c r="C845" s="4" t="inlineStr">
        <is>
          <t>elk</t>
        </is>
      </c>
      <c r="D845" s="4" t="n">
        <v>2021</v>
      </c>
      <c r="E845" s="15" t="inlineStr">
        <is>
          <t>Draw</t>
        </is>
      </c>
      <c r="F845" s="5" t="n"/>
      <c r="G845" s="5" t="n"/>
      <c r="H845" s="5" t="n">
        <v>246</v>
      </c>
      <c r="I845" s="5" t="n">
        <v>99</v>
      </c>
      <c r="J845" s="5" t="n">
        <v>143</v>
      </c>
      <c r="K845" s="10">
        <f>IF(F845&gt;0,H845/F845,"")</f>
        <v/>
      </c>
      <c r="L845" s="16">
        <f>IF(AND(G845&gt;0,H845&gt;0),G845/H845,"")</f>
        <v/>
      </c>
    </row>
    <row r="846">
      <c r="A846" s="4" t="inlineStr">
        <is>
          <t>447</t>
        </is>
      </c>
      <c r="B846" s="4" t="n">
        <v>4</v>
      </c>
      <c r="C846" s="4" t="inlineStr">
        <is>
          <t>elk</t>
        </is>
      </c>
      <c r="D846" s="4" t="n">
        <v>2022</v>
      </c>
      <c r="E846" s="15" t="inlineStr">
        <is>
          <t>Draw</t>
        </is>
      </c>
      <c r="F846" s="5" t="n">
        <v>978</v>
      </c>
      <c r="G846" s="5" t="n">
        <v>6383</v>
      </c>
      <c r="H846" s="5" t="n">
        <v>230</v>
      </c>
      <c r="I846" s="5" t="n">
        <v>118</v>
      </c>
      <c r="J846" s="5" t="n">
        <v>109</v>
      </c>
      <c r="K846" s="10">
        <f>IF(F846&gt;0,H846/F846,"")</f>
        <v/>
      </c>
      <c r="L846" s="16">
        <f>IF(AND(G846&gt;0,H846&gt;0),G846/H846,"")</f>
        <v/>
      </c>
    </row>
    <row r="847">
      <c r="A847" s="4" t="inlineStr">
        <is>
          <t>447</t>
        </is>
      </c>
      <c r="B847" s="4" t="n">
        <v>4</v>
      </c>
      <c r="C847" s="4" t="inlineStr">
        <is>
          <t>elk</t>
        </is>
      </c>
      <c r="D847" s="4" t="n">
        <v>2023</v>
      </c>
      <c r="E847" s="15" t="inlineStr">
        <is>
          <t>Draw</t>
        </is>
      </c>
      <c r="F847" s="5" t="n"/>
      <c r="G847" s="5" t="n"/>
      <c r="H847" s="5" t="n">
        <v>286</v>
      </c>
      <c r="I847" s="5" t="n">
        <v>109</v>
      </c>
      <c r="J847" s="5" t="n">
        <v>171</v>
      </c>
      <c r="K847" s="10">
        <f>IF(F847&gt;0,H847/F847,"")</f>
        <v/>
      </c>
      <c r="L847" s="16">
        <f>IF(AND(G847&gt;0,H847&gt;0),G847/H847,"")</f>
        <v/>
      </c>
    </row>
    <row r="848">
      <c r="A848" s="4" t="inlineStr">
        <is>
          <t>447</t>
        </is>
      </c>
      <c r="B848" s="4" t="n">
        <v>4</v>
      </c>
      <c r="C848" s="4" t="inlineStr">
        <is>
          <t>elk</t>
        </is>
      </c>
      <c r="D848" s="4" t="n">
        <v>2024</v>
      </c>
      <c r="E848" s="15" t="inlineStr">
        <is>
          <t>Draw</t>
        </is>
      </c>
      <c r="F848" s="5" t="n">
        <v>1063</v>
      </c>
      <c r="G848" s="5" t="n">
        <v>7041</v>
      </c>
      <c r="H848" s="5" t="n">
        <v>281</v>
      </c>
      <c r="I848" s="5" t="n">
        <v>146</v>
      </c>
      <c r="J848" s="5" t="n">
        <v>132</v>
      </c>
      <c r="K848" s="10">
        <f>IF(F848&gt;0,H848/F848,"")</f>
        <v/>
      </c>
      <c r="L848" s="16">
        <f>IF(AND(G848&gt;0,H848&gt;0),G848/H848,"")</f>
        <v/>
      </c>
    </row>
    <row r="849">
      <c r="A849" s="4" t="inlineStr">
        <is>
          <t>447</t>
        </is>
      </c>
      <c r="B849" s="4" t="n">
        <v>4</v>
      </c>
      <c r="C849" s="4" t="inlineStr">
        <is>
          <t>elk</t>
        </is>
      </c>
      <c r="D849" s="4" t="n">
        <v>2025</v>
      </c>
      <c r="E849" s="15" t="inlineStr">
        <is>
          <t>Draw</t>
        </is>
      </c>
      <c r="F849" s="5" t="n"/>
      <c r="G849" s="5" t="n"/>
      <c r="H849" s="5" t="n">
        <v>277</v>
      </c>
      <c r="I849" s="5" t="n">
        <v>127</v>
      </c>
      <c r="J849" s="5" t="n">
        <v>141</v>
      </c>
      <c r="K849" s="10">
        <f>IF(F849&gt;0,H849/F849,"")</f>
        <v/>
      </c>
      <c r="L849" s="16">
        <f>IF(AND(G849&gt;0,H849&gt;0),G849/H849,"")</f>
        <v/>
      </c>
    </row>
    <row r="850">
      <c r="A850" s="4" t="inlineStr">
        <is>
          <t>448</t>
        </is>
      </c>
      <c r="B850" s="4" t="n">
        <v>4</v>
      </c>
      <c r="C850" s="4" t="inlineStr">
        <is>
          <t>elk</t>
        </is>
      </c>
      <c r="D850" s="4" t="n">
        <v>2021</v>
      </c>
      <c r="E850" s="13" t="inlineStr">
        <is>
          <t>General</t>
        </is>
      </c>
      <c r="F850" s="5" t="n"/>
      <c r="G850" s="5" t="n"/>
      <c r="H850" s="5" t="n">
        <v>116</v>
      </c>
      <c r="I850" s="5" t="n">
        <v>78</v>
      </c>
      <c r="J850" s="5" t="n">
        <v>38</v>
      </c>
      <c r="K850" s="10">
        <f>IF(F850&gt;0,H850/F850,"")</f>
        <v/>
      </c>
      <c r="L850" s="16">
        <f>IF(AND(G850&gt;0,H850&gt;0),G850/H850,"")</f>
        <v/>
      </c>
    </row>
    <row r="851">
      <c r="A851" s="4" t="inlineStr">
        <is>
          <t>448</t>
        </is>
      </c>
      <c r="B851" s="4" t="n">
        <v>4</v>
      </c>
      <c r="C851" s="4" t="inlineStr">
        <is>
          <t>elk</t>
        </is>
      </c>
      <c r="D851" s="4" t="n">
        <v>2022</v>
      </c>
      <c r="E851" s="13" t="inlineStr">
        <is>
          <t>General</t>
        </is>
      </c>
      <c r="F851" s="5" t="n">
        <v>941</v>
      </c>
      <c r="G851" s="5" t="n">
        <v>6637</v>
      </c>
      <c r="H851" s="5" t="n">
        <v>191</v>
      </c>
      <c r="I851" s="5" t="n">
        <v>88</v>
      </c>
      <c r="J851" s="5" t="n">
        <v>95</v>
      </c>
      <c r="K851" s="10">
        <f>IF(F851&gt;0,H851/F851,"")</f>
        <v/>
      </c>
      <c r="L851" s="16">
        <f>IF(AND(G851&gt;0,H851&gt;0),G851/H851,"")</f>
        <v/>
      </c>
    </row>
    <row r="852">
      <c r="A852" s="4" t="inlineStr">
        <is>
          <t>448</t>
        </is>
      </c>
      <c r="B852" s="4" t="n">
        <v>4</v>
      </c>
      <c r="C852" s="4" t="inlineStr">
        <is>
          <t>elk</t>
        </is>
      </c>
      <c r="D852" s="4" t="n">
        <v>2023</v>
      </c>
      <c r="E852" s="13" t="inlineStr">
        <is>
          <t>General</t>
        </is>
      </c>
      <c r="F852" s="5" t="n"/>
      <c r="G852" s="5" t="n"/>
      <c r="H852" s="5" t="n">
        <v>143</v>
      </c>
      <c r="I852" s="5" t="n">
        <v>79</v>
      </c>
      <c r="J852" s="5" t="n">
        <v>59</v>
      </c>
      <c r="K852" s="10">
        <f>IF(F852&gt;0,H852/F852,"")</f>
        <v/>
      </c>
      <c r="L852" s="16">
        <f>IF(AND(G852&gt;0,H852&gt;0),G852/H852,"")</f>
        <v/>
      </c>
    </row>
    <row r="853">
      <c r="A853" s="4" t="inlineStr">
        <is>
          <t>448</t>
        </is>
      </c>
      <c r="B853" s="4" t="n">
        <v>4</v>
      </c>
      <c r="C853" s="4" t="inlineStr">
        <is>
          <t>elk</t>
        </is>
      </c>
      <c r="D853" s="4" t="n">
        <v>2024</v>
      </c>
      <c r="E853" s="13" t="inlineStr">
        <is>
          <t>General</t>
        </is>
      </c>
      <c r="F853" s="5" t="n">
        <v>1072</v>
      </c>
      <c r="G853" s="5" t="n">
        <v>7397</v>
      </c>
      <c r="H853" s="5" t="n">
        <v>122</v>
      </c>
      <c r="I853" s="5" t="n">
        <v>73</v>
      </c>
      <c r="J853" s="5" t="n">
        <v>40</v>
      </c>
      <c r="K853" s="10">
        <f>IF(F853&gt;0,H853/F853,"")</f>
        <v/>
      </c>
      <c r="L853" s="16">
        <f>IF(AND(G853&gt;0,H853&gt;0),G853/H853,"")</f>
        <v/>
      </c>
    </row>
    <row r="854">
      <c r="A854" s="4" t="inlineStr">
        <is>
          <t>448</t>
        </is>
      </c>
      <c r="B854" s="4" t="n">
        <v>4</v>
      </c>
      <c r="C854" s="4" t="inlineStr">
        <is>
          <t>elk</t>
        </is>
      </c>
      <c r="D854" s="4" t="n">
        <v>2025</v>
      </c>
      <c r="E854" s="13" t="inlineStr">
        <is>
          <t>General</t>
        </is>
      </c>
      <c r="F854" s="5" t="n"/>
      <c r="G854" s="5" t="n"/>
      <c r="H854" s="5" t="n">
        <v>124</v>
      </c>
      <c r="I854" s="5" t="n">
        <v>75</v>
      </c>
      <c r="J854" s="5" t="n">
        <v>49</v>
      </c>
      <c r="K854" s="10">
        <f>IF(F854&gt;0,H854/F854,"")</f>
        <v/>
      </c>
      <c r="L854" s="16">
        <f>IF(AND(G854&gt;0,H854&gt;0),G854/H854,"")</f>
        <v/>
      </c>
    </row>
    <row r="855">
      <c r="A855" s="4" t="inlineStr">
        <is>
          <t>450</t>
        </is>
      </c>
      <c r="B855" s="4" t="n">
        <v>4</v>
      </c>
      <c r="C855" s="4" t="inlineStr">
        <is>
          <t>elk</t>
        </is>
      </c>
      <c r="D855" s="4" t="n">
        <v>2021</v>
      </c>
      <c r="E855" s="13" t="inlineStr">
        <is>
          <t>General</t>
        </is>
      </c>
      <c r="F855" s="5" t="n"/>
      <c r="G855" s="5" t="n"/>
      <c r="H855" s="5" t="n">
        <v>37</v>
      </c>
      <c r="I855" s="5" t="n">
        <v>4</v>
      </c>
      <c r="J855" s="5" t="n">
        <v>33</v>
      </c>
      <c r="K855" s="10">
        <f>IF(F855&gt;0,H855/F855,"")</f>
        <v/>
      </c>
      <c r="L855" s="16">
        <f>IF(AND(G855&gt;0,H855&gt;0),G855/H855,"")</f>
        <v/>
      </c>
    </row>
    <row r="856">
      <c r="A856" s="4" t="inlineStr">
        <is>
          <t>450</t>
        </is>
      </c>
      <c r="B856" s="4" t="n">
        <v>4</v>
      </c>
      <c r="C856" s="4" t="inlineStr">
        <is>
          <t>elk</t>
        </is>
      </c>
      <c r="D856" s="4" t="n">
        <v>2022</v>
      </c>
      <c r="E856" s="13" t="inlineStr">
        <is>
          <t>General</t>
        </is>
      </c>
      <c r="F856" s="5" t="n">
        <v>322</v>
      </c>
      <c r="G856" s="5" t="n">
        <v>1977</v>
      </c>
      <c r="H856" s="5" t="n">
        <v>89</v>
      </c>
      <c r="I856" s="5" t="n">
        <v>47</v>
      </c>
      <c r="J856" s="5" t="n">
        <v>36</v>
      </c>
      <c r="K856" s="10">
        <f>IF(F856&gt;0,H856/F856,"")</f>
        <v/>
      </c>
      <c r="L856" s="16">
        <f>IF(AND(G856&gt;0,H856&gt;0),G856/H856,"")</f>
        <v/>
      </c>
    </row>
    <row r="857">
      <c r="A857" s="4" t="inlineStr">
        <is>
          <t>450</t>
        </is>
      </c>
      <c r="B857" s="4" t="n">
        <v>4</v>
      </c>
      <c r="C857" s="4" t="inlineStr">
        <is>
          <t>elk</t>
        </is>
      </c>
      <c r="D857" s="4" t="n">
        <v>2023</v>
      </c>
      <c r="E857" s="13" t="inlineStr">
        <is>
          <t>General</t>
        </is>
      </c>
      <c r="F857" s="5" t="n"/>
      <c r="G857" s="5" t="n"/>
      <c r="H857" s="5" t="n">
        <v>61</v>
      </c>
      <c r="I857" s="5" t="n">
        <v>30</v>
      </c>
      <c r="J857" s="5" t="n">
        <v>31</v>
      </c>
      <c r="K857" s="10">
        <f>IF(F857&gt;0,H857/F857,"")</f>
        <v/>
      </c>
      <c r="L857" s="16">
        <f>IF(AND(G857&gt;0,H857&gt;0),G857/H857,"")</f>
        <v/>
      </c>
    </row>
    <row r="858">
      <c r="A858" s="4" t="inlineStr">
        <is>
          <t>450</t>
        </is>
      </c>
      <c r="B858" s="4" t="n">
        <v>4</v>
      </c>
      <c r="C858" s="4" t="inlineStr">
        <is>
          <t>elk</t>
        </is>
      </c>
      <c r="D858" s="4" t="n">
        <v>2024</v>
      </c>
      <c r="E858" s="13" t="inlineStr">
        <is>
          <t>General</t>
        </is>
      </c>
      <c r="F858" s="5" t="n">
        <v>358</v>
      </c>
      <c r="G858" s="5" t="n">
        <v>2231</v>
      </c>
      <c r="H858" s="5" t="n">
        <v>44</v>
      </c>
      <c r="I858" s="5" t="n">
        <v>23</v>
      </c>
      <c r="J858" s="5" t="n">
        <v>21</v>
      </c>
      <c r="K858" s="10">
        <f>IF(F858&gt;0,H858/F858,"")</f>
        <v/>
      </c>
      <c r="L858" s="16">
        <f>IF(AND(G858&gt;0,H858&gt;0),G858/H858,"")</f>
        <v/>
      </c>
    </row>
    <row r="859">
      <c r="A859" s="4" t="inlineStr">
        <is>
          <t>450</t>
        </is>
      </c>
      <c r="B859" s="4" t="n">
        <v>4</v>
      </c>
      <c r="C859" s="4" t="inlineStr">
        <is>
          <t>elk</t>
        </is>
      </c>
      <c r="D859" s="4" t="n">
        <v>2025</v>
      </c>
      <c r="E859" s="13" t="inlineStr">
        <is>
          <t>General</t>
        </is>
      </c>
      <c r="F859" s="5" t="n"/>
      <c r="G859" s="5" t="n"/>
      <c r="H859" s="5" t="n">
        <v>53</v>
      </c>
      <c r="I859" s="5" t="n">
        <v>28</v>
      </c>
      <c r="J859" s="5" t="n">
        <v>26</v>
      </c>
      <c r="K859" s="10">
        <f>IF(F859&gt;0,H859/F859,"")</f>
        <v/>
      </c>
      <c r="L859" s="16">
        <f>IF(AND(G859&gt;0,H859&gt;0),G859/H859,"")</f>
        <v/>
      </c>
    </row>
    <row r="860">
      <c r="A860" s="4" t="inlineStr">
        <is>
          <t>451</t>
        </is>
      </c>
      <c r="B860" s="4" t="n">
        <v>4</v>
      </c>
      <c r="C860" s="4" t="inlineStr">
        <is>
          <t>elk</t>
        </is>
      </c>
      <c r="D860" s="4" t="n">
        <v>2021</v>
      </c>
      <c r="E860" s="13" t="inlineStr">
        <is>
          <t>General</t>
        </is>
      </c>
      <c r="F860" s="5" t="n"/>
      <c r="G860" s="5" t="n"/>
      <c r="H860" s="5" t="n">
        <v>44</v>
      </c>
      <c r="I860" s="5" t="n">
        <v>28</v>
      </c>
      <c r="J860" s="5" t="n">
        <v>16</v>
      </c>
      <c r="K860" s="10">
        <f>IF(F860&gt;0,H860/F860,"")</f>
        <v/>
      </c>
      <c r="L860" s="16">
        <f>IF(AND(G860&gt;0,H860&gt;0),G860/H860,"")</f>
        <v/>
      </c>
    </row>
    <row r="861">
      <c r="A861" s="4" t="inlineStr">
        <is>
          <t>451</t>
        </is>
      </c>
      <c r="B861" s="4" t="n">
        <v>4</v>
      </c>
      <c r="C861" s="4" t="inlineStr">
        <is>
          <t>elk</t>
        </is>
      </c>
      <c r="D861" s="4" t="n">
        <v>2022</v>
      </c>
      <c r="E861" s="13" t="inlineStr">
        <is>
          <t>General</t>
        </is>
      </c>
      <c r="F861" s="5" t="n">
        <v>167</v>
      </c>
      <c r="G861" s="5" t="n">
        <v>1043</v>
      </c>
      <c r="H861" s="5" t="n">
        <v>50</v>
      </c>
      <c r="I861" s="5" t="n">
        <v>17</v>
      </c>
      <c r="J861" s="5" t="n">
        <v>30</v>
      </c>
      <c r="K861" s="10">
        <f>IF(F861&gt;0,H861/F861,"")</f>
        <v/>
      </c>
      <c r="L861" s="16">
        <f>IF(AND(G861&gt;0,H861&gt;0),G861/H861,"")</f>
        <v/>
      </c>
    </row>
    <row r="862">
      <c r="A862" s="4" t="inlineStr">
        <is>
          <t>451</t>
        </is>
      </c>
      <c r="B862" s="4" t="n">
        <v>4</v>
      </c>
      <c r="C862" s="4" t="inlineStr">
        <is>
          <t>elk</t>
        </is>
      </c>
      <c r="D862" s="4" t="n">
        <v>2023</v>
      </c>
      <c r="E862" s="13" t="inlineStr">
        <is>
          <t>General</t>
        </is>
      </c>
      <c r="F862" s="5" t="n"/>
      <c r="G862" s="5" t="n"/>
      <c r="H862" s="5" t="n">
        <v>30</v>
      </c>
      <c r="I862" s="5" t="n">
        <v>15</v>
      </c>
      <c r="J862" s="5" t="n">
        <v>15</v>
      </c>
      <c r="K862" s="10">
        <f>IF(F862&gt;0,H862/F862,"")</f>
        <v/>
      </c>
      <c r="L862" s="16">
        <f>IF(AND(G862&gt;0,H862&gt;0),G862/H862,"")</f>
        <v/>
      </c>
    </row>
    <row r="863">
      <c r="A863" s="4" t="inlineStr">
        <is>
          <t>451</t>
        </is>
      </c>
      <c r="B863" s="4" t="n">
        <v>4</v>
      </c>
      <c r="C863" s="4" t="inlineStr">
        <is>
          <t>elk</t>
        </is>
      </c>
      <c r="D863" s="4" t="n">
        <v>2024</v>
      </c>
      <c r="E863" s="13" t="inlineStr">
        <is>
          <t>General</t>
        </is>
      </c>
      <c r="F863" s="5" t="n">
        <v>224</v>
      </c>
      <c r="G863" s="5" t="n">
        <v>1689</v>
      </c>
      <c r="H863" s="5" t="n">
        <v>49</v>
      </c>
      <c r="I863" s="5" t="n">
        <v>19</v>
      </c>
      <c r="J863" s="5" t="n">
        <v>30</v>
      </c>
      <c r="K863" s="10">
        <f>IF(F863&gt;0,H863/F863,"")</f>
        <v/>
      </c>
      <c r="L863" s="16">
        <f>IF(AND(G863&gt;0,H863&gt;0),G863/H863,"")</f>
        <v/>
      </c>
    </row>
    <row r="864">
      <c r="A864" s="4" t="inlineStr">
        <is>
          <t>451</t>
        </is>
      </c>
      <c r="B864" s="4" t="n">
        <v>4</v>
      </c>
      <c r="C864" s="4" t="inlineStr">
        <is>
          <t>elk</t>
        </is>
      </c>
      <c r="D864" s="4" t="n">
        <v>2025</v>
      </c>
      <c r="E864" s="13" t="inlineStr">
        <is>
          <t>General</t>
        </is>
      </c>
      <c r="F864" s="5" t="n"/>
      <c r="G864" s="5" t="n"/>
      <c r="H864" s="5" t="n">
        <v>39</v>
      </c>
      <c r="I864" s="5" t="n">
        <v>14</v>
      </c>
      <c r="J864" s="5" t="n">
        <v>26</v>
      </c>
      <c r="K864" s="10">
        <f>IF(F864&gt;0,H864/F864,"")</f>
        <v/>
      </c>
      <c r="L864" s="16">
        <f>IF(AND(G864&gt;0,H864&gt;0),G864/H864,"")</f>
        <v/>
      </c>
    </row>
    <row r="865">
      <c r="A865" s="4" t="inlineStr">
        <is>
          <t>452</t>
        </is>
      </c>
      <c r="B865" s="4" t="n">
        <v>4</v>
      </c>
      <c r="C865" s="4" t="inlineStr">
        <is>
          <t>elk</t>
        </is>
      </c>
      <c r="D865" s="4" t="n">
        <v>2021</v>
      </c>
      <c r="E865" s="13" t="inlineStr">
        <is>
          <t>General</t>
        </is>
      </c>
      <c r="F865" s="5" t="n"/>
      <c r="G865" s="5" t="n"/>
      <c r="H865" s="5" t="n">
        <v>335</v>
      </c>
      <c r="I865" s="5" t="n">
        <v>146</v>
      </c>
      <c r="J865" s="5" t="n">
        <v>170</v>
      </c>
      <c r="K865" s="10">
        <f>IF(F865&gt;0,H865/F865,"")</f>
        <v/>
      </c>
      <c r="L865" s="16">
        <f>IF(AND(G865&gt;0,H865&gt;0),G865/H865,"")</f>
        <v/>
      </c>
    </row>
    <row r="866">
      <c r="A866" s="4" t="inlineStr">
        <is>
          <t>452</t>
        </is>
      </c>
      <c r="B866" s="4" t="n">
        <v>4</v>
      </c>
      <c r="C866" s="4" t="inlineStr">
        <is>
          <t>elk</t>
        </is>
      </c>
      <c r="D866" s="4" t="n">
        <v>2022</v>
      </c>
      <c r="E866" s="13" t="inlineStr">
        <is>
          <t>General</t>
        </is>
      </c>
      <c r="F866" s="5" t="n">
        <v>1366</v>
      </c>
      <c r="G866" s="5" t="n">
        <v>7631</v>
      </c>
      <c r="H866" s="5" t="n">
        <v>360</v>
      </c>
      <c r="I866" s="5" t="n">
        <v>178</v>
      </c>
      <c r="J866" s="5" t="n">
        <v>181</v>
      </c>
      <c r="K866" s="10">
        <f>IF(F866&gt;0,H866/F866,"")</f>
        <v/>
      </c>
      <c r="L866" s="16">
        <f>IF(AND(G866&gt;0,H866&gt;0),G866/H866,"")</f>
        <v/>
      </c>
    </row>
    <row r="867">
      <c r="A867" s="4" t="inlineStr">
        <is>
          <t>452</t>
        </is>
      </c>
      <c r="B867" s="4" t="n">
        <v>4</v>
      </c>
      <c r="C867" s="4" t="inlineStr">
        <is>
          <t>elk</t>
        </is>
      </c>
      <c r="D867" s="4" t="n">
        <v>2023</v>
      </c>
      <c r="E867" s="13" t="inlineStr">
        <is>
          <t>General</t>
        </is>
      </c>
      <c r="F867" s="5" t="n"/>
      <c r="G867" s="5" t="n"/>
      <c r="H867" s="5" t="n">
        <v>284</v>
      </c>
      <c r="I867" s="5" t="n">
        <v>122</v>
      </c>
      <c r="J867" s="5" t="n">
        <v>160</v>
      </c>
      <c r="K867" s="10">
        <f>IF(F867&gt;0,H867/F867,"")</f>
        <v/>
      </c>
      <c r="L867" s="16">
        <f>IF(AND(G867&gt;0,H867&gt;0),G867/H867,"")</f>
        <v/>
      </c>
    </row>
    <row r="868">
      <c r="A868" s="4" t="inlineStr">
        <is>
          <t>452</t>
        </is>
      </c>
      <c r="B868" s="4" t="n">
        <v>4</v>
      </c>
      <c r="C868" s="4" t="inlineStr">
        <is>
          <t>elk</t>
        </is>
      </c>
      <c r="D868" s="4" t="n">
        <v>2024</v>
      </c>
      <c r="E868" s="13" t="inlineStr">
        <is>
          <t>General</t>
        </is>
      </c>
      <c r="F868" s="5" t="n">
        <v>1349</v>
      </c>
      <c r="G868" s="5" t="n">
        <v>8575</v>
      </c>
      <c r="H868" s="5" t="n">
        <v>334</v>
      </c>
      <c r="I868" s="5" t="n">
        <v>141</v>
      </c>
      <c r="J868" s="5" t="n">
        <v>179</v>
      </c>
      <c r="K868" s="10">
        <f>IF(F868&gt;0,H868/F868,"")</f>
        <v/>
      </c>
      <c r="L868" s="16">
        <f>IF(AND(G868&gt;0,H868&gt;0),G868/H868,"")</f>
        <v/>
      </c>
    </row>
    <row r="869">
      <c r="A869" s="4" t="inlineStr">
        <is>
          <t>452</t>
        </is>
      </c>
      <c r="B869" s="4" t="n">
        <v>4</v>
      </c>
      <c r="C869" s="4" t="inlineStr">
        <is>
          <t>elk</t>
        </is>
      </c>
      <c r="D869" s="4" t="n">
        <v>2025</v>
      </c>
      <c r="E869" s="13" t="inlineStr">
        <is>
          <t>General</t>
        </is>
      </c>
      <c r="F869" s="5" t="n"/>
      <c r="G869" s="5" t="n"/>
      <c r="H869" s="5" t="n">
        <v>299</v>
      </c>
      <c r="I869" s="5" t="n">
        <v>173</v>
      </c>
      <c r="J869" s="5" t="n">
        <v>119</v>
      </c>
      <c r="K869" s="10">
        <f>IF(F869&gt;0,H869/F869,"")</f>
        <v/>
      </c>
      <c r="L869" s="16">
        <f>IF(AND(G869&gt;0,H869&gt;0),G869/H869,"")</f>
        <v/>
      </c>
    </row>
    <row r="870">
      <c r="A870" s="4" t="inlineStr">
        <is>
          <t>454</t>
        </is>
      </c>
      <c r="B870" s="4" t="n">
        <v>4</v>
      </c>
      <c r="C870" s="4" t="inlineStr">
        <is>
          <t>elk</t>
        </is>
      </c>
      <c r="D870" s="4" t="n">
        <v>2021</v>
      </c>
      <c r="E870" s="4" t="inlineStr"/>
      <c r="F870" s="5" t="n"/>
      <c r="G870" s="5" t="n"/>
      <c r="H870" s="5" t="n">
        <v>77</v>
      </c>
      <c r="I870" s="5" t="n">
        <v>37</v>
      </c>
      <c r="J870" s="5" t="n">
        <v>40</v>
      </c>
      <c r="K870" s="10">
        <f>IF(F870&gt;0,H870/F870,"")</f>
        <v/>
      </c>
      <c r="L870" s="16">
        <f>IF(AND(G870&gt;0,H870&gt;0),G870/H870,"")</f>
        <v/>
      </c>
    </row>
    <row r="871">
      <c r="A871" s="4" t="inlineStr">
        <is>
          <t>455</t>
        </is>
      </c>
      <c r="B871" s="4" t="n">
        <v>4</v>
      </c>
      <c r="C871" s="4" t="inlineStr">
        <is>
          <t>elk</t>
        </is>
      </c>
      <c r="D871" s="4" t="n">
        <v>2021</v>
      </c>
      <c r="E871" s="15" t="inlineStr">
        <is>
          <t>Draw</t>
        </is>
      </c>
      <c r="F871" s="5" t="n"/>
      <c r="G871" s="5" t="n"/>
      <c r="H871" s="5" t="n">
        <v>104</v>
      </c>
      <c r="I871" s="5" t="n">
        <v>49</v>
      </c>
      <c r="J871" s="5" t="n">
        <v>54</v>
      </c>
      <c r="K871" s="10">
        <f>IF(F871&gt;0,H871/F871,"")</f>
        <v/>
      </c>
      <c r="L871" s="16">
        <f>IF(AND(G871&gt;0,H871&gt;0),G871/H871,"")</f>
        <v/>
      </c>
    </row>
    <row r="872">
      <c r="A872" s="4" t="inlineStr">
        <is>
          <t>455</t>
        </is>
      </c>
      <c r="B872" s="4" t="n">
        <v>4</v>
      </c>
      <c r="C872" s="4" t="inlineStr">
        <is>
          <t>elk</t>
        </is>
      </c>
      <c r="D872" s="4" t="n">
        <v>2022</v>
      </c>
      <c r="E872" s="15" t="inlineStr">
        <is>
          <t>Draw</t>
        </is>
      </c>
      <c r="F872" s="5" t="n">
        <v>291</v>
      </c>
      <c r="G872" s="5" t="n">
        <v>1910</v>
      </c>
      <c r="H872" s="5" t="n">
        <v>154</v>
      </c>
      <c r="I872" s="5" t="n">
        <v>56</v>
      </c>
      <c r="J872" s="5" t="n">
        <v>98</v>
      </c>
      <c r="K872" s="10">
        <f>IF(F872&gt;0,H872/F872,"")</f>
        <v/>
      </c>
      <c r="L872" s="16">
        <f>IF(AND(G872&gt;0,H872&gt;0),G872/H872,"")</f>
        <v/>
      </c>
    </row>
    <row r="873">
      <c r="A873" s="4" t="inlineStr">
        <is>
          <t>455</t>
        </is>
      </c>
      <c r="B873" s="4" t="n">
        <v>4</v>
      </c>
      <c r="C873" s="4" t="inlineStr">
        <is>
          <t>elk</t>
        </is>
      </c>
      <c r="D873" s="4" t="n">
        <v>2023</v>
      </c>
      <c r="E873" s="15" t="inlineStr">
        <is>
          <t>Draw</t>
        </is>
      </c>
      <c r="F873" s="5" t="n"/>
      <c r="G873" s="5" t="n"/>
      <c r="H873" s="5" t="n">
        <v>101</v>
      </c>
      <c r="I873" s="5" t="n">
        <v>29</v>
      </c>
      <c r="J873" s="5" t="n">
        <v>71</v>
      </c>
      <c r="K873" s="10">
        <f>IF(F873&gt;0,H873/F873,"")</f>
        <v/>
      </c>
      <c r="L873" s="16">
        <f>IF(AND(G873&gt;0,H873&gt;0),G873/H873,"")</f>
        <v/>
      </c>
    </row>
    <row r="874">
      <c r="A874" s="4" t="inlineStr">
        <is>
          <t>455</t>
        </is>
      </c>
      <c r="B874" s="4" t="n">
        <v>4</v>
      </c>
      <c r="C874" s="4" t="inlineStr">
        <is>
          <t>elk</t>
        </is>
      </c>
      <c r="D874" s="4" t="n">
        <v>2024</v>
      </c>
      <c r="E874" s="15" t="inlineStr">
        <is>
          <t>Draw</t>
        </is>
      </c>
      <c r="F874" s="5" t="n">
        <v>317</v>
      </c>
      <c r="G874" s="5" t="n">
        <v>2227</v>
      </c>
      <c r="H874" s="5" t="n">
        <v>148</v>
      </c>
      <c r="I874" s="5" t="n">
        <v>48</v>
      </c>
      <c r="J874" s="5" t="n">
        <v>96</v>
      </c>
      <c r="K874" s="10">
        <f>IF(F874&gt;0,H874/F874,"")</f>
        <v/>
      </c>
      <c r="L874" s="16">
        <f>IF(AND(G874&gt;0,H874&gt;0),G874/H874,"")</f>
        <v/>
      </c>
    </row>
    <row r="875">
      <c r="A875" s="4" t="inlineStr">
        <is>
          <t>455</t>
        </is>
      </c>
      <c r="B875" s="4" t="n">
        <v>4</v>
      </c>
      <c r="C875" s="4" t="inlineStr">
        <is>
          <t>elk</t>
        </is>
      </c>
      <c r="D875" s="4" t="n">
        <v>2025</v>
      </c>
      <c r="E875" s="15" t="inlineStr">
        <is>
          <t>Draw</t>
        </is>
      </c>
      <c r="F875" s="5" t="n"/>
      <c r="G875" s="5" t="n"/>
      <c r="H875" s="5" t="n">
        <v>124</v>
      </c>
      <c r="I875" s="5" t="n">
        <v>55</v>
      </c>
      <c r="J875" s="5" t="n">
        <v>62</v>
      </c>
      <c r="K875" s="10">
        <f>IF(F875&gt;0,H875/F875,"")</f>
        <v/>
      </c>
      <c r="L875" s="16">
        <f>IF(AND(G875&gt;0,H875&gt;0),G875/H875,"")</f>
        <v/>
      </c>
    </row>
    <row r="876">
      <c r="A876" s="4" t="inlineStr">
        <is>
          <t>471</t>
        </is>
      </c>
      <c r="B876" s="4" t="n">
        <v>4</v>
      </c>
      <c r="C876" s="4" t="inlineStr">
        <is>
          <t>elk</t>
        </is>
      </c>
      <c r="D876" s="4" t="n">
        <v>2021</v>
      </c>
      <c r="E876" s="13" t="inlineStr">
        <is>
          <t>General</t>
        </is>
      </c>
      <c r="F876" s="5" t="n"/>
      <c r="G876" s="5" t="n"/>
      <c r="H876" s="5" t="n">
        <v>23</v>
      </c>
      <c r="I876" s="5" t="n">
        <v>23</v>
      </c>
      <c r="J876" s="5" t="n">
        <v>0</v>
      </c>
      <c r="K876" s="10">
        <f>IF(F876&gt;0,H876/F876,"")</f>
        <v/>
      </c>
      <c r="L876" s="16">
        <f>IF(AND(G876&gt;0,H876&gt;0),G876/H876,"")</f>
        <v/>
      </c>
    </row>
    <row r="877">
      <c r="A877" s="4" t="inlineStr">
        <is>
          <t>471</t>
        </is>
      </c>
      <c r="B877" s="4" t="n">
        <v>4</v>
      </c>
      <c r="C877" s="4" t="inlineStr">
        <is>
          <t>elk</t>
        </is>
      </c>
      <c r="D877" s="4" t="n">
        <v>2022</v>
      </c>
      <c r="E877" s="13" t="inlineStr">
        <is>
          <t>General</t>
        </is>
      </c>
      <c r="F877" s="5" t="n">
        <v>63</v>
      </c>
      <c r="G877" s="5" t="n">
        <v>277</v>
      </c>
      <c r="H877" s="5" t="n">
        <v>36</v>
      </c>
      <c r="I877" s="5" t="n">
        <v>20</v>
      </c>
      <c r="J877" s="5" t="n">
        <v>17</v>
      </c>
      <c r="K877" s="10">
        <f>IF(F877&gt;0,H877/F877,"")</f>
        <v/>
      </c>
      <c r="L877" s="16">
        <f>IF(AND(G877&gt;0,H877&gt;0),G877/H877,"")</f>
        <v/>
      </c>
    </row>
    <row r="878">
      <c r="A878" s="4" t="inlineStr">
        <is>
          <t>471</t>
        </is>
      </c>
      <c r="B878" s="4" t="n">
        <v>4</v>
      </c>
      <c r="C878" s="4" t="inlineStr">
        <is>
          <t>elk</t>
        </is>
      </c>
      <c r="D878" s="4" t="n">
        <v>2023</v>
      </c>
      <c r="E878" s="13" t="inlineStr">
        <is>
          <t>General</t>
        </is>
      </c>
      <c r="F878" s="5" t="n"/>
      <c r="G878" s="5" t="n"/>
      <c r="H878" s="5" t="n">
        <v>26</v>
      </c>
      <c r="I878" s="5" t="n">
        <v>20</v>
      </c>
      <c r="J878" s="5" t="n">
        <v>6</v>
      </c>
      <c r="K878" s="10">
        <f>IF(F878&gt;0,H878/F878,"")</f>
        <v/>
      </c>
      <c r="L878" s="16">
        <f>IF(AND(G878&gt;0,H878&gt;0),G878/H878,"")</f>
        <v/>
      </c>
    </row>
    <row r="879">
      <c r="A879" s="4" t="inlineStr">
        <is>
          <t>471</t>
        </is>
      </c>
      <c r="B879" s="4" t="n">
        <v>4</v>
      </c>
      <c r="C879" s="4" t="inlineStr">
        <is>
          <t>elk</t>
        </is>
      </c>
      <c r="D879" s="4" t="n">
        <v>2024</v>
      </c>
      <c r="E879" s="13" t="inlineStr">
        <is>
          <t>General</t>
        </is>
      </c>
      <c r="F879" s="5" t="n">
        <v>99</v>
      </c>
      <c r="G879" s="5" t="n">
        <v>693</v>
      </c>
      <c r="H879" s="5" t="n">
        <v>9</v>
      </c>
      <c r="I879" s="5" t="n">
        <v>9</v>
      </c>
      <c r="J879" s="5" t="n">
        <v>0</v>
      </c>
      <c r="K879" s="10">
        <f>IF(F879&gt;0,H879/F879,"")</f>
        <v/>
      </c>
      <c r="L879" s="16">
        <f>IF(AND(G879&gt;0,H879&gt;0),G879/H879,"")</f>
        <v/>
      </c>
    </row>
    <row r="880">
      <c r="A880" s="4" t="inlineStr">
        <is>
          <t>471</t>
        </is>
      </c>
      <c r="B880" s="4" t="n">
        <v>4</v>
      </c>
      <c r="C880" s="4" t="inlineStr">
        <is>
          <t>elk</t>
        </is>
      </c>
      <c r="D880" s="4" t="n">
        <v>2025</v>
      </c>
      <c r="E880" s="13" t="inlineStr">
        <is>
          <t>General</t>
        </is>
      </c>
      <c r="F880" s="5" t="n"/>
      <c r="G880" s="5" t="n"/>
      <c r="H880" s="5" t="n">
        <v>15</v>
      </c>
      <c r="I880" s="5" t="n">
        <v>11</v>
      </c>
      <c r="J880" s="5" t="n">
        <v>4</v>
      </c>
      <c r="K880" s="10">
        <f>IF(F880&gt;0,H880/F880,"")</f>
        <v/>
      </c>
      <c r="L880" s="16">
        <f>IF(AND(G880&gt;0,H880&gt;0),G880/H880,"")</f>
        <v/>
      </c>
    </row>
    <row r="881">
      <c r="A881" s="4" t="inlineStr">
        <is>
          <t>500</t>
        </is>
      </c>
      <c r="B881" s="4" t="n">
        <v>5</v>
      </c>
      <c r="C881" s="4" t="inlineStr">
        <is>
          <t>elk</t>
        </is>
      </c>
      <c r="D881" s="4" t="n">
        <v>2021</v>
      </c>
      <c r="E881" s="4" t="inlineStr"/>
      <c r="F881" s="5" t="n"/>
      <c r="G881" s="5" t="n"/>
      <c r="H881" s="5" t="n">
        <v>66</v>
      </c>
      <c r="I881" s="5" t="n">
        <v>43</v>
      </c>
      <c r="J881" s="5" t="n">
        <v>23</v>
      </c>
      <c r="K881" s="10">
        <f>IF(F881&gt;0,H881/F881,"")</f>
        <v/>
      </c>
      <c r="L881" s="16">
        <f>IF(AND(G881&gt;0,H881&gt;0),G881/H881,"")</f>
        <v/>
      </c>
    </row>
    <row r="882">
      <c r="A882" s="4" t="inlineStr">
        <is>
          <t>502</t>
        </is>
      </c>
      <c r="B882" s="4" t="n">
        <v>5</v>
      </c>
      <c r="C882" s="4" t="inlineStr">
        <is>
          <t>elk</t>
        </is>
      </c>
      <c r="D882" s="4" t="n">
        <v>2021</v>
      </c>
      <c r="E882" s="15" t="inlineStr">
        <is>
          <t>Draw</t>
        </is>
      </c>
      <c r="F882" s="5" t="n"/>
      <c r="G882" s="5" t="n"/>
      <c r="H882" s="5" t="n">
        <v>46</v>
      </c>
      <c r="I882" s="5" t="n">
        <v>14</v>
      </c>
      <c r="J882" s="5" t="n">
        <v>31</v>
      </c>
      <c r="K882" s="10">
        <f>IF(F882&gt;0,H882/F882,"")</f>
        <v/>
      </c>
      <c r="L882" s="16">
        <f>IF(AND(G882&gt;0,H882&gt;0),G882/H882,"")</f>
        <v/>
      </c>
    </row>
    <row r="883">
      <c r="A883" s="4" t="inlineStr">
        <is>
          <t>502</t>
        </is>
      </c>
      <c r="B883" s="4" t="n">
        <v>5</v>
      </c>
      <c r="C883" s="4" t="inlineStr">
        <is>
          <t>elk</t>
        </is>
      </c>
      <c r="D883" s="4" t="n">
        <v>2022</v>
      </c>
      <c r="E883" s="15" t="inlineStr">
        <is>
          <t>Draw</t>
        </is>
      </c>
      <c r="F883" s="5" t="n">
        <v>332</v>
      </c>
      <c r="G883" s="5" t="n">
        <v>3197</v>
      </c>
      <c r="H883" s="5" t="n">
        <v>46</v>
      </c>
      <c r="I883" s="5" t="n">
        <v>23</v>
      </c>
      <c r="J883" s="5" t="n">
        <v>20</v>
      </c>
      <c r="K883" s="10">
        <f>IF(F883&gt;0,H883/F883,"")</f>
        <v/>
      </c>
      <c r="L883" s="16">
        <f>IF(AND(G883&gt;0,H883&gt;0),G883/H883,"")</f>
        <v/>
      </c>
    </row>
    <row r="884">
      <c r="A884" s="4" t="inlineStr">
        <is>
          <t>502</t>
        </is>
      </c>
      <c r="B884" s="4" t="n">
        <v>5</v>
      </c>
      <c r="C884" s="4" t="inlineStr">
        <is>
          <t>elk</t>
        </is>
      </c>
      <c r="D884" s="4" t="n">
        <v>2023</v>
      </c>
      <c r="E884" s="15" t="inlineStr">
        <is>
          <t>Draw</t>
        </is>
      </c>
      <c r="F884" s="5" t="n"/>
      <c r="G884" s="5" t="n"/>
      <c r="H884" s="5" t="n">
        <v>115</v>
      </c>
      <c r="I884" s="5" t="n">
        <v>50</v>
      </c>
      <c r="J884" s="5" t="n">
        <v>65</v>
      </c>
      <c r="K884" s="10">
        <f>IF(F884&gt;0,H884/F884,"")</f>
        <v/>
      </c>
      <c r="L884" s="16">
        <f>IF(AND(G884&gt;0,H884&gt;0),G884/H884,"")</f>
        <v/>
      </c>
    </row>
    <row r="885">
      <c r="A885" s="4" t="inlineStr">
        <is>
          <t>502</t>
        </is>
      </c>
      <c r="B885" s="4" t="n">
        <v>5</v>
      </c>
      <c r="C885" s="4" t="inlineStr">
        <is>
          <t>elk</t>
        </is>
      </c>
      <c r="D885" s="4" t="n">
        <v>2024</v>
      </c>
      <c r="E885" s="15" t="inlineStr">
        <is>
          <t>Draw</t>
        </is>
      </c>
      <c r="F885" s="5" t="n">
        <v>384</v>
      </c>
      <c r="G885" s="5" t="n">
        <v>2691</v>
      </c>
      <c r="H885" s="5" t="n">
        <v>58</v>
      </c>
      <c r="I885" s="5" t="n">
        <v>18</v>
      </c>
      <c r="J885" s="5" t="n">
        <v>40</v>
      </c>
      <c r="K885" s="10">
        <f>IF(F885&gt;0,H885/F885,"")</f>
        <v/>
      </c>
      <c r="L885" s="16">
        <f>IF(AND(G885&gt;0,H885&gt;0),G885/H885,"")</f>
        <v/>
      </c>
    </row>
    <row r="886">
      <c r="A886" s="4" t="inlineStr">
        <is>
          <t>502</t>
        </is>
      </c>
      <c r="B886" s="4" t="n">
        <v>5</v>
      </c>
      <c r="C886" s="4" t="inlineStr">
        <is>
          <t>elk</t>
        </is>
      </c>
      <c r="D886" s="4" t="n">
        <v>2025</v>
      </c>
      <c r="E886" s="15" t="inlineStr">
        <is>
          <t>Draw</t>
        </is>
      </c>
      <c r="F886" s="5" t="n"/>
      <c r="G886" s="5" t="n"/>
      <c r="H886" s="5" t="n">
        <v>70</v>
      </c>
      <c r="I886" s="5" t="n">
        <v>24</v>
      </c>
      <c r="J886" s="5" t="n">
        <v>46</v>
      </c>
      <c r="K886" s="10">
        <f>IF(F886&gt;0,H886/F886,"")</f>
        <v/>
      </c>
      <c r="L886" s="16">
        <f>IF(AND(G886&gt;0,H886&gt;0),G886/H886,"")</f>
        <v/>
      </c>
    </row>
    <row r="887">
      <c r="A887" s="4" t="inlineStr">
        <is>
          <t>511</t>
        </is>
      </c>
      <c r="B887" s="4" t="n">
        <v>5</v>
      </c>
      <c r="C887" s="4" t="inlineStr">
        <is>
          <t>elk</t>
        </is>
      </c>
      <c r="D887" s="4" t="n">
        <v>2021</v>
      </c>
      <c r="E887" s="4" t="inlineStr"/>
      <c r="F887" s="5" t="n"/>
      <c r="G887" s="5" t="n"/>
      <c r="H887" s="5" t="n">
        <v>83</v>
      </c>
      <c r="I887" s="5" t="n">
        <v>27</v>
      </c>
      <c r="J887" s="5" t="n">
        <v>52</v>
      </c>
      <c r="K887" s="10">
        <f>IF(F887&gt;0,H887/F887,"")</f>
        <v/>
      </c>
      <c r="L887" s="16">
        <f>IF(AND(G887&gt;0,H887&gt;0),G887/H887,"")</f>
        <v/>
      </c>
    </row>
    <row r="888">
      <c r="A888" s="4" t="inlineStr">
        <is>
          <t>515</t>
        </is>
      </c>
      <c r="B888" s="4" t="n">
        <v>5</v>
      </c>
      <c r="C888" s="4" t="inlineStr">
        <is>
          <t>elk</t>
        </is>
      </c>
      <c r="D888" s="4" t="n">
        <v>2022</v>
      </c>
      <c r="E888" s="13" t="inlineStr">
        <is>
          <t>General</t>
        </is>
      </c>
      <c r="F888" s="5" t="n">
        <v>971</v>
      </c>
      <c r="G888" s="5" t="n">
        <v>7136</v>
      </c>
      <c r="H888" s="5" t="n">
        <v>264</v>
      </c>
      <c r="I888" s="5" t="n">
        <v>168</v>
      </c>
      <c r="J888" s="5" t="n">
        <v>92</v>
      </c>
      <c r="K888" s="10">
        <f>IF(F888&gt;0,H888/F888,"")</f>
        <v/>
      </c>
      <c r="L888" s="16">
        <f>IF(AND(G888&gt;0,H888&gt;0),G888/H888,"")</f>
        <v/>
      </c>
    </row>
    <row r="889">
      <c r="A889" s="4" t="inlineStr">
        <is>
          <t>515</t>
        </is>
      </c>
      <c r="B889" s="4" t="n">
        <v>5</v>
      </c>
      <c r="C889" s="4" t="inlineStr">
        <is>
          <t>elk</t>
        </is>
      </c>
      <c r="D889" s="4" t="n">
        <v>2023</v>
      </c>
      <c r="E889" s="13" t="inlineStr">
        <is>
          <t>General</t>
        </is>
      </c>
      <c r="F889" s="5" t="n"/>
      <c r="G889" s="5" t="n"/>
      <c r="H889" s="5" t="n">
        <v>268</v>
      </c>
      <c r="I889" s="5" t="n">
        <v>151</v>
      </c>
      <c r="J889" s="5" t="n">
        <v>108</v>
      </c>
      <c r="K889" s="10">
        <f>IF(F889&gt;0,H889/F889,"")</f>
        <v/>
      </c>
      <c r="L889" s="16">
        <f>IF(AND(G889&gt;0,H889&gt;0),G889/H889,"")</f>
        <v/>
      </c>
    </row>
    <row r="890">
      <c r="A890" s="4" t="inlineStr">
        <is>
          <t>515</t>
        </is>
      </c>
      <c r="B890" s="4" t="n">
        <v>5</v>
      </c>
      <c r="C890" s="4" t="inlineStr">
        <is>
          <t>elk</t>
        </is>
      </c>
      <c r="D890" s="4" t="n">
        <v>2024</v>
      </c>
      <c r="E890" s="13" t="inlineStr">
        <is>
          <t>General</t>
        </is>
      </c>
      <c r="F890" s="5" t="n">
        <v>968</v>
      </c>
      <c r="G890" s="5" t="n">
        <v>6815</v>
      </c>
      <c r="H890" s="5" t="n">
        <v>234</v>
      </c>
      <c r="I890" s="5" t="n">
        <v>129</v>
      </c>
      <c r="J890" s="5" t="n">
        <v>105</v>
      </c>
      <c r="K890" s="10">
        <f>IF(F890&gt;0,H890/F890,"")</f>
        <v/>
      </c>
      <c r="L890" s="16">
        <f>IF(AND(G890&gt;0,H890&gt;0),G890/H890,"")</f>
        <v/>
      </c>
    </row>
    <row r="891">
      <c r="A891" s="4" t="inlineStr">
        <is>
          <t>515</t>
        </is>
      </c>
      <c r="B891" s="4" t="n">
        <v>5</v>
      </c>
      <c r="C891" s="4" t="inlineStr">
        <is>
          <t>elk</t>
        </is>
      </c>
      <c r="D891" s="4" t="n">
        <v>2025</v>
      </c>
      <c r="E891" s="13" t="inlineStr">
        <is>
          <t>General</t>
        </is>
      </c>
      <c r="F891" s="5" t="n"/>
      <c r="G891" s="5" t="n"/>
      <c r="H891" s="5" t="n">
        <v>340</v>
      </c>
      <c r="I891" s="5" t="n">
        <v>185</v>
      </c>
      <c r="J891" s="5" t="n">
        <v>152</v>
      </c>
      <c r="K891" s="10">
        <f>IF(F891&gt;0,H891/F891,"")</f>
        <v/>
      </c>
      <c r="L891" s="16">
        <f>IF(AND(G891&gt;0,H891&gt;0),G891/H891,"")</f>
        <v/>
      </c>
    </row>
    <row r="892">
      <c r="A892" s="4" t="inlineStr">
        <is>
          <t>525</t>
        </is>
      </c>
      <c r="B892" s="4" t="n">
        <v>5</v>
      </c>
      <c r="C892" s="4" t="inlineStr">
        <is>
          <t>elk</t>
        </is>
      </c>
      <c r="D892" s="4" t="n">
        <v>2022</v>
      </c>
      <c r="E892" s="13" t="inlineStr">
        <is>
          <t>General</t>
        </is>
      </c>
      <c r="F892" s="5" t="n">
        <v>1826</v>
      </c>
      <c r="G892" s="5" t="n">
        <v>12280</v>
      </c>
      <c r="H892" s="5" t="n">
        <v>489</v>
      </c>
      <c r="I892" s="5" t="n">
        <v>293</v>
      </c>
      <c r="J892" s="5" t="n">
        <v>189</v>
      </c>
      <c r="K892" s="10">
        <f>IF(F892&gt;0,H892/F892,"")</f>
        <v/>
      </c>
      <c r="L892" s="16">
        <f>IF(AND(G892&gt;0,H892&gt;0),G892/H892,"")</f>
        <v/>
      </c>
    </row>
    <row r="893">
      <c r="A893" s="4" t="inlineStr">
        <is>
          <t>525</t>
        </is>
      </c>
      <c r="B893" s="4" t="n">
        <v>5</v>
      </c>
      <c r="C893" s="4" t="inlineStr">
        <is>
          <t>elk</t>
        </is>
      </c>
      <c r="D893" s="4" t="n">
        <v>2023</v>
      </c>
      <c r="E893" s="13" t="inlineStr">
        <is>
          <t>General</t>
        </is>
      </c>
      <c r="F893" s="5" t="n"/>
      <c r="G893" s="5" t="n"/>
      <c r="H893" s="5" t="n">
        <v>533</v>
      </c>
      <c r="I893" s="5" t="n">
        <v>262</v>
      </c>
      <c r="J893" s="5" t="n">
        <v>259</v>
      </c>
      <c r="K893" s="10">
        <f>IF(F893&gt;0,H893/F893,"")</f>
        <v/>
      </c>
      <c r="L893" s="16">
        <f>IF(AND(G893&gt;0,H893&gt;0),G893/H893,"")</f>
        <v/>
      </c>
    </row>
    <row r="894">
      <c r="A894" s="4" t="inlineStr">
        <is>
          <t>525</t>
        </is>
      </c>
      <c r="B894" s="4" t="n">
        <v>5</v>
      </c>
      <c r="C894" s="4" t="inlineStr">
        <is>
          <t>elk</t>
        </is>
      </c>
      <c r="D894" s="4" t="n">
        <v>2024</v>
      </c>
      <c r="E894" s="13" t="inlineStr">
        <is>
          <t>General</t>
        </is>
      </c>
      <c r="F894" s="5" t="n">
        <v>1874</v>
      </c>
      <c r="G894" s="5" t="n">
        <v>13939</v>
      </c>
      <c r="H894" s="5" t="n">
        <v>512</v>
      </c>
      <c r="I894" s="5" t="n">
        <v>220</v>
      </c>
      <c r="J894" s="5" t="n">
        <v>292</v>
      </c>
      <c r="K894" s="10">
        <f>IF(F894&gt;0,H894/F894,"")</f>
        <v/>
      </c>
      <c r="L894" s="16">
        <f>IF(AND(G894&gt;0,H894&gt;0),G894/H894,"")</f>
        <v/>
      </c>
    </row>
    <row r="895">
      <c r="A895" s="4" t="inlineStr">
        <is>
          <t>525</t>
        </is>
      </c>
      <c r="B895" s="4" t="n">
        <v>5</v>
      </c>
      <c r="C895" s="4" t="inlineStr">
        <is>
          <t>elk</t>
        </is>
      </c>
      <c r="D895" s="4" t="n">
        <v>2025</v>
      </c>
      <c r="E895" s="13" t="inlineStr">
        <is>
          <t>General</t>
        </is>
      </c>
      <c r="F895" s="5" t="n"/>
      <c r="G895" s="5" t="n"/>
      <c r="H895" s="5" t="n">
        <v>421</v>
      </c>
      <c r="I895" s="5" t="n">
        <v>223</v>
      </c>
      <c r="J895" s="5" t="n">
        <v>198</v>
      </c>
      <c r="K895" s="10">
        <f>IF(F895&gt;0,H895/F895,"")</f>
        <v/>
      </c>
      <c r="L895" s="16">
        <f>IF(AND(G895&gt;0,H895&gt;0),G895/H895,"")</f>
        <v/>
      </c>
    </row>
    <row r="896">
      <c r="A896" s="4" t="inlineStr">
        <is>
          <t>530</t>
        </is>
      </c>
      <c r="B896" s="4" t="n">
        <v>5</v>
      </c>
      <c r="C896" s="4" t="inlineStr">
        <is>
          <t>elk</t>
        </is>
      </c>
      <c r="D896" s="4" t="n">
        <v>2021</v>
      </c>
      <c r="E896" s="4" t="inlineStr"/>
      <c r="F896" s="5" t="n"/>
      <c r="G896" s="5" t="n"/>
      <c r="H896" s="5" t="n">
        <v>230</v>
      </c>
      <c r="I896" s="5" t="n">
        <v>63</v>
      </c>
      <c r="J896" s="5" t="n">
        <v>167</v>
      </c>
      <c r="K896" s="10">
        <f>IF(F896&gt;0,H896/F896,"")</f>
        <v/>
      </c>
      <c r="L896" s="16">
        <f>IF(AND(G896&gt;0,H896&gt;0),G896/H896,"")</f>
        <v/>
      </c>
    </row>
    <row r="897">
      <c r="A897" s="4" t="inlineStr">
        <is>
          <t>535E</t>
        </is>
      </c>
      <c r="B897" s="4" t="n">
        <v>5</v>
      </c>
      <c r="C897" s="4" t="inlineStr">
        <is>
          <t>elk</t>
        </is>
      </c>
      <c r="D897" s="4" t="n">
        <v>2022</v>
      </c>
      <c r="E897" s="13" t="inlineStr">
        <is>
          <t>General</t>
        </is>
      </c>
      <c r="F897" s="5" t="n">
        <v>771</v>
      </c>
      <c r="G897" s="5" t="n">
        <v>4670</v>
      </c>
      <c r="H897" s="5" t="n">
        <v>181</v>
      </c>
      <c r="I897" s="5" t="n">
        <v>72</v>
      </c>
      <c r="J897" s="5" t="n">
        <v>105</v>
      </c>
      <c r="K897" s="10">
        <f>IF(F897&gt;0,H897/F897,"")</f>
        <v/>
      </c>
      <c r="L897" s="16">
        <f>IF(AND(G897&gt;0,H897&gt;0),G897/H897,"")</f>
        <v/>
      </c>
    </row>
    <row r="898">
      <c r="A898" s="4" t="inlineStr">
        <is>
          <t>535E</t>
        </is>
      </c>
      <c r="B898" s="4" t="n">
        <v>5</v>
      </c>
      <c r="C898" s="4" t="inlineStr">
        <is>
          <t>elk</t>
        </is>
      </c>
      <c r="D898" s="4" t="n">
        <v>2023</v>
      </c>
      <c r="E898" s="13" t="inlineStr">
        <is>
          <t>General</t>
        </is>
      </c>
      <c r="F898" s="5" t="n"/>
      <c r="G898" s="5" t="n"/>
      <c r="H898" s="5" t="n">
        <v>397</v>
      </c>
      <c r="I898" s="5" t="n">
        <v>84</v>
      </c>
      <c r="J898" s="5" t="n">
        <v>302</v>
      </c>
      <c r="K898" s="10">
        <f>IF(F898&gt;0,H898/F898,"")</f>
        <v/>
      </c>
      <c r="L898" s="16">
        <f>IF(AND(G898&gt;0,H898&gt;0),G898/H898,"")</f>
        <v/>
      </c>
    </row>
    <row r="899">
      <c r="A899" s="4" t="inlineStr">
        <is>
          <t>535E</t>
        </is>
      </c>
      <c r="B899" s="4" t="n">
        <v>5</v>
      </c>
      <c r="C899" s="4" t="inlineStr">
        <is>
          <t>elk</t>
        </is>
      </c>
      <c r="D899" s="4" t="n">
        <v>2024</v>
      </c>
      <c r="E899" s="13" t="inlineStr">
        <is>
          <t>General</t>
        </is>
      </c>
      <c r="F899" s="5" t="n">
        <v>1023</v>
      </c>
      <c r="G899" s="5" t="n">
        <v>6547</v>
      </c>
      <c r="H899" s="5" t="n">
        <v>323</v>
      </c>
      <c r="I899" s="5" t="n">
        <v>69</v>
      </c>
      <c r="J899" s="5" t="n">
        <v>247</v>
      </c>
      <c r="K899" s="10">
        <f>IF(F899&gt;0,H899/F899,"")</f>
        <v/>
      </c>
      <c r="L899" s="16">
        <f>IF(AND(G899&gt;0,H899&gt;0),G899/H899,"")</f>
        <v/>
      </c>
    </row>
    <row r="900">
      <c r="A900" s="4" t="inlineStr">
        <is>
          <t>535E</t>
        </is>
      </c>
      <c r="B900" s="4" t="n">
        <v>5</v>
      </c>
      <c r="C900" s="4" t="inlineStr">
        <is>
          <t>elk</t>
        </is>
      </c>
      <c r="D900" s="4" t="n">
        <v>2025</v>
      </c>
      <c r="E900" s="13" t="inlineStr">
        <is>
          <t>General</t>
        </is>
      </c>
      <c r="F900" s="5" t="n"/>
      <c r="G900" s="5" t="n"/>
      <c r="H900" s="5" t="n">
        <v>286</v>
      </c>
      <c r="I900" s="5" t="n">
        <v>86</v>
      </c>
      <c r="J900" s="5" t="n">
        <v>185</v>
      </c>
      <c r="K900" s="10">
        <f>IF(F900&gt;0,H900/F900,"")</f>
        <v/>
      </c>
      <c r="L900" s="16">
        <f>IF(AND(G900&gt;0,H900&gt;0),G900/H900,"")</f>
        <v/>
      </c>
    </row>
    <row r="901">
      <c r="A901" s="4" t="inlineStr">
        <is>
          <t>535W</t>
        </is>
      </c>
      <c r="B901" s="4" t="n">
        <v>5</v>
      </c>
      <c r="C901" s="4" t="inlineStr">
        <is>
          <t>elk</t>
        </is>
      </c>
      <c r="D901" s="4" t="n">
        <v>2022</v>
      </c>
      <c r="E901" s="13" t="inlineStr">
        <is>
          <t>General</t>
        </is>
      </c>
      <c r="F901" s="5" t="n">
        <v>498</v>
      </c>
      <c r="G901" s="5" t="n">
        <v>3286</v>
      </c>
      <c r="H901" s="5" t="n">
        <v>98</v>
      </c>
      <c r="I901" s="5" t="n">
        <v>33</v>
      </c>
      <c r="J901" s="5" t="n">
        <v>55</v>
      </c>
      <c r="K901" s="10">
        <f>IF(F901&gt;0,H901/F901,"")</f>
        <v/>
      </c>
      <c r="L901" s="16">
        <f>IF(AND(G901&gt;0,H901&gt;0),G901/H901,"")</f>
        <v/>
      </c>
    </row>
    <row r="902">
      <c r="A902" s="4" t="inlineStr">
        <is>
          <t>535W</t>
        </is>
      </c>
      <c r="B902" s="4" t="n">
        <v>5</v>
      </c>
      <c r="C902" s="4" t="inlineStr">
        <is>
          <t>elk</t>
        </is>
      </c>
      <c r="D902" s="4" t="n">
        <v>2023</v>
      </c>
      <c r="E902" s="13" t="inlineStr">
        <is>
          <t>General</t>
        </is>
      </c>
      <c r="F902" s="5" t="n"/>
      <c r="G902" s="5" t="n"/>
      <c r="H902" s="5" t="n">
        <v>230</v>
      </c>
      <c r="I902" s="5" t="n">
        <v>49</v>
      </c>
      <c r="J902" s="5" t="n">
        <v>162</v>
      </c>
      <c r="K902" s="10">
        <f>IF(F902&gt;0,H902/F902,"")</f>
        <v/>
      </c>
      <c r="L902" s="16">
        <f>IF(AND(G902&gt;0,H902&gt;0),G902/H902,"")</f>
        <v/>
      </c>
    </row>
    <row r="903">
      <c r="A903" s="4" t="inlineStr">
        <is>
          <t>535W</t>
        </is>
      </c>
      <c r="B903" s="4" t="n">
        <v>5</v>
      </c>
      <c r="C903" s="4" t="inlineStr">
        <is>
          <t>elk</t>
        </is>
      </c>
      <c r="D903" s="4" t="n">
        <v>2024</v>
      </c>
      <c r="E903" s="13" t="inlineStr">
        <is>
          <t>General</t>
        </is>
      </c>
      <c r="F903" s="5" t="n">
        <v>678</v>
      </c>
      <c r="G903" s="5" t="n">
        <v>4906</v>
      </c>
      <c r="H903" s="5" t="n">
        <v>213</v>
      </c>
      <c r="I903" s="5" t="n">
        <v>55</v>
      </c>
      <c r="J903" s="5" t="n">
        <v>155</v>
      </c>
      <c r="K903" s="10">
        <f>IF(F903&gt;0,H903/F903,"")</f>
        <v/>
      </c>
      <c r="L903" s="16">
        <f>IF(AND(G903&gt;0,H903&gt;0),G903/H903,"")</f>
        <v/>
      </c>
    </row>
    <row r="904">
      <c r="A904" s="4" t="inlineStr">
        <is>
          <t>535W</t>
        </is>
      </c>
      <c r="B904" s="4" t="n">
        <v>5</v>
      </c>
      <c r="C904" s="4" t="inlineStr">
        <is>
          <t>elk</t>
        </is>
      </c>
      <c r="D904" s="4" t="n">
        <v>2025</v>
      </c>
      <c r="E904" s="13" t="inlineStr">
        <is>
          <t>General</t>
        </is>
      </c>
      <c r="F904" s="5" t="n"/>
      <c r="G904" s="5" t="n"/>
      <c r="H904" s="5" t="n">
        <v>196</v>
      </c>
      <c r="I904" s="5" t="n">
        <v>54</v>
      </c>
      <c r="J904" s="5" t="n">
        <v>142</v>
      </c>
      <c r="K904" s="10">
        <f>IF(F904&gt;0,H904/F904,"")</f>
        <v/>
      </c>
      <c r="L904" s="16">
        <f>IF(AND(G904&gt;0,H904&gt;0),G904/H904,"")</f>
        <v/>
      </c>
    </row>
    <row r="905">
      <c r="A905" s="4" t="inlineStr">
        <is>
          <t>540</t>
        </is>
      </c>
      <c r="B905" s="4" t="n">
        <v>5</v>
      </c>
      <c r="C905" s="4" t="inlineStr">
        <is>
          <t>elk</t>
        </is>
      </c>
      <c r="D905" s="4" t="n">
        <v>2021</v>
      </c>
      <c r="E905" s="13" t="inlineStr">
        <is>
          <t>General</t>
        </is>
      </c>
      <c r="F905" s="5" t="n"/>
      <c r="G905" s="5" t="n"/>
      <c r="H905" s="5" t="n">
        <v>268</v>
      </c>
      <c r="I905" s="5" t="n">
        <v>119</v>
      </c>
      <c r="J905" s="5" t="n">
        <v>134</v>
      </c>
      <c r="K905" s="10">
        <f>IF(F905&gt;0,H905/F905,"")</f>
        <v/>
      </c>
      <c r="L905" s="16">
        <f>IF(AND(G905&gt;0,H905&gt;0),G905/H905,"")</f>
        <v/>
      </c>
    </row>
    <row r="906">
      <c r="A906" s="4" t="inlineStr">
        <is>
          <t>540</t>
        </is>
      </c>
      <c r="B906" s="4" t="n">
        <v>5</v>
      </c>
      <c r="C906" s="4" t="inlineStr">
        <is>
          <t>elk</t>
        </is>
      </c>
      <c r="D906" s="4" t="n">
        <v>2022</v>
      </c>
      <c r="E906" s="13" t="inlineStr">
        <is>
          <t>General</t>
        </is>
      </c>
      <c r="F906" s="5" t="n">
        <v>1188</v>
      </c>
      <c r="G906" s="5" t="n">
        <v>8123</v>
      </c>
      <c r="H906" s="5" t="n">
        <v>292</v>
      </c>
      <c r="I906" s="5" t="n">
        <v>141</v>
      </c>
      <c r="J906" s="5" t="n">
        <v>145</v>
      </c>
      <c r="K906" s="10">
        <f>IF(F906&gt;0,H906/F906,"")</f>
        <v/>
      </c>
      <c r="L906" s="16">
        <f>IF(AND(G906&gt;0,H906&gt;0),G906/H906,"")</f>
        <v/>
      </c>
    </row>
    <row r="907">
      <c r="A907" s="4" t="inlineStr">
        <is>
          <t>540</t>
        </is>
      </c>
      <c r="B907" s="4" t="n">
        <v>5</v>
      </c>
      <c r="C907" s="4" t="inlineStr">
        <is>
          <t>elk</t>
        </is>
      </c>
      <c r="D907" s="4" t="n">
        <v>2023</v>
      </c>
      <c r="E907" s="13" t="inlineStr">
        <is>
          <t>General</t>
        </is>
      </c>
      <c r="F907" s="5" t="n"/>
      <c r="G907" s="5" t="n"/>
      <c r="H907" s="5" t="n">
        <v>299</v>
      </c>
      <c r="I907" s="5" t="n">
        <v>105</v>
      </c>
      <c r="J907" s="5" t="n">
        <v>170</v>
      </c>
      <c r="K907" s="10">
        <f>IF(F907&gt;0,H907/F907,"")</f>
        <v/>
      </c>
      <c r="L907" s="16">
        <f>IF(AND(G907&gt;0,H907&gt;0),G907/H907,"")</f>
        <v/>
      </c>
    </row>
    <row r="908">
      <c r="A908" s="4" t="inlineStr">
        <is>
          <t>540</t>
        </is>
      </c>
      <c r="B908" s="4" t="n">
        <v>5</v>
      </c>
      <c r="C908" s="4" t="inlineStr">
        <is>
          <t>elk</t>
        </is>
      </c>
      <c r="D908" s="4" t="n">
        <v>2024</v>
      </c>
      <c r="E908" s="13" t="inlineStr">
        <is>
          <t>General</t>
        </is>
      </c>
      <c r="F908" s="5" t="n">
        <v>1259</v>
      </c>
      <c r="G908" s="5" t="n">
        <v>9219</v>
      </c>
      <c r="H908" s="5" t="n">
        <v>315</v>
      </c>
      <c r="I908" s="5" t="n">
        <v>95</v>
      </c>
      <c r="J908" s="5" t="n">
        <v>210</v>
      </c>
      <c r="K908" s="10">
        <f>IF(F908&gt;0,H908/F908,"")</f>
        <v/>
      </c>
      <c r="L908" s="16">
        <f>IF(AND(G908&gt;0,H908&gt;0),G908/H908,"")</f>
        <v/>
      </c>
    </row>
    <row r="909">
      <c r="A909" s="4" t="inlineStr">
        <is>
          <t>540</t>
        </is>
      </c>
      <c r="B909" s="4" t="n">
        <v>5</v>
      </c>
      <c r="C909" s="4" t="inlineStr">
        <is>
          <t>elk</t>
        </is>
      </c>
      <c r="D909" s="4" t="n">
        <v>2025</v>
      </c>
      <c r="E909" s="13" t="inlineStr">
        <is>
          <t>General</t>
        </is>
      </c>
      <c r="F909" s="5" t="n"/>
      <c r="G909" s="5" t="n"/>
      <c r="H909" s="5" t="n">
        <v>205</v>
      </c>
      <c r="I909" s="5" t="n">
        <v>97</v>
      </c>
      <c r="J909" s="5" t="n">
        <v>100</v>
      </c>
      <c r="K909" s="10">
        <f>IF(F909&gt;0,H909/F909,"")</f>
        <v/>
      </c>
      <c r="L909" s="16">
        <f>IF(AND(G909&gt;0,H909&gt;0),G909/H909,"")</f>
        <v/>
      </c>
    </row>
    <row r="910">
      <c r="A910" s="4" t="inlineStr">
        <is>
          <t>555</t>
        </is>
      </c>
      <c r="B910" s="4" t="n">
        <v>5</v>
      </c>
      <c r="C910" s="4" t="inlineStr">
        <is>
          <t>elk</t>
        </is>
      </c>
      <c r="D910" s="4" t="n">
        <v>2022</v>
      </c>
      <c r="E910" s="15" t="inlineStr">
        <is>
          <t>Draw</t>
        </is>
      </c>
      <c r="F910" s="5" t="n">
        <v>126</v>
      </c>
      <c r="G910" s="5" t="n">
        <v>875</v>
      </c>
      <c r="H910" s="5" t="n">
        <v>28</v>
      </c>
      <c r="I910" s="5" t="n">
        <v>24</v>
      </c>
      <c r="J910" s="5" t="n">
        <v>4</v>
      </c>
      <c r="K910" s="10">
        <f>IF(F910&gt;0,H910/F910,"")</f>
        <v/>
      </c>
      <c r="L910" s="16">
        <f>IF(AND(G910&gt;0,H910&gt;0),G910/H910,"")</f>
        <v/>
      </c>
    </row>
    <row r="911">
      <c r="A911" s="4" t="inlineStr">
        <is>
          <t>555</t>
        </is>
      </c>
      <c r="B911" s="4" t="n">
        <v>5</v>
      </c>
      <c r="C911" s="4" t="inlineStr">
        <is>
          <t>elk</t>
        </is>
      </c>
      <c r="D911" s="4" t="n">
        <v>2023</v>
      </c>
      <c r="E911" s="15" t="inlineStr">
        <is>
          <t>Draw</t>
        </is>
      </c>
      <c r="F911" s="5" t="n"/>
      <c r="G911" s="5" t="n"/>
      <c r="H911" s="5" t="n">
        <v>30</v>
      </c>
      <c r="I911" s="5" t="n">
        <v>25</v>
      </c>
      <c r="J911" s="5" t="n">
        <v>5</v>
      </c>
      <c r="K911" s="10">
        <f>IF(F911&gt;0,H911/F911,"")</f>
        <v/>
      </c>
      <c r="L911" s="16">
        <f>IF(AND(G911&gt;0,H911&gt;0),G911/H911,"")</f>
        <v/>
      </c>
    </row>
    <row r="912">
      <c r="A912" s="4" t="inlineStr">
        <is>
          <t>555</t>
        </is>
      </c>
      <c r="B912" s="4" t="n">
        <v>5</v>
      </c>
      <c r="C912" s="4" t="inlineStr">
        <is>
          <t>elk</t>
        </is>
      </c>
      <c r="D912" s="4" t="n">
        <v>2024</v>
      </c>
      <c r="E912" s="15" t="inlineStr">
        <is>
          <t>Draw</t>
        </is>
      </c>
      <c r="F912" s="5" t="n">
        <v>217</v>
      </c>
      <c r="G912" s="5" t="n">
        <v>1797</v>
      </c>
      <c r="H912" s="5" t="n">
        <v>44</v>
      </c>
      <c r="I912" s="5" t="n">
        <v>14</v>
      </c>
      <c r="J912" s="5" t="n">
        <v>30</v>
      </c>
      <c r="K912" s="10">
        <f>IF(F912&gt;0,H912/F912,"")</f>
        <v/>
      </c>
      <c r="L912" s="16">
        <f>IF(AND(G912&gt;0,H912&gt;0),G912/H912,"")</f>
        <v/>
      </c>
    </row>
    <row r="913">
      <c r="A913" s="4" t="inlineStr">
        <is>
          <t>555</t>
        </is>
      </c>
      <c r="B913" s="4" t="n">
        <v>5</v>
      </c>
      <c r="C913" s="4" t="inlineStr">
        <is>
          <t>elk</t>
        </is>
      </c>
      <c r="D913" s="4" t="n">
        <v>2025</v>
      </c>
      <c r="E913" s="15" t="inlineStr">
        <is>
          <t>Draw</t>
        </is>
      </c>
      <c r="F913" s="5" t="n"/>
      <c r="G913" s="5" t="n"/>
      <c r="H913" s="5" t="n">
        <v>59</v>
      </c>
      <c r="I913" s="5" t="n">
        <v>20</v>
      </c>
      <c r="J913" s="5" t="n">
        <v>39</v>
      </c>
      <c r="K913" s="10">
        <f>IF(F913&gt;0,H913/F913,"")</f>
        <v/>
      </c>
      <c r="L913" s="16">
        <f>IF(AND(G913&gt;0,H913&gt;0),G913/H913,"")</f>
        <v/>
      </c>
    </row>
    <row r="914">
      <c r="A914" s="4" t="inlineStr">
        <is>
          <t>560N</t>
        </is>
      </c>
      <c r="B914" s="4" t="n">
        <v>5</v>
      </c>
      <c r="C914" s="4" t="inlineStr">
        <is>
          <t>elk</t>
        </is>
      </c>
      <c r="D914" s="4" t="n">
        <v>2021</v>
      </c>
      <c r="E914" s="4" t="inlineStr"/>
      <c r="F914" s="5" t="n"/>
      <c r="G914" s="5" t="n"/>
      <c r="H914" s="5" t="n">
        <v>166</v>
      </c>
      <c r="I914" s="5" t="n">
        <v>87</v>
      </c>
      <c r="J914" s="5" t="n">
        <v>79</v>
      </c>
      <c r="K914" s="10">
        <f>IF(F914&gt;0,H914/F914,"")</f>
        <v/>
      </c>
      <c r="L914" s="16">
        <f>IF(AND(G914&gt;0,H914&gt;0),G914/H914,"")</f>
        <v/>
      </c>
    </row>
    <row r="915">
      <c r="A915" s="4" t="inlineStr">
        <is>
          <t>560S</t>
        </is>
      </c>
      <c r="B915" s="4" t="n">
        <v>5</v>
      </c>
      <c r="C915" s="4" t="inlineStr">
        <is>
          <t>elk</t>
        </is>
      </c>
      <c r="D915" s="4" t="n">
        <v>2021</v>
      </c>
      <c r="E915" s="4" t="inlineStr"/>
      <c r="F915" s="5" t="n"/>
      <c r="G915" s="5" t="n"/>
      <c r="H915" s="5" t="n">
        <v>43</v>
      </c>
      <c r="I915" s="5" t="n">
        <v>32</v>
      </c>
      <c r="J915" s="5" t="n">
        <v>11</v>
      </c>
      <c r="K915" s="10">
        <f>IF(F915&gt;0,H915/F915,"")</f>
        <v/>
      </c>
      <c r="L915" s="16">
        <f>IF(AND(G915&gt;0,H915&gt;0),G915/H915,"")</f>
        <v/>
      </c>
    </row>
    <row r="916">
      <c r="A916" s="4" t="inlineStr">
        <is>
          <t>565</t>
        </is>
      </c>
      <c r="B916" s="4" t="n">
        <v>5</v>
      </c>
      <c r="C916" s="4" t="inlineStr">
        <is>
          <t>elk</t>
        </is>
      </c>
      <c r="D916" s="4" t="n">
        <v>2022</v>
      </c>
      <c r="E916" s="13" t="inlineStr">
        <is>
          <t>General</t>
        </is>
      </c>
      <c r="F916" s="5" t="n">
        <v>108</v>
      </c>
      <c r="G916" s="5" t="n">
        <v>753</v>
      </c>
      <c r="H916" s="5" t="n">
        <v>35</v>
      </c>
      <c r="I916" s="5" t="n">
        <v>19</v>
      </c>
      <c r="J916" s="5" t="n">
        <v>16</v>
      </c>
      <c r="K916" s="10">
        <f>IF(F916&gt;0,H916/F916,"")</f>
        <v/>
      </c>
      <c r="L916" s="16">
        <f>IF(AND(G916&gt;0,H916&gt;0),G916/H916,"")</f>
        <v/>
      </c>
    </row>
    <row r="917">
      <c r="A917" s="4" t="inlineStr">
        <is>
          <t>565</t>
        </is>
      </c>
      <c r="B917" s="4" t="n">
        <v>5</v>
      </c>
      <c r="C917" s="4" t="inlineStr">
        <is>
          <t>elk</t>
        </is>
      </c>
      <c r="D917" s="4" t="n">
        <v>2023</v>
      </c>
      <c r="E917" s="13" t="inlineStr">
        <is>
          <t>General</t>
        </is>
      </c>
      <c r="F917" s="5" t="n"/>
      <c r="G917" s="5" t="n"/>
      <c r="H917" s="5" t="n">
        <v>39</v>
      </c>
      <c r="I917" s="5" t="n">
        <v>15</v>
      </c>
      <c r="J917" s="5" t="n">
        <v>24</v>
      </c>
      <c r="K917" s="10">
        <f>IF(F917&gt;0,H917/F917,"")</f>
        <v/>
      </c>
      <c r="L917" s="16">
        <f>IF(AND(G917&gt;0,H917&gt;0),G917/H917,"")</f>
        <v/>
      </c>
    </row>
    <row r="918">
      <c r="A918" s="4" t="inlineStr">
        <is>
          <t>565</t>
        </is>
      </c>
      <c r="B918" s="4" t="n">
        <v>5</v>
      </c>
      <c r="C918" s="4" t="inlineStr">
        <is>
          <t>elk</t>
        </is>
      </c>
      <c r="D918" s="4" t="n">
        <v>2024</v>
      </c>
      <c r="E918" s="13" t="inlineStr">
        <is>
          <t>General</t>
        </is>
      </c>
      <c r="F918" s="5" t="n">
        <v>86</v>
      </c>
      <c r="G918" s="5" t="n">
        <v>454</v>
      </c>
      <c r="H918" s="5" t="n">
        <v>13</v>
      </c>
      <c r="I918" s="5" t="n">
        <v>3</v>
      </c>
      <c r="J918" s="5" t="n">
        <v>10</v>
      </c>
      <c r="K918" s="10">
        <f>IF(F918&gt;0,H918/F918,"")</f>
        <v/>
      </c>
      <c r="L918" s="16">
        <f>IF(AND(G918&gt;0,H918&gt;0),G918/H918,"")</f>
        <v/>
      </c>
    </row>
    <row r="919">
      <c r="A919" s="4" t="inlineStr">
        <is>
          <t>565</t>
        </is>
      </c>
      <c r="B919" s="4" t="n">
        <v>5</v>
      </c>
      <c r="C919" s="4" t="inlineStr">
        <is>
          <t>elk</t>
        </is>
      </c>
      <c r="D919" s="4" t="n">
        <v>2025</v>
      </c>
      <c r="E919" s="13" t="inlineStr">
        <is>
          <t>General</t>
        </is>
      </c>
      <c r="F919" s="5" t="n"/>
      <c r="G919" s="5" t="n"/>
      <c r="H919" s="5" t="n">
        <v>18</v>
      </c>
      <c r="I919" s="5" t="n">
        <v>15</v>
      </c>
      <c r="J919" s="5" t="n">
        <v>4</v>
      </c>
      <c r="K919" s="10">
        <f>IF(F919&gt;0,H919/F919,"")</f>
        <v/>
      </c>
      <c r="L919" s="16">
        <f>IF(AND(G919&gt;0,H919&gt;0),G919/H919,"")</f>
        <v/>
      </c>
    </row>
    <row r="920">
      <c r="A920" s="4" t="inlineStr">
        <is>
          <t>570</t>
        </is>
      </c>
      <c r="B920" s="4" t="n">
        <v>5</v>
      </c>
      <c r="C920" s="4" t="inlineStr">
        <is>
          <t>elk</t>
        </is>
      </c>
      <c r="D920" s="4" t="n">
        <v>2021</v>
      </c>
      <c r="E920" s="4" t="inlineStr"/>
      <c r="F920" s="5" t="n"/>
      <c r="G920" s="5" t="n"/>
      <c r="H920" s="5" t="n">
        <v>174</v>
      </c>
      <c r="I920" s="5" t="n">
        <v>62</v>
      </c>
      <c r="J920" s="5" t="n">
        <v>112</v>
      </c>
      <c r="K920" s="10">
        <f>IF(F920&gt;0,H920/F920,"")</f>
        <v/>
      </c>
      <c r="L920" s="16">
        <f>IF(AND(G920&gt;0,H920&gt;0),G920/H920,"")</f>
        <v/>
      </c>
    </row>
    <row r="921">
      <c r="A921" s="4" t="inlineStr">
        <is>
          <t>575</t>
        </is>
      </c>
      <c r="B921" s="4" t="n">
        <v>5</v>
      </c>
      <c r="C921" s="4" t="inlineStr">
        <is>
          <t>elk</t>
        </is>
      </c>
      <c r="D921" s="4" t="n">
        <v>2021</v>
      </c>
      <c r="E921" s="13" t="inlineStr">
        <is>
          <t>General</t>
        </is>
      </c>
      <c r="F921" s="5" t="n"/>
      <c r="G921" s="5" t="n"/>
      <c r="H921" s="5" t="n">
        <v>135</v>
      </c>
      <c r="I921" s="5" t="n">
        <v>51</v>
      </c>
      <c r="J921" s="5" t="n">
        <v>80</v>
      </c>
      <c r="K921" s="10">
        <f>IF(F921&gt;0,H921/F921,"")</f>
        <v/>
      </c>
      <c r="L921" s="16">
        <f>IF(AND(G921&gt;0,H921&gt;0),G921/H921,"")</f>
        <v/>
      </c>
    </row>
    <row r="922">
      <c r="A922" s="4" t="inlineStr">
        <is>
          <t>575</t>
        </is>
      </c>
      <c r="B922" s="4" t="n">
        <v>5</v>
      </c>
      <c r="C922" s="4" t="inlineStr">
        <is>
          <t>elk</t>
        </is>
      </c>
      <c r="D922" s="4" t="n">
        <v>2022</v>
      </c>
      <c r="E922" s="13" t="inlineStr">
        <is>
          <t>General</t>
        </is>
      </c>
      <c r="F922" s="5" t="n">
        <v>920</v>
      </c>
      <c r="G922" s="5" t="n">
        <v>5996</v>
      </c>
      <c r="H922" s="5" t="n">
        <v>199</v>
      </c>
      <c r="I922" s="5" t="n">
        <v>144</v>
      </c>
      <c r="J922" s="5" t="n">
        <v>52</v>
      </c>
      <c r="K922" s="10">
        <f>IF(F922&gt;0,H922/F922,"")</f>
        <v/>
      </c>
      <c r="L922" s="16">
        <f>IF(AND(G922&gt;0,H922&gt;0),G922/H922,"")</f>
        <v/>
      </c>
    </row>
    <row r="923">
      <c r="A923" s="4" t="inlineStr">
        <is>
          <t>575</t>
        </is>
      </c>
      <c r="B923" s="4" t="n">
        <v>5</v>
      </c>
      <c r="C923" s="4" t="inlineStr">
        <is>
          <t>elk</t>
        </is>
      </c>
      <c r="D923" s="4" t="n">
        <v>2023</v>
      </c>
      <c r="E923" s="13" t="inlineStr">
        <is>
          <t>General</t>
        </is>
      </c>
      <c r="F923" s="5" t="n"/>
      <c r="G923" s="5" t="n"/>
      <c r="H923" s="5" t="n">
        <v>215</v>
      </c>
      <c r="I923" s="5" t="n">
        <v>89</v>
      </c>
      <c r="J923" s="5" t="n">
        <v>124</v>
      </c>
      <c r="K923" s="10">
        <f>IF(F923&gt;0,H923/F923,"")</f>
        <v/>
      </c>
      <c r="L923" s="16">
        <f>IF(AND(G923&gt;0,H923&gt;0),G923/H923,"")</f>
        <v/>
      </c>
    </row>
    <row r="924">
      <c r="A924" s="4" t="inlineStr">
        <is>
          <t>575</t>
        </is>
      </c>
      <c r="B924" s="4" t="n">
        <v>5</v>
      </c>
      <c r="C924" s="4" t="inlineStr">
        <is>
          <t>elk</t>
        </is>
      </c>
      <c r="D924" s="4" t="n">
        <v>2024</v>
      </c>
      <c r="E924" s="13" t="inlineStr">
        <is>
          <t>General</t>
        </is>
      </c>
      <c r="F924" s="5" t="n">
        <v>991</v>
      </c>
      <c r="G924" s="5" t="n">
        <v>7518</v>
      </c>
      <c r="H924" s="5" t="n">
        <v>250</v>
      </c>
      <c r="I924" s="5" t="n">
        <v>102</v>
      </c>
      <c r="J924" s="5" t="n">
        <v>142</v>
      </c>
      <c r="K924" s="10">
        <f>IF(F924&gt;0,H924/F924,"")</f>
        <v/>
      </c>
      <c r="L924" s="16">
        <f>IF(AND(G924&gt;0,H924&gt;0),G924/H924,"")</f>
        <v/>
      </c>
    </row>
    <row r="925">
      <c r="A925" s="4" t="inlineStr">
        <is>
          <t>575</t>
        </is>
      </c>
      <c r="B925" s="4" t="n">
        <v>5</v>
      </c>
      <c r="C925" s="4" t="inlineStr">
        <is>
          <t>elk</t>
        </is>
      </c>
      <c r="D925" s="4" t="n">
        <v>2025</v>
      </c>
      <c r="E925" s="13" t="inlineStr">
        <is>
          <t>General</t>
        </is>
      </c>
      <c r="F925" s="5" t="n"/>
      <c r="G925" s="5" t="n"/>
      <c r="H925" s="5" t="n">
        <v>245</v>
      </c>
      <c r="I925" s="5" t="n">
        <v>98</v>
      </c>
      <c r="J925" s="5" t="n">
        <v>143</v>
      </c>
      <c r="K925" s="10">
        <f>IF(F925&gt;0,H925/F925,"")</f>
        <v/>
      </c>
      <c r="L925" s="16">
        <f>IF(AND(G925&gt;0,H925&gt;0),G925/H925,"")</f>
        <v/>
      </c>
    </row>
    <row r="926">
      <c r="A926" s="4" t="inlineStr">
        <is>
          <t>580N</t>
        </is>
      </c>
      <c r="B926" s="4" t="n">
        <v>5</v>
      </c>
      <c r="C926" s="4" t="inlineStr">
        <is>
          <t>elk</t>
        </is>
      </c>
      <c r="D926" s="4" t="n">
        <v>2021</v>
      </c>
      <c r="E926" s="13" t="inlineStr">
        <is>
          <t>General</t>
        </is>
      </c>
      <c r="F926" s="5" t="n"/>
      <c r="G926" s="5" t="n"/>
      <c r="H926" s="5" t="n">
        <v>459</v>
      </c>
      <c r="I926" s="5" t="n">
        <v>192</v>
      </c>
      <c r="J926" s="5" t="n">
        <v>251</v>
      </c>
      <c r="K926" s="10">
        <f>IF(F926&gt;0,H926/F926,"")</f>
        <v/>
      </c>
      <c r="L926" s="16">
        <f>IF(AND(G926&gt;0,H926&gt;0),G926/H926,"")</f>
        <v/>
      </c>
    </row>
    <row r="927">
      <c r="A927" s="4" t="inlineStr">
        <is>
          <t>580N</t>
        </is>
      </c>
      <c r="B927" s="4" t="n">
        <v>5</v>
      </c>
      <c r="C927" s="4" t="inlineStr">
        <is>
          <t>elk</t>
        </is>
      </c>
      <c r="D927" s="4" t="n">
        <v>2022</v>
      </c>
      <c r="E927" s="13" t="inlineStr">
        <is>
          <t>General</t>
        </is>
      </c>
      <c r="F927" s="5" t="n">
        <v>1184</v>
      </c>
      <c r="G927" s="5" t="n">
        <v>6491</v>
      </c>
      <c r="H927" s="5" t="n">
        <v>508</v>
      </c>
      <c r="I927" s="5" t="n">
        <v>260</v>
      </c>
      <c r="J927" s="5" t="n">
        <v>242</v>
      </c>
      <c r="K927" s="10">
        <f>IF(F927&gt;0,H927/F927,"")</f>
        <v/>
      </c>
      <c r="L927" s="16">
        <f>IF(AND(G927&gt;0,H927&gt;0),G927/H927,"")</f>
        <v/>
      </c>
    </row>
    <row r="928">
      <c r="A928" s="4" t="inlineStr">
        <is>
          <t>580N</t>
        </is>
      </c>
      <c r="B928" s="4" t="n">
        <v>5</v>
      </c>
      <c r="C928" s="4" t="inlineStr">
        <is>
          <t>elk</t>
        </is>
      </c>
      <c r="D928" s="4" t="n">
        <v>2023</v>
      </c>
      <c r="E928" s="13" t="inlineStr">
        <is>
          <t>General</t>
        </is>
      </c>
      <c r="F928" s="5" t="n"/>
      <c r="G928" s="5" t="n"/>
      <c r="H928" s="5" t="n">
        <v>544</v>
      </c>
      <c r="I928" s="5" t="n">
        <v>272</v>
      </c>
      <c r="J928" s="5" t="n">
        <v>269</v>
      </c>
      <c r="K928" s="10">
        <f>IF(F928&gt;0,H928/F928,"")</f>
        <v/>
      </c>
      <c r="L928" s="16">
        <f>IF(AND(G928&gt;0,H928&gt;0),G928/H928,"")</f>
        <v/>
      </c>
    </row>
    <row r="929">
      <c r="A929" s="4" t="inlineStr">
        <is>
          <t>580N</t>
        </is>
      </c>
      <c r="B929" s="4" t="n">
        <v>5</v>
      </c>
      <c r="C929" s="4" t="inlineStr">
        <is>
          <t>elk</t>
        </is>
      </c>
      <c r="D929" s="4" t="n">
        <v>2024</v>
      </c>
      <c r="E929" s="13" t="inlineStr">
        <is>
          <t>General</t>
        </is>
      </c>
      <c r="F929" s="5" t="n">
        <v>1353</v>
      </c>
      <c r="G929" s="5" t="n">
        <v>8706</v>
      </c>
      <c r="H929" s="5" t="n">
        <v>482</v>
      </c>
      <c r="I929" s="5" t="n">
        <v>186</v>
      </c>
      <c r="J929" s="5" t="n">
        <v>285</v>
      </c>
      <c r="K929" s="10">
        <f>IF(F929&gt;0,H929/F929,"")</f>
        <v/>
      </c>
      <c r="L929" s="16">
        <f>IF(AND(G929&gt;0,H929&gt;0),G929/H929,"")</f>
        <v/>
      </c>
    </row>
    <row r="930">
      <c r="A930" s="4" t="inlineStr">
        <is>
          <t>580N</t>
        </is>
      </c>
      <c r="B930" s="4" t="n">
        <v>5</v>
      </c>
      <c r="C930" s="4" t="inlineStr">
        <is>
          <t>elk</t>
        </is>
      </c>
      <c r="D930" s="4" t="n">
        <v>2025</v>
      </c>
      <c r="E930" s="13" t="inlineStr">
        <is>
          <t>General</t>
        </is>
      </c>
      <c r="F930" s="5" t="n"/>
      <c r="G930" s="5" t="n"/>
      <c r="H930" s="5" t="n">
        <v>604</v>
      </c>
      <c r="I930" s="5" t="n">
        <v>227</v>
      </c>
      <c r="J930" s="5" t="n">
        <v>363</v>
      </c>
      <c r="K930" s="10">
        <f>IF(F930&gt;0,H930/F930,"")</f>
        <v/>
      </c>
      <c r="L930" s="16">
        <f>IF(AND(G930&gt;0,H930&gt;0),G930/H930,"")</f>
        <v/>
      </c>
    </row>
    <row r="931">
      <c r="A931" s="4" t="inlineStr">
        <is>
          <t>580S</t>
        </is>
      </c>
      <c r="B931" s="4" t="n">
        <v>5</v>
      </c>
      <c r="C931" s="4" t="inlineStr">
        <is>
          <t>elk</t>
        </is>
      </c>
      <c r="D931" s="4" t="n">
        <v>2021</v>
      </c>
      <c r="E931" s="13" t="inlineStr">
        <is>
          <t>General</t>
        </is>
      </c>
      <c r="F931" s="5" t="n"/>
      <c r="G931" s="5" t="n"/>
      <c r="H931" s="5" t="n">
        <v>145</v>
      </c>
      <c r="I931" s="5" t="n">
        <v>49</v>
      </c>
      <c r="J931" s="5" t="n">
        <v>92</v>
      </c>
      <c r="K931" s="10">
        <f>IF(F931&gt;0,H931/F931,"")</f>
        <v/>
      </c>
      <c r="L931" s="16">
        <f>IF(AND(G931&gt;0,H931&gt;0),G931/H931,"")</f>
        <v/>
      </c>
    </row>
    <row r="932">
      <c r="A932" s="4" t="inlineStr">
        <is>
          <t>580S</t>
        </is>
      </c>
      <c r="B932" s="4" t="n">
        <v>5</v>
      </c>
      <c r="C932" s="4" t="inlineStr">
        <is>
          <t>elk</t>
        </is>
      </c>
      <c r="D932" s="4" t="n">
        <v>2022</v>
      </c>
      <c r="E932" s="13" t="inlineStr">
        <is>
          <t>General</t>
        </is>
      </c>
      <c r="F932" s="5" t="n">
        <v>456</v>
      </c>
      <c r="G932" s="5" t="n">
        <v>2876</v>
      </c>
      <c r="H932" s="5" t="n">
        <v>169</v>
      </c>
      <c r="I932" s="5" t="n">
        <v>97</v>
      </c>
      <c r="J932" s="5" t="n">
        <v>72</v>
      </c>
      <c r="K932" s="10">
        <f>IF(F932&gt;0,H932/F932,"")</f>
        <v/>
      </c>
      <c r="L932" s="16">
        <f>IF(AND(G932&gt;0,H932&gt;0),G932/H932,"")</f>
        <v/>
      </c>
    </row>
    <row r="933">
      <c r="A933" s="4" t="inlineStr">
        <is>
          <t>580S</t>
        </is>
      </c>
      <c r="B933" s="4" t="n">
        <v>5</v>
      </c>
      <c r="C933" s="4" t="inlineStr">
        <is>
          <t>elk</t>
        </is>
      </c>
      <c r="D933" s="4" t="n">
        <v>2023</v>
      </c>
      <c r="E933" s="13" t="inlineStr">
        <is>
          <t>General</t>
        </is>
      </c>
      <c r="F933" s="5" t="n"/>
      <c r="G933" s="5" t="n"/>
      <c r="H933" s="5" t="n">
        <v>266</v>
      </c>
      <c r="I933" s="5" t="n">
        <v>123</v>
      </c>
      <c r="J933" s="5" t="n">
        <v>143</v>
      </c>
      <c r="K933" s="10">
        <f>IF(F933&gt;0,H933/F933,"")</f>
        <v/>
      </c>
      <c r="L933" s="16">
        <f>IF(AND(G933&gt;0,H933&gt;0),G933/H933,"")</f>
        <v/>
      </c>
    </row>
    <row r="934">
      <c r="A934" s="4" t="inlineStr">
        <is>
          <t>580S</t>
        </is>
      </c>
      <c r="B934" s="4" t="n">
        <v>5</v>
      </c>
      <c r="C934" s="4" t="inlineStr">
        <is>
          <t>elk</t>
        </is>
      </c>
      <c r="D934" s="4" t="n">
        <v>2024</v>
      </c>
      <c r="E934" s="13" t="inlineStr">
        <is>
          <t>General</t>
        </is>
      </c>
      <c r="F934" s="5" t="n">
        <v>477</v>
      </c>
      <c r="G934" s="5" t="n">
        <v>3497</v>
      </c>
      <c r="H934" s="5" t="n">
        <v>198</v>
      </c>
      <c r="I934" s="5" t="n">
        <v>80</v>
      </c>
      <c r="J934" s="5" t="n">
        <v>116</v>
      </c>
      <c r="K934" s="10">
        <f>IF(F934&gt;0,H934/F934,"")</f>
        <v/>
      </c>
      <c r="L934" s="16">
        <f>IF(AND(G934&gt;0,H934&gt;0),G934/H934,"")</f>
        <v/>
      </c>
    </row>
    <row r="935">
      <c r="A935" s="4" t="inlineStr">
        <is>
          <t>580S</t>
        </is>
      </c>
      <c r="B935" s="4" t="n">
        <v>5</v>
      </c>
      <c r="C935" s="4" t="inlineStr">
        <is>
          <t>elk</t>
        </is>
      </c>
      <c r="D935" s="4" t="n">
        <v>2025</v>
      </c>
      <c r="E935" s="13" t="inlineStr">
        <is>
          <t>General</t>
        </is>
      </c>
      <c r="F935" s="5" t="n"/>
      <c r="G935" s="5" t="n"/>
      <c r="H935" s="5" t="n">
        <v>198</v>
      </c>
      <c r="I935" s="5" t="n">
        <v>103</v>
      </c>
      <c r="J935" s="5" t="n">
        <v>95</v>
      </c>
      <c r="K935" s="10">
        <f>IF(F935&gt;0,H935/F935,"")</f>
        <v/>
      </c>
      <c r="L935" s="16">
        <f>IF(AND(G935&gt;0,H935&gt;0),G935/H935,"")</f>
        <v/>
      </c>
    </row>
    <row r="936">
      <c r="A936" s="4" t="inlineStr">
        <is>
          <t>590</t>
        </is>
      </c>
      <c r="B936" s="4" t="n">
        <v>5</v>
      </c>
      <c r="C936" s="4" t="inlineStr">
        <is>
          <t>elk</t>
        </is>
      </c>
      <c r="D936" s="4" t="n">
        <v>2022</v>
      </c>
      <c r="E936" s="13" t="inlineStr">
        <is>
          <t>General</t>
        </is>
      </c>
      <c r="F936" s="5" t="n">
        <v>2283</v>
      </c>
      <c r="G936" s="5" t="n">
        <v>16649</v>
      </c>
      <c r="H936" s="5" t="n">
        <v>712</v>
      </c>
      <c r="I936" s="5" t="n">
        <v>323</v>
      </c>
      <c r="J936" s="5" t="n">
        <v>360</v>
      </c>
      <c r="K936" s="10">
        <f>IF(F936&gt;0,H936/F936,"")</f>
        <v/>
      </c>
      <c r="L936" s="16">
        <f>IF(AND(G936&gt;0,H936&gt;0),G936/H936,"")</f>
        <v/>
      </c>
    </row>
    <row r="937">
      <c r="A937" s="4" t="inlineStr">
        <is>
          <t>590</t>
        </is>
      </c>
      <c r="B937" s="4" t="n">
        <v>5</v>
      </c>
      <c r="C937" s="4" t="inlineStr">
        <is>
          <t>elk</t>
        </is>
      </c>
      <c r="D937" s="4" t="n">
        <v>2023</v>
      </c>
      <c r="E937" s="13" t="inlineStr">
        <is>
          <t>General</t>
        </is>
      </c>
      <c r="F937" s="5" t="n"/>
      <c r="G937" s="5" t="n"/>
      <c r="H937" s="5" t="n">
        <v>651</v>
      </c>
      <c r="I937" s="5" t="n">
        <v>300</v>
      </c>
      <c r="J937" s="5" t="n">
        <v>345</v>
      </c>
      <c r="K937" s="10">
        <f>IF(F937&gt;0,H937/F937,"")</f>
        <v/>
      </c>
      <c r="L937" s="16">
        <f>IF(AND(G937&gt;0,H937&gt;0),G937/H937,"")</f>
        <v/>
      </c>
    </row>
    <row r="938">
      <c r="A938" s="4" t="inlineStr">
        <is>
          <t>590</t>
        </is>
      </c>
      <c r="B938" s="4" t="n">
        <v>5</v>
      </c>
      <c r="C938" s="4" t="inlineStr">
        <is>
          <t>elk</t>
        </is>
      </c>
      <c r="D938" s="4" t="n">
        <v>2024</v>
      </c>
      <c r="E938" s="13" t="inlineStr">
        <is>
          <t>General</t>
        </is>
      </c>
      <c r="F938" s="5" t="n">
        <v>2494</v>
      </c>
      <c r="G938" s="5" t="n">
        <v>18625</v>
      </c>
      <c r="H938" s="5" t="n">
        <v>750</v>
      </c>
      <c r="I938" s="5" t="n">
        <v>310</v>
      </c>
      <c r="J938" s="5" t="n">
        <v>435</v>
      </c>
      <c r="K938" s="10">
        <f>IF(F938&gt;0,H938/F938,"")</f>
        <v/>
      </c>
      <c r="L938" s="16">
        <f>IF(AND(G938&gt;0,H938&gt;0),G938/H938,"")</f>
        <v/>
      </c>
    </row>
    <row r="939">
      <c r="A939" s="4" t="inlineStr">
        <is>
          <t>590</t>
        </is>
      </c>
      <c r="B939" s="4" t="n">
        <v>5</v>
      </c>
      <c r="C939" s="4" t="inlineStr">
        <is>
          <t>elk</t>
        </is>
      </c>
      <c r="D939" s="4" t="n">
        <v>2025</v>
      </c>
      <c r="E939" s="13" t="inlineStr">
        <is>
          <t>General</t>
        </is>
      </c>
      <c r="F939" s="5" t="n"/>
      <c r="G939" s="5" t="n"/>
      <c r="H939" s="5" t="n">
        <v>766</v>
      </c>
      <c r="I939" s="5" t="n">
        <v>382</v>
      </c>
      <c r="J939" s="5" t="n">
        <v>376</v>
      </c>
      <c r="K939" s="10">
        <f>IF(F939&gt;0,H939/F939,"")</f>
        <v/>
      </c>
      <c r="L939" s="16">
        <f>IF(AND(G939&gt;0,H939&gt;0),G939/H939,"")</f>
        <v/>
      </c>
    </row>
    <row r="940">
      <c r="A940" s="4" t="inlineStr">
        <is>
          <t>590N</t>
        </is>
      </c>
      <c r="B940" s="4" t="n">
        <v>5</v>
      </c>
      <c r="C940" s="4" t="inlineStr">
        <is>
          <t>elk</t>
        </is>
      </c>
      <c r="D940" s="4" t="n">
        <v>2021</v>
      </c>
      <c r="E940" s="13" t="inlineStr">
        <is>
          <t>General</t>
        </is>
      </c>
      <c r="F940" s="5" t="n"/>
      <c r="G940" s="5" t="n"/>
      <c r="H940" s="5" t="n">
        <v>420</v>
      </c>
      <c r="I940" s="5" t="n">
        <v>170</v>
      </c>
      <c r="J940" s="5" t="n">
        <v>239</v>
      </c>
      <c r="K940" s="10">
        <f>IF(F940&gt;0,H940/F940,"")</f>
        <v/>
      </c>
      <c r="L940" s="16">
        <f>IF(AND(G940&gt;0,H940&gt;0),G940/H940,"")</f>
        <v/>
      </c>
    </row>
    <row r="941">
      <c r="A941" s="4" t="inlineStr">
        <is>
          <t>590S</t>
        </is>
      </c>
      <c r="B941" s="4" t="n">
        <v>5</v>
      </c>
      <c r="C941" s="4" t="inlineStr">
        <is>
          <t>elk</t>
        </is>
      </c>
      <c r="D941" s="4" t="n">
        <v>2021</v>
      </c>
      <c r="E941" s="13" t="inlineStr">
        <is>
          <t>General</t>
        </is>
      </c>
      <c r="F941" s="5" t="n"/>
      <c r="G941" s="5" t="n"/>
      <c r="H941" s="5" t="n">
        <v>61</v>
      </c>
      <c r="I941" s="5" t="n">
        <v>22</v>
      </c>
      <c r="J941" s="5" t="n">
        <v>39</v>
      </c>
      <c r="K941" s="10">
        <f>IF(F941&gt;0,H941/F941,"")</f>
        <v/>
      </c>
      <c r="L941" s="16">
        <f>IF(AND(G941&gt;0,H941&gt;0),G941/H941,"")</f>
        <v/>
      </c>
    </row>
    <row r="942">
      <c r="A942" s="4" t="inlineStr">
        <is>
          <t>600</t>
        </is>
      </c>
      <c r="B942" s="4" t="n">
        <v>6</v>
      </c>
      <c r="C942" s="4" t="inlineStr">
        <is>
          <t>elk</t>
        </is>
      </c>
      <c r="D942" s="4" t="n">
        <v>2021</v>
      </c>
      <c r="E942" s="13" t="inlineStr">
        <is>
          <t>General</t>
        </is>
      </c>
      <c r="F942" s="5" t="n"/>
      <c r="G942" s="5" t="n"/>
      <c r="H942" s="5" t="n">
        <v>16</v>
      </c>
      <c r="I942" s="5" t="n">
        <v>8</v>
      </c>
      <c r="J942" s="5" t="n">
        <v>8</v>
      </c>
      <c r="K942" s="10">
        <f>IF(F942&gt;0,H942/F942,"")</f>
        <v/>
      </c>
      <c r="L942" s="16">
        <f>IF(AND(G942&gt;0,H942&gt;0),G942/H942,"")</f>
        <v/>
      </c>
    </row>
    <row r="943">
      <c r="A943" s="4" t="inlineStr">
        <is>
          <t>600</t>
        </is>
      </c>
      <c r="B943" s="4" t="n">
        <v>6</v>
      </c>
      <c r="C943" s="4" t="inlineStr">
        <is>
          <t>elk</t>
        </is>
      </c>
      <c r="D943" s="4" t="n">
        <v>2022</v>
      </c>
      <c r="E943" s="13" t="inlineStr">
        <is>
          <t>General</t>
        </is>
      </c>
      <c r="F943" s="5" t="n">
        <v>105</v>
      </c>
      <c r="G943" s="5" t="n">
        <v>566</v>
      </c>
      <c r="H943" s="5" t="n">
        <v>22</v>
      </c>
      <c r="I943" s="5" t="n">
        <v>13</v>
      </c>
      <c r="J943" s="5" t="n">
        <v>9</v>
      </c>
      <c r="K943" s="10">
        <f>IF(F943&gt;0,H943/F943,"")</f>
        <v/>
      </c>
      <c r="L943" s="16">
        <f>IF(AND(G943&gt;0,H943&gt;0),G943/H943,"")</f>
        <v/>
      </c>
    </row>
    <row r="944">
      <c r="A944" s="4" t="inlineStr">
        <is>
          <t>600</t>
        </is>
      </c>
      <c r="B944" s="4" t="n">
        <v>6</v>
      </c>
      <c r="C944" s="4" t="inlineStr">
        <is>
          <t>elk</t>
        </is>
      </c>
      <c r="D944" s="4" t="n">
        <v>2023</v>
      </c>
      <c r="E944" s="13" t="inlineStr">
        <is>
          <t>General</t>
        </is>
      </c>
      <c r="F944" s="5" t="n"/>
      <c r="G944" s="5" t="n"/>
      <c r="H944" s="5" t="n">
        <v>9</v>
      </c>
      <c r="I944" s="5" t="n">
        <v>3</v>
      </c>
      <c r="J944" s="5" t="n">
        <v>6</v>
      </c>
      <c r="K944" s="10">
        <f>IF(F944&gt;0,H944/F944,"")</f>
        <v/>
      </c>
      <c r="L944" s="16">
        <f>IF(AND(G944&gt;0,H944&gt;0),G944/H944,"")</f>
        <v/>
      </c>
    </row>
    <row r="945">
      <c r="A945" s="4" t="inlineStr">
        <is>
          <t>600</t>
        </is>
      </c>
      <c r="B945" s="4" t="n">
        <v>6</v>
      </c>
      <c r="C945" s="4" t="inlineStr">
        <is>
          <t>elk</t>
        </is>
      </c>
      <c r="D945" s="4" t="n">
        <v>2024</v>
      </c>
      <c r="E945" s="13" t="inlineStr">
        <is>
          <t>General</t>
        </is>
      </c>
      <c r="F945" s="5" t="n">
        <v>154</v>
      </c>
      <c r="G945" s="5" t="n">
        <v>771</v>
      </c>
      <c r="H945" s="5" t="n">
        <v>14</v>
      </c>
      <c r="I945" s="5" t="n">
        <v>9</v>
      </c>
      <c r="J945" s="5" t="n">
        <v>3</v>
      </c>
      <c r="K945" s="10">
        <f>IF(F945&gt;0,H945/F945,"")</f>
        <v/>
      </c>
      <c r="L945" s="16">
        <f>IF(AND(G945&gt;0,H945&gt;0),G945/H945,"")</f>
        <v/>
      </c>
    </row>
    <row r="946">
      <c r="A946" s="4" t="inlineStr">
        <is>
          <t>600</t>
        </is>
      </c>
      <c r="B946" s="4" t="n">
        <v>6</v>
      </c>
      <c r="C946" s="4" t="inlineStr">
        <is>
          <t>elk</t>
        </is>
      </c>
      <c r="D946" s="4" t="n">
        <v>2025</v>
      </c>
      <c r="E946" s="13" t="inlineStr">
        <is>
          <t>General</t>
        </is>
      </c>
      <c r="F946" s="5" t="n"/>
      <c r="G946" s="5" t="n"/>
      <c r="H946" s="5" t="n">
        <v>22</v>
      </c>
      <c r="I946" s="5" t="n">
        <v>15</v>
      </c>
      <c r="J946" s="5" t="n">
        <v>7</v>
      </c>
      <c r="K946" s="10">
        <f>IF(F946&gt;0,H946/F946,"")</f>
        <v/>
      </c>
      <c r="L946" s="16">
        <f>IF(AND(G946&gt;0,H946&gt;0),G946/H946,"")</f>
        <v/>
      </c>
    </row>
    <row r="947">
      <c r="A947" s="4" t="inlineStr">
        <is>
          <t>620</t>
        </is>
      </c>
      <c r="B947" s="4" t="n">
        <v>6</v>
      </c>
      <c r="C947" s="4" t="inlineStr">
        <is>
          <t>elk</t>
        </is>
      </c>
      <c r="D947" s="4" t="n">
        <v>2021</v>
      </c>
      <c r="E947" s="15" t="inlineStr">
        <is>
          <t>Draw</t>
        </is>
      </c>
      <c r="F947" s="5" t="n"/>
      <c r="G947" s="5" t="n"/>
      <c r="H947" s="5" t="n">
        <v>135</v>
      </c>
      <c r="I947" s="5" t="n">
        <v>73</v>
      </c>
      <c r="J947" s="5" t="n">
        <v>59</v>
      </c>
      <c r="K947" s="10">
        <f>IF(F947&gt;0,H947/F947,"")</f>
        <v/>
      </c>
      <c r="L947" s="16">
        <f>IF(AND(G947&gt;0,H947&gt;0),G947/H947,"")</f>
        <v/>
      </c>
    </row>
    <row r="948">
      <c r="A948" s="4" t="inlineStr">
        <is>
          <t>620</t>
        </is>
      </c>
      <c r="B948" s="4" t="n">
        <v>6</v>
      </c>
      <c r="C948" s="4" t="inlineStr">
        <is>
          <t>elk</t>
        </is>
      </c>
      <c r="D948" s="4" t="n">
        <v>2022</v>
      </c>
      <c r="E948" s="15" t="inlineStr">
        <is>
          <t>Draw</t>
        </is>
      </c>
      <c r="F948" s="5" t="n">
        <v>824</v>
      </c>
      <c r="G948" s="5" t="n">
        <v>5806</v>
      </c>
      <c r="H948" s="5" t="n">
        <v>129</v>
      </c>
      <c r="I948" s="5" t="n">
        <v>92</v>
      </c>
      <c r="J948" s="5" t="n">
        <v>37</v>
      </c>
      <c r="K948" s="10">
        <f>IF(F948&gt;0,H948/F948,"")</f>
        <v/>
      </c>
      <c r="L948" s="16">
        <f>IF(AND(G948&gt;0,H948&gt;0),G948/H948,"")</f>
        <v/>
      </c>
    </row>
    <row r="949">
      <c r="A949" s="4" t="inlineStr">
        <is>
          <t>620</t>
        </is>
      </c>
      <c r="B949" s="4" t="n">
        <v>6</v>
      </c>
      <c r="C949" s="4" t="inlineStr">
        <is>
          <t>elk</t>
        </is>
      </c>
      <c r="D949" s="4" t="n">
        <v>2023</v>
      </c>
      <c r="E949" s="15" t="inlineStr">
        <is>
          <t>Draw</t>
        </is>
      </c>
      <c r="F949" s="5" t="n"/>
      <c r="G949" s="5" t="n"/>
      <c r="H949" s="5" t="n">
        <v>92</v>
      </c>
      <c r="I949" s="5" t="n">
        <v>46</v>
      </c>
      <c r="J949" s="5" t="n">
        <v>45</v>
      </c>
      <c r="K949" s="10">
        <f>IF(F949&gt;0,H949/F949,"")</f>
        <v/>
      </c>
      <c r="L949" s="16">
        <f>IF(AND(G949&gt;0,H949&gt;0),G949/H949,"")</f>
        <v/>
      </c>
    </row>
    <row r="950">
      <c r="A950" s="4" t="inlineStr">
        <is>
          <t>620</t>
        </is>
      </c>
      <c r="B950" s="4" t="n">
        <v>6</v>
      </c>
      <c r="C950" s="4" t="inlineStr">
        <is>
          <t>elk</t>
        </is>
      </c>
      <c r="D950" s="4" t="n">
        <v>2024</v>
      </c>
      <c r="E950" s="15" t="inlineStr">
        <is>
          <t>Draw</t>
        </is>
      </c>
      <c r="F950" s="5" t="n">
        <v>704</v>
      </c>
      <c r="G950" s="5" t="n">
        <v>6028</v>
      </c>
      <c r="H950" s="5" t="n">
        <v>128</v>
      </c>
      <c r="I950" s="5" t="n">
        <v>91</v>
      </c>
      <c r="J950" s="5" t="n">
        <v>34</v>
      </c>
      <c r="K950" s="10">
        <f>IF(F950&gt;0,H950/F950,"")</f>
        <v/>
      </c>
      <c r="L950" s="16">
        <f>IF(AND(G950&gt;0,H950&gt;0),G950/H950,"")</f>
        <v/>
      </c>
    </row>
    <row r="951">
      <c r="A951" s="4" t="inlineStr">
        <is>
          <t>620</t>
        </is>
      </c>
      <c r="B951" s="4" t="n">
        <v>6</v>
      </c>
      <c r="C951" s="4" t="inlineStr">
        <is>
          <t>elk</t>
        </is>
      </c>
      <c r="D951" s="4" t="n">
        <v>2025</v>
      </c>
      <c r="E951" s="15" t="inlineStr">
        <is>
          <t>Draw</t>
        </is>
      </c>
      <c r="F951" s="5" t="n"/>
      <c r="G951" s="5" t="n"/>
      <c r="H951" s="5" t="n">
        <v>117</v>
      </c>
      <c r="I951" s="5" t="n">
        <v>76</v>
      </c>
      <c r="J951" s="5" t="n">
        <v>38</v>
      </c>
      <c r="K951" s="10">
        <f>IF(F951&gt;0,H951/F951,"")</f>
        <v/>
      </c>
      <c r="L951" s="16">
        <f>IF(AND(G951&gt;0,H951&gt;0),G951/H951,"")</f>
        <v/>
      </c>
    </row>
    <row r="952">
      <c r="A952" s="4" t="inlineStr">
        <is>
          <t>621</t>
        </is>
      </c>
      <c r="B952" s="4" t="n">
        <v>6</v>
      </c>
      <c r="C952" s="4" t="inlineStr">
        <is>
          <t>elk</t>
        </is>
      </c>
      <c r="D952" s="4" t="n">
        <v>2021</v>
      </c>
      <c r="E952" s="15" t="inlineStr">
        <is>
          <t>Draw</t>
        </is>
      </c>
      <c r="F952" s="5" t="n"/>
      <c r="G952" s="5" t="n"/>
      <c r="H952" s="5" t="n">
        <v>144</v>
      </c>
      <c r="I952" s="5" t="n">
        <v>60</v>
      </c>
      <c r="J952" s="5" t="n">
        <v>84</v>
      </c>
      <c r="K952" s="10">
        <f>IF(F952&gt;0,H952/F952,"")</f>
        <v/>
      </c>
      <c r="L952" s="16">
        <f>IF(AND(G952&gt;0,H952&gt;0),G952/H952,"")</f>
        <v/>
      </c>
    </row>
    <row r="953">
      <c r="A953" s="4" t="inlineStr">
        <is>
          <t>621</t>
        </is>
      </c>
      <c r="B953" s="4" t="n">
        <v>6</v>
      </c>
      <c r="C953" s="4" t="inlineStr">
        <is>
          <t>elk</t>
        </is>
      </c>
      <c r="D953" s="4" t="n">
        <v>2022</v>
      </c>
      <c r="E953" s="15" t="inlineStr">
        <is>
          <t>Draw</t>
        </is>
      </c>
      <c r="F953" s="5" t="n">
        <v>525</v>
      </c>
      <c r="G953" s="5" t="n">
        <v>3704</v>
      </c>
      <c r="H953" s="5" t="n">
        <v>118</v>
      </c>
      <c r="I953" s="5" t="n">
        <v>77</v>
      </c>
      <c r="J953" s="5" t="n">
        <v>41</v>
      </c>
      <c r="K953" s="10">
        <f>IF(F953&gt;0,H953/F953,"")</f>
        <v/>
      </c>
      <c r="L953" s="16">
        <f>IF(AND(G953&gt;0,H953&gt;0),G953/H953,"")</f>
        <v/>
      </c>
    </row>
    <row r="954">
      <c r="A954" s="4" t="inlineStr">
        <is>
          <t>621</t>
        </is>
      </c>
      <c r="B954" s="4" t="n">
        <v>6</v>
      </c>
      <c r="C954" s="4" t="inlineStr">
        <is>
          <t>elk</t>
        </is>
      </c>
      <c r="D954" s="4" t="n">
        <v>2023</v>
      </c>
      <c r="E954" s="15" t="inlineStr">
        <is>
          <t>Draw</t>
        </is>
      </c>
      <c r="F954" s="5" t="n"/>
      <c r="G954" s="5" t="n"/>
      <c r="H954" s="5" t="n">
        <v>126</v>
      </c>
      <c r="I954" s="5" t="n">
        <v>72</v>
      </c>
      <c r="J954" s="5" t="n">
        <v>51</v>
      </c>
      <c r="K954" s="10">
        <f>IF(F954&gt;0,H954/F954,"")</f>
        <v/>
      </c>
      <c r="L954" s="16">
        <f>IF(AND(G954&gt;0,H954&gt;0),G954/H954,"")</f>
        <v/>
      </c>
    </row>
    <row r="955">
      <c r="A955" s="4" t="inlineStr">
        <is>
          <t>621</t>
        </is>
      </c>
      <c r="B955" s="4" t="n">
        <v>6</v>
      </c>
      <c r="C955" s="4" t="inlineStr">
        <is>
          <t>elk</t>
        </is>
      </c>
      <c r="D955" s="4" t="n">
        <v>2024</v>
      </c>
      <c r="E955" s="15" t="inlineStr">
        <is>
          <t>Draw</t>
        </is>
      </c>
      <c r="F955" s="5" t="n">
        <v>582</v>
      </c>
      <c r="G955" s="5" t="n">
        <v>4593</v>
      </c>
      <c r="H955" s="5" t="n">
        <v>94</v>
      </c>
      <c r="I955" s="5" t="n">
        <v>58</v>
      </c>
      <c r="J955" s="5" t="n">
        <v>36</v>
      </c>
      <c r="K955" s="10">
        <f>IF(F955&gt;0,H955/F955,"")</f>
        <v/>
      </c>
      <c r="L955" s="16">
        <f>IF(AND(G955&gt;0,H955&gt;0),G955/H955,"")</f>
        <v/>
      </c>
    </row>
    <row r="956">
      <c r="A956" s="4" t="inlineStr">
        <is>
          <t>621</t>
        </is>
      </c>
      <c r="B956" s="4" t="n">
        <v>6</v>
      </c>
      <c r="C956" s="4" t="inlineStr">
        <is>
          <t>elk</t>
        </is>
      </c>
      <c r="D956" s="4" t="n">
        <v>2025</v>
      </c>
      <c r="E956" s="15" t="inlineStr">
        <is>
          <t>Draw</t>
        </is>
      </c>
      <c r="F956" s="5" t="n"/>
      <c r="G956" s="5" t="n"/>
      <c r="H956" s="5" t="n">
        <v>93</v>
      </c>
      <c r="I956" s="5" t="n">
        <v>54</v>
      </c>
      <c r="J956" s="5" t="n">
        <v>39</v>
      </c>
      <c r="K956" s="10">
        <f>IF(F956&gt;0,H956/F956,"")</f>
        <v/>
      </c>
      <c r="L956" s="16">
        <f>IF(AND(G956&gt;0,H956&gt;0),G956/H956,"")</f>
        <v/>
      </c>
    </row>
    <row r="957">
      <c r="A957" s="4" t="inlineStr">
        <is>
          <t>622</t>
        </is>
      </c>
      <c r="B957" s="4" t="n">
        <v>6</v>
      </c>
      <c r="C957" s="4" t="inlineStr">
        <is>
          <t>elk</t>
        </is>
      </c>
      <c r="D957" s="4" t="n">
        <v>2021</v>
      </c>
      <c r="E957" s="15" t="inlineStr">
        <is>
          <t>Draw</t>
        </is>
      </c>
      <c r="F957" s="5" t="n"/>
      <c r="G957" s="5" t="n"/>
      <c r="H957" s="5" t="n">
        <v>234</v>
      </c>
      <c r="I957" s="5" t="n">
        <v>90</v>
      </c>
      <c r="J957" s="5" t="n">
        <v>129</v>
      </c>
      <c r="K957" s="10">
        <f>IF(F957&gt;0,H957/F957,"")</f>
        <v/>
      </c>
      <c r="L957" s="16">
        <f>IF(AND(G957&gt;0,H957&gt;0),G957/H957,"")</f>
        <v/>
      </c>
    </row>
    <row r="958">
      <c r="A958" s="4" t="inlineStr">
        <is>
          <t>622</t>
        </is>
      </c>
      <c r="B958" s="4" t="n">
        <v>6</v>
      </c>
      <c r="C958" s="4" t="inlineStr">
        <is>
          <t>elk</t>
        </is>
      </c>
      <c r="D958" s="4" t="n">
        <v>2022</v>
      </c>
      <c r="E958" s="15" t="inlineStr">
        <is>
          <t>Draw</t>
        </is>
      </c>
      <c r="F958" s="5" t="n">
        <v>542</v>
      </c>
      <c r="G958" s="5" t="n">
        <v>3553</v>
      </c>
      <c r="H958" s="5" t="n">
        <v>138</v>
      </c>
      <c r="I958" s="5" t="n">
        <v>72</v>
      </c>
      <c r="J958" s="5" t="n">
        <v>65</v>
      </c>
      <c r="K958" s="10">
        <f>IF(F958&gt;0,H958/F958,"")</f>
        <v/>
      </c>
      <c r="L958" s="16">
        <f>IF(AND(G958&gt;0,H958&gt;0),G958/H958,"")</f>
        <v/>
      </c>
    </row>
    <row r="959">
      <c r="A959" s="4" t="inlineStr">
        <is>
          <t>622</t>
        </is>
      </c>
      <c r="B959" s="4" t="n">
        <v>6</v>
      </c>
      <c r="C959" s="4" t="inlineStr">
        <is>
          <t>elk</t>
        </is>
      </c>
      <c r="D959" s="4" t="n">
        <v>2023</v>
      </c>
      <c r="E959" s="15" t="inlineStr">
        <is>
          <t>Draw</t>
        </is>
      </c>
      <c r="F959" s="5" t="n"/>
      <c r="G959" s="5" t="n"/>
      <c r="H959" s="5" t="n">
        <v>152</v>
      </c>
      <c r="I959" s="5" t="n">
        <v>90</v>
      </c>
      <c r="J959" s="5" t="n">
        <v>57</v>
      </c>
      <c r="K959" s="10">
        <f>IF(F959&gt;0,H959/F959,"")</f>
        <v/>
      </c>
      <c r="L959" s="16">
        <f>IF(AND(G959&gt;0,H959&gt;0),G959/H959,"")</f>
        <v/>
      </c>
    </row>
    <row r="960">
      <c r="A960" s="4" t="inlineStr">
        <is>
          <t>622</t>
        </is>
      </c>
      <c r="B960" s="4" t="n">
        <v>6</v>
      </c>
      <c r="C960" s="4" t="inlineStr">
        <is>
          <t>elk</t>
        </is>
      </c>
      <c r="D960" s="4" t="n">
        <v>2024</v>
      </c>
      <c r="E960" s="15" t="inlineStr">
        <is>
          <t>Draw</t>
        </is>
      </c>
      <c r="F960" s="5" t="n">
        <v>455</v>
      </c>
      <c r="G960" s="5" t="n">
        <v>3566</v>
      </c>
      <c r="H960" s="5" t="n">
        <v>101</v>
      </c>
      <c r="I960" s="5" t="n">
        <v>64</v>
      </c>
      <c r="J960" s="5" t="n">
        <v>36</v>
      </c>
      <c r="K960" s="10">
        <f>IF(F960&gt;0,H960/F960,"")</f>
        <v/>
      </c>
      <c r="L960" s="16">
        <f>IF(AND(G960&gt;0,H960&gt;0),G960/H960,"")</f>
        <v/>
      </c>
    </row>
    <row r="961">
      <c r="A961" s="4" t="inlineStr">
        <is>
          <t>622</t>
        </is>
      </c>
      <c r="B961" s="4" t="n">
        <v>6</v>
      </c>
      <c r="C961" s="4" t="inlineStr">
        <is>
          <t>elk</t>
        </is>
      </c>
      <c r="D961" s="4" t="n">
        <v>2025</v>
      </c>
      <c r="E961" s="15" t="inlineStr">
        <is>
          <t>Draw</t>
        </is>
      </c>
      <c r="F961" s="5" t="n"/>
      <c r="G961" s="5" t="n"/>
      <c r="H961" s="5" t="n">
        <v>102</v>
      </c>
      <c r="I961" s="5" t="n">
        <v>52</v>
      </c>
      <c r="J961" s="5" t="n">
        <v>50</v>
      </c>
      <c r="K961" s="10">
        <f>IF(F961&gt;0,H961/F961,"")</f>
        <v/>
      </c>
      <c r="L961" s="16">
        <f>IF(AND(G961&gt;0,H961&gt;0),G961/H961,"")</f>
        <v/>
      </c>
    </row>
    <row r="962">
      <c r="A962" s="4" t="inlineStr">
        <is>
          <t>630</t>
        </is>
      </c>
      <c r="B962" s="4" t="n">
        <v>6</v>
      </c>
      <c r="C962" s="4" t="inlineStr">
        <is>
          <t>elk</t>
        </is>
      </c>
      <c r="D962" s="4" t="n">
        <v>2021</v>
      </c>
      <c r="E962" s="15" t="inlineStr">
        <is>
          <t>Draw</t>
        </is>
      </c>
      <c r="F962" s="5" t="n"/>
      <c r="G962" s="5" t="n"/>
      <c r="H962" s="5" t="n">
        <v>14</v>
      </c>
      <c r="I962" s="5" t="n">
        <v>5</v>
      </c>
      <c r="J962" s="5" t="n">
        <v>10</v>
      </c>
      <c r="K962" s="10">
        <f>IF(F962&gt;0,H962/F962,"")</f>
        <v/>
      </c>
      <c r="L962" s="16">
        <f>IF(AND(G962&gt;0,H962&gt;0),G962/H962,"")</f>
        <v/>
      </c>
    </row>
    <row r="963">
      <c r="A963" s="4" t="inlineStr">
        <is>
          <t>630</t>
        </is>
      </c>
      <c r="B963" s="4" t="n">
        <v>6</v>
      </c>
      <c r="C963" s="4" t="inlineStr">
        <is>
          <t>elk</t>
        </is>
      </c>
      <c r="D963" s="4" t="n">
        <v>2022</v>
      </c>
      <c r="E963" s="15" t="inlineStr">
        <is>
          <t>Draw</t>
        </is>
      </c>
      <c r="F963" s="5" t="n">
        <v>283</v>
      </c>
      <c r="G963" s="5" t="n">
        <v>1977</v>
      </c>
      <c r="H963" s="5" t="n">
        <v>55</v>
      </c>
      <c r="I963" s="5" t="n">
        <v>32</v>
      </c>
      <c r="J963" s="5" t="n">
        <v>23</v>
      </c>
      <c r="K963" s="10">
        <f>IF(F963&gt;0,H963/F963,"")</f>
        <v/>
      </c>
      <c r="L963" s="16">
        <f>IF(AND(G963&gt;0,H963&gt;0),G963/H963,"")</f>
        <v/>
      </c>
    </row>
    <row r="964">
      <c r="A964" s="4" t="inlineStr">
        <is>
          <t>630</t>
        </is>
      </c>
      <c r="B964" s="4" t="n">
        <v>6</v>
      </c>
      <c r="C964" s="4" t="inlineStr">
        <is>
          <t>elk</t>
        </is>
      </c>
      <c r="D964" s="4" t="n">
        <v>2023</v>
      </c>
      <c r="E964" s="15" t="inlineStr">
        <is>
          <t>Draw</t>
        </is>
      </c>
      <c r="F964" s="5" t="n"/>
      <c r="G964" s="5" t="n"/>
      <c r="H964" s="5" t="n">
        <v>59</v>
      </c>
      <c r="I964" s="5" t="n">
        <v>31</v>
      </c>
      <c r="J964" s="5" t="n">
        <v>28</v>
      </c>
      <c r="K964" s="10">
        <f>IF(F964&gt;0,H964/F964,"")</f>
        <v/>
      </c>
      <c r="L964" s="16">
        <f>IF(AND(G964&gt;0,H964&gt;0),G964/H964,"")</f>
        <v/>
      </c>
    </row>
    <row r="965">
      <c r="A965" s="4" t="inlineStr">
        <is>
          <t>630</t>
        </is>
      </c>
      <c r="B965" s="4" t="n">
        <v>6</v>
      </c>
      <c r="C965" s="4" t="inlineStr">
        <is>
          <t>elk</t>
        </is>
      </c>
      <c r="D965" s="4" t="n">
        <v>2024</v>
      </c>
      <c r="E965" s="15" t="inlineStr">
        <is>
          <t>Draw</t>
        </is>
      </c>
      <c r="F965" s="5" t="n">
        <v>273</v>
      </c>
      <c r="G965" s="5" t="n">
        <v>2168</v>
      </c>
      <c r="H965" s="5" t="n">
        <v>61</v>
      </c>
      <c r="I965" s="5" t="n">
        <v>30</v>
      </c>
      <c r="J965" s="5" t="n">
        <v>29</v>
      </c>
      <c r="K965" s="10">
        <f>IF(F965&gt;0,H965/F965,"")</f>
        <v/>
      </c>
      <c r="L965" s="16">
        <f>IF(AND(G965&gt;0,H965&gt;0),G965/H965,"")</f>
        <v/>
      </c>
    </row>
    <row r="966">
      <c r="A966" s="4" t="inlineStr">
        <is>
          <t>630</t>
        </is>
      </c>
      <c r="B966" s="4" t="n">
        <v>6</v>
      </c>
      <c r="C966" s="4" t="inlineStr">
        <is>
          <t>elk</t>
        </is>
      </c>
      <c r="D966" s="4" t="n">
        <v>2025</v>
      </c>
      <c r="E966" s="15" t="inlineStr">
        <is>
          <t>Draw</t>
        </is>
      </c>
      <c r="F966" s="5" t="n"/>
      <c r="G966" s="5" t="n"/>
      <c r="H966" s="5" t="n">
        <v>54</v>
      </c>
      <c r="I966" s="5" t="n">
        <v>38</v>
      </c>
      <c r="J966" s="5" t="n">
        <v>16</v>
      </c>
      <c r="K966" s="10">
        <f>IF(F966&gt;0,H966/F966,"")</f>
        <v/>
      </c>
      <c r="L966" s="16">
        <f>IF(AND(G966&gt;0,H966&gt;0),G966/H966,"")</f>
        <v/>
      </c>
    </row>
    <row r="967">
      <c r="A967" s="4" t="inlineStr">
        <is>
          <t>631</t>
        </is>
      </c>
      <c r="B967" s="4" t="n">
        <v>6</v>
      </c>
      <c r="C967" s="4" t="inlineStr">
        <is>
          <t>elk</t>
        </is>
      </c>
      <c r="D967" s="4" t="n">
        <v>2021</v>
      </c>
      <c r="E967" s="4" t="inlineStr"/>
      <c r="F967" s="5" t="n"/>
      <c r="G967" s="5" t="n"/>
      <c r="H967" s="5" t="n">
        <v>64</v>
      </c>
      <c r="I967" s="5" t="n">
        <v>38</v>
      </c>
      <c r="J967" s="5" t="n">
        <v>26</v>
      </c>
      <c r="K967" s="10">
        <f>IF(F967&gt;0,H967/F967,"")</f>
        <v/>
      </c>
      <c r="L967" s="16">
        <f>IF(AND(G967&gt;0,H967&gt;0),G967/H967,"")</f>
        <v/>
      </c>
    </row>
    <row r="968">
      <c r="A968" s="4" t="inlineStr">
        <is>
          <t>632</t>
        </is>
      </c>
      <c r="B968" s="4" t="n">
        <v>6</v>
      </c>
      <c r="C968" s="4" t="inlineStr">
        <is>
          <t>elk</t>
        </is>
      </c>
      <c r="D968" s="4" t="n">
        <v>2021</v>
      </c>
      <c r="E968" s="4" t="inlineStr"/>
      <c r="F968" s="5" t="n"/>
      <c r="G968" s="5" t="n"/>
      <c r="H968" s="5" t="n">
        <v>16</v>
      </c>
      <c r="I968" s="5" t="n">
        <v>16</v>
      </c>
      <c r="J968" s="5" t="n">
        <v>0</v>
      </c>
      <c r="K968" s="10">
        <f>IF(F968&gt;0,H968/F968,"")</f>
        <v/>
      </c>
      <c r="L968" s="16">
        <f>IF(AND(G968&gt;0,H968&gt;0),G968/H968,"")</f>
        <v/>
      </c>
    </row>
    <row r="969">
      <c r="A969" s="4" t="inlineStr">
        <is>
          <t>640</t>
        </is>
      </c>
      <c r="B969" s="4" t="n">
        <v>6</v>
      </c>
      <c r="C969" s="4" t="inlineStr">
        <is>
          <t>elk</t>
        </is>
      </c>
      <c r="D969" s="4" t="n">
        <v>2021</v>
      </c>
      <c r="E969" s="13" t="inlineStr">
        <is>
          <t>General</t>
        </is>
      </c>
      <c r="F969" s="5" t="n"/>
      <c r="G969" s="5" t="n"/>
      <c r="H969" s="5" t="n">
        <v>4</v>
      </c>
      <c r="I969" s="5" t="n">
        <v>4</v>
      </c>
      <c r="J969" s="5" t="n">
        <v>0</v>
      </c>
      <c r="K969" s="10">
        <f>IF(F969&gt;0,H969/F969,"")</f>
        <v/>
      </c>
      <c r="L969" s="16">
        <f>IF(AND(G969&gt;0,H969&gt;0),G969/H969,"")</f>
        <v/>
      </c>
    </row>
    <row r="970">
      <c r="A970" s="4" t="inlineStr">
        <is>
          <t>640</t>
        </is>
      </c>
      <c r="B970" s="4" t="n">
        <v>6</v>
      </c>
      <c r="C970" s="4" t="inlineStr">
        <is>
          <t>elk</t>
        </is>
      </c>
      <c r="D970" s="4" t="n">
        <v>2022</v>
      </c>
      <c r="E970" s="13" t="inlineStr">
        <is>
          <t>General</t>
        </is>
      </c>
      <c r="F970" s="5" t="n">
        <v>95</v>
      </c>
      <c r="G970" s="5" t="n">
        <v>657</v>
      </c>
      <c r="H970" s="5" t="n">
        <v>16</v>
      </c>
      <c r="I970" s="5" t="n">
        <v>16</v>
      </c>
      <c r="J970" s="5" t="n">
        <v>0</v>
      </c>
      <c r="K970" s="10">
        <f>IF(F970&gt;0,H970/F970,"")</f>
        <v/>
      </c>
      <c r="L970" s="16">
        <f>IF(AND(G970&gt;0,H970&gt;0),G970/H970,"")</f>
        <v/>
      </c>
    </row>
    <row r="971">
      <c r="A971" s="4" t="inlineStr">
        <is>
          <t>640</t>
        </is>
      </c>
      <c r="B971" s="4" t="n">
        <v>6</v>
      </c>
      <c r="C971" s="4" t="inlineStr">
        <is>
          <t>elk</t>
        </is>
      </c>
      <c r="D971" s="4" t="n">
        <v>2023</v>
      </c>
      <c r="E971" s="13" t="inlineStr">
        <is>
          <t>General</t>
        </is>
      </c>
      <c r="F971" s="5" t="n"/>
      <c r="G971" s="5" t="n"/>
      <c r="H971" s="5" t="n">
        <v>14</v>
      </c>
      <c r="I971" s="5" t="n">
        <v>12</v>
      </c>
      <c r="J971" s="5" t="n">
        <v>3</v>
      </c>
      <c r="K971" s="10">
        <f>IF(F971&gt;0,H971/F971,"")</f>
        <v/>
      </c>
      <c r="L971" s="16">
        <f>IF(AND(G971&gt;0,H971&gt;0),G971/H971,"")</f>
        <v/>
      </c>
    </row>
    <row r="972">
      <c r="A972" s="4" t="inlineStr">
        <is>
          <t>640</t>
        </is>
      </c>
      <c r="B972" s="4" t="n">
        <v>6</v>
      </c>
      <c r="C972" s="4" t="inlineStr">
        <is>
          <t>elk</t>
        </is>
      </c>
      <c r="D972" s="4" t="n">
        <v>2024</v>
      </c>
      <c r="E972" s="13" t="inlineStr">
        <is>
          <t>General</t>
        </is>
      </c>
      <c r="F972" s="5" t="n">
        <v>89</v>
      </c>
      <c r="G972" s="5" t="n">
        <v>449</v>
      </c>
      <c r="H972" s="5" t="n">
        <v>3</v>
      </c>
      <c r="I972" s="5" t="n">
        <v>0</v>
      </c>
      <c r="J972" s="5" t="n">
        <v>3</v>
      </c>
      <c r="K972" s="10">
        <f>IF(F972&gt;0,H972/F972,"")</f>
        <v/>
      </c>
      <c r="L972" s="16">
        <f>IF(AND(G972&gt;0,H972&gt;0),G972/H972,"")</f>
        <v/>
      </c>
    </row>
    <row r="973">
      <c r="A973" s="4" t="inlineStr">
        <is>
          <t>640</t>
        </is>
      </c>
      <c r="B973" s="4" t="n">
        <v>6</v>
      </c>
      <c r="C973" s="4" t="inlineStr">
        <is>
          <t>elk</t>
        </is>
      </c>
      <c r="D973" s="4" t="n">
        <v>2025</v>
      </c>
      <c r="E973" s="13" t="inlineStr">
        <is>
          <t>General</t>
        </is>
      </c>
      <c r="F973" s="5" t="n"/>
      <c r="G973" s="5" t="n"/>
      <c r="H973" s="5" t="n">
        <v>27</v>
      </c>
      <c r="I973" s="5" t="n">
        <v>23</v>
      </c>
      <c r="J973" s="5" t="n">
        <v>4</v>
      </c>
      <c r="K973" s="10">
        <f>IF(F973&gt;0,H973/F973,"")</f>
        <v/>
      </c>
      <c r="L973" s="16">
        <f>IF(AND(G973&gt;0,H973&gt;0),G973/H973,"")</f>
        <v/>
      </c>
    </row>
    <row r="974">
      <c r="A974" s="4" t="inlineStr">
        <is>
          <t>650</t>
        </is>
      </c>
      <c r="B974" s="4" t="n">
        <v>6</v>
      </c>
      <c r="C974" s="4" t="inlineStr">
        <is>
          <t>elk</t>
        </is>
      </c>
      <c r="D974" s="4" t="n">
        <v>2021</v>
      </c>
      <c r="E974" s="13" t="inlineStr">
        <is>
          <t>General</t>
        </is>
      </c>
      <c r="F974" s="5" t="n"/>
      <c r="G974" s="5" t="n"/>
      <c r="H974" s="5" t="n">
        <v>4</v>
      </c>
      <c r="I974" s="5" t="n">
        <v>0</v>
      </c>
      <c r="J974" s="5" t="n">
        <v>4</v>
      </c>
      <c r="K974" s="10">
        <f>IF(F974&gt;0,H974/F974,"")</f>
        <v/>
      </c>
      <c r="L974" s="16">
        <f>IF(AND(G974&gt;0,H974&gt;0),G974/H974,"")</f>
        <v/>
      </c>
    </row>
    <row r="975">
      <c r="A975" s="4" t="inlineStr">
        <is>
          <t>650</t>
        </is>
      </c>
      <c r="B975" s="4" t="n">
        <v>6</v>
      </c>
      <c r="C975" s="4" t="inlineStr">
        <is>
          <t>elk</t>
        </is>
      </c>
      <c r="D975" s="4" t="n">
        <v>2022</v>
      </c>
      <c r="E975" s="13" t="inlineStr">
        <is>
          <t>General</t>
        </is>
      </c>
      <c r="F975" s="5" t="n">
        <v>82</v>
      </c>
      <c r="G975" s="5" t="n">
        <v>582</v>
      </c>
      <c r="H975" s="5" t="n">
        <v>9</v>
      </c>
      <c r="I975" s="5" t="n">
        <v>9</v>
      </c>
      <c r="J975" s="5" t="n">
        <v>0</v>
      </c>
      <c r="K975" s="10">
        <f>IF(F975&gt;0,H975/F975,"")</f>
        <v/>
      </c>
      <c r="L975" s="16">
        <f>IF(AND(G975&gt;0,H975&gt;0),G975/H975,"")</f>
        <v/>
      </c>
    </row>
    <row r="976">
      <c r="A976" s="4" t="inlineStr">
        <is>
          <t>650</t>
        </is>
      </c>
      <c r="B976" s="4" t="n">
        <v>6</v>
      </c>
      <c r="C976" s="4" t="inlineStr">
        <is>
          <t>elk</t>
        </is>
      </c>
      <c r="D976" s="4" t="n">
        <v>2023</v>
      </c>
      <c r="E976" s="13" t="inlineStr">
        <is>
          <t>General</t>
        </is>
      </c>
      <c r="F976" s="5" t="n"/>
      <c r="G976" s="5" t="n"/>
      <c r="H976" s="5" t="n">
        <v>6</v>
      </c>
      <c r="I976" s="5" t="n">
        <v>3</v>
      </c>
      <c r="J976" s="5" t="n">
        <v>3</v>
      </c>
      <c r="K976" s="10">
        <f>IF(F976&gt;0,H976/F976,"")</f>
        <v/>
      </c>
      <c r="L976" s="16">
        <f>IF(AND(G976&gt;0,H976&gt;0),G976/H976,"")</f>
        <v/>
      </c>
    </row>
    <row r="977">
      <c r="A977" s="4" t="inlineStr">
        <is>
          <t>650</t>
        </is>
      </c>
      <c r="B977" s="4" t="n">
        <v>6</v>
      </c>
      <c r="C977" s="4" t="inlineStr">
        <is>
          <t>elk</t>
        </is>
      </c>
      <c r="D977" s="4" t="n">
        <v>2024</v>
      </c>
      <c r="E977" s="13" t="inlineStr">
        <is>
          <t>General</t>
        </is>
      </c>
      <c r="F977" s="5" t="n">
        <v>98</v>
      </c>
      <c r="G977" s="5" t="n">
        <v>558</v>
      </c>
      <c r="H977" s="5" t="n">
        <v>14</v>
      </c>
      <c r="I977" s="5" t="n">
        <v>3</v>
      </c>
      <c r="J977" s="5" t="n">
        <v>11</v>
      </c>
      <c r="K977" s="10">
        <f>IF(F977&gt;0,H977/F977,"")</f>
        <v/>
      </c>
      <c r="L977" s="16">
        <f>IF(AND(G977&gt;0,H977&gt;0),G977/H977,"")</f>
        <v/>
      </c>
    </row>
    <row r="978">
      <c r="A978" s="4" t="inlineStr">
        <is>
          <t>650</t>
        </is>
      </c>
      <c r="B978" s="4" t="n">
        <v>6</v>
      </c>
      <c r="C978" s="4" t="inlineStr">
        <is>
          <t>elk</t>
        </is>
      </c>
      <c r="D978" s="4" t="n">
        <v>2025</v>
      </c>
      <c r="E978" s="13" t="inlineStr">
        <is>
          <t>General</t>
        </is>
      </c>
      <c r="F978" s="5" t="n"/>
      <c r="G978" s="5" t="n"/>
      <c r="H978" s="5" t="n">
        <v>4</v>
      </c>
      <c r="I978" s="5" t="n">
        <v>4</v>
      </c>
      <c r="J978" s="5" t="n">
        <v>0</v>
      </c>
      <c r="K978" s="10">
        <f>IF(F978&gt;0,H978/F978,"")</f>
        <v/>
      </c>
      <c r="L978" s="16">
        <f>IF(AND(G978&gt;0,H978&gt;0),G978/H978,"")</f>
        <v/>
      </c>
    </row>
    <row r="979">
      <c r="A979" s="4" t="inlineStr">
        <is>
          <t>652</t>
        </is>
      </c>
      <c r="B979" s="4" t="n">
        <v>6</v>
      </c>
      <c r="C979" s="4" t="inlineStr">
        <is>
          <t>elk</t>
        </is>
      </c>
      <c r="D979" s="4" t="n">
        <v>2021</v>
      </c>
      <c r="E979" s="13" t="inlineStr">
        <is>
          <t>General</t>
        </is>
      </c>
      <c r="F979" s="5" t="n"/>
      <c r="G979" s="5" t="n"/>
      <c r="H979" s="5" t="n">
        <v>3</v>
      </c>
      <c r="I979" s="5" t="n">
        <v>3</v>
      </c>
      <c r="J979" s="5" t="n">
        <v>0</v>
      </c>
      <c r="K979" s="10">
        <f>IF(F979&gt;0,H979/F979,"")</f>
        <v/>
      </c>
      <c r="L979" s="16">
        <f>IF(AND(G979&gt;0,H979&gt;0),G979/H979,"")</f>
        <v/>
      </c>
    </row>
    <row r="980">
      <c r="A980" s="4" t="inlineStr">
        <is>
          <t>652</t>
        </is>
      </c>
      <c r="B980" s="4" t="n">
        <v>6</v>
      </c>
      <c r="C980" s="4" t="inlineStr">
        <is>
          <t>elk</t>
        </is>
      </c>
      <c r="D980" s="4" t="n">
        <v>2023</v>
      </c>
      <c r="E980" s="13" t="inlineStr">
        <is>
          <t>General</t>
        </is>
      </c>
      <c r="F980" s="5" t="n"/>
      <c r="G980" s="5" t="n"/>
      <c r="H980" s="5" t="n">
        <v>3</v>
      </c>
      <c r="I980" s="5" t="n">
        <v>3</v>
      </c>
      <c r="J980" s="5" t="n">
        <v>0</v>
      </c>
      <c r="K980" s="10">
        <f>IF(F980&gt;0,H980/F980,"")</f>
        <v/>
      </c>
      <c r="L980" s="16">
        <f>IF(AND(G980&gt;0,H980&gt;0),G980/H980,"")</f>
        <v/>
      </c>
    </row>
    <row r="981">
      <c r="A981" s="4" t="inlineStr">
        <is>
          <t>670</t>
        </is>
      </c>
      <c r="B981" s="4" t="n">
        <v>6</v>
      </c>
      <c r="C981" s="4" t="inlineStr">
        <is>
          <t>elk</t>
        </is>
      </c>
      <c r="D981" s="4" t="n">
        <v>2021</v>
      </c>
      <c r="E981" s="13" t="inlineStr">
        <is>
          <t>General</t>
        </is>
      </c>
      <c r="F981" s="5" t="n"/>
      <c r="G981" s="5" t="n"/>
      <c r="H981" s="5" t="n">
        <v>7</v>
      </c>
      <c r="I981" s="5" t="n">
        <v>7</v>
      </c>
      <c r="J981" s="5" t="n">
        <v>0</v>
      </c>
      <c r="K981" s="10">
        <f>IF(F981&gt;0,H981/F981,"")</f>
        <v/>
      </c>
      <c r="L981" s="16">
        <f>IF(AND(G981&gt;0,H981&gt;0),G981/H981,"")</f>
        <v/>
      </c>
    </row>
    <row r="982">
      <c r="A982" s="4" t="inlineStr">
        <is>
          <t>670</t>
        </is>
      </c>
      <c r="B982" s="4" t="n">
        <v>6</v>
      </c>
      <c r="C982" s="4" t="inlineStr">
        <is>
          <t>elk</t>
        </is>
      </c>
      <c r="D982" s="4" t="n">
        <v>2022</v>
      </c>
      <c r="E982" s="13" t="inlineStr">
        <is>
          <t>General</t>
        </is>
      </c>
      <c r="F982" s="5" t="n">
        <v>70</v>
      </c>
      <c r="G982" s="5" t="n">
        <v>363</v>
      </c>
      <c r="H982" s="5" t="n">
        <v>7</v>
      </c>
      <c r="I982" s="5" t="n">
        <v>0</v>
      </c>
      <c r="J982" s="5" t="n">
        <v>7</v>
      </c>
      <c r="K982" s="10">
        <f>IF(F982&gt;0,H982/F982,"")</f>
        <v/>
      </c>
      <c r="L982" s="16">
        <f>IF(AND(G982&gt;0,H982&gt;0),G982/H982,"")</f>
        <v/>
      </c>
    </row>
    <row r="983">
      <c r="A983" s="4" t="inlineStr">
        <is>
          <t>670</t>
        </is>
      </c>
      <c r="B983" s="4" t="n">
        <v>6</v>
      </c>
      <c r="C983" s="4" t="inlineStr">
        <is>
          <t>elk</t>
        </is>
      </c>
      <c r="D983" s="4" t="n">
        <v>2023</v>
      </c>
      <c r="E983" s="13" t="inlineStr">
        <is>
          <t>General</t>
        </is>
      </c>
      <c r="F983" s="5" t="n"/>
      <c r="G983" s="5" t="n"/>
      <c r="H983" s="5" t="n">
        <v>3</v>
      </c>
      <c r="I983" s="5" t="n">
        <v>0</v>
      </c>
      <c r="J983" s="5" t="n">
        <v>3</v>
      </c>
      <c r="K983" s="10">
        <f>IF(F983&gt;0,H983/F983,"")</f>
        <v/>
      </c>
      <c r="L983" s="16">
        <f>IF(AND(G983&gt;0,H983&gt;0),G983/H983,"")</f>
        <v/>
      </c>
    </row>
    <row r="984">
      <c r="A984" s="4" t="inlineStr">
        <is>
          <t>670</t>
        </is>
      </c>
      <c r="B984" s="4" t="n">
        <v>6</v>
      </c>
      <c r="C984" s="4" t="inlineStr">
        <is>
          <t>elk</t>
        </is>
      </c>
      <c r="D984" s="4" t="n">
        <v>2024</v>
      </c>
      <c r="E984" s="13" t="inlineStr">
        <is>
          <t>General</t>
        </is>
      </c>
      <c r="F984" s="5" t="n">
        <v>65</v>
      </c>
      <c r="G984" s="5" t="n">
        <v>294</v>
      </c>
      <c r="H984" s="5" t="n">
        <v>3</v>
      </c>
      <c r="I984" s="5" t="n">
        <v>3</v>
      </c>
      <c r="J984" s="5" t="n">
        <v>0</v>
      </c>
      <c r="K984" s="10">
        <f>IF(F984&gt;0,H984/F984,"")</f>
        <v/>
      </c>
      <c r="L984" s="16">
        <f>IF(AND(G984&gt;0,H984&gt;0),G984/H984,"")</f>
        <v/>
      </c>
    </row>
    <row r="985">
      <c r="A985" s="4" t="inlineStr">
        <is>
          <t>670</t>
        </is>
      </c>
      <c r="B985" s="4" t="n">
        <v>6</v>
      </c>
      <c r="C985" s="4" t="inlineStr">
        <is>
          <t>elk</t>
        </is>
      </c>
      <c r="D985" s="4" t="n">
        <v>2025</v>
      </c>
      <c r="E985" s="13" t="inlineStr">
        <is>
          <t>General</t>
        </is>
      </c>
      <c r="F985" s="5" t="n"/>
      <c r="G985" s="5" t="n"/>
      <c r="H985" s="5" t="n">
        <v>8</v>
      </c>
      <c r="I985" s="5" t="n">
        <v>8</v>
      </c>
      <c r="J985" s="5" t="n">
        <v>0</v>
      </c>
      <c r="K985" s="10">
        <f>IF(F985&gt;0,H985/F985,"")</f>
        <v/>
      </c>
      <c r="L985" s="16">
        <f>IF(AND(G985&gt;0,H985&gt;0),G985/H985,"")</f>
        <v/>
      </c>
    </row>
    <row r="986">
      <c r="A986" s="4" t="inlineStr">
        <is>
          <t>690</t>
        </is>
      </c>
      <c r="B986" s="4" t="n">
        <v>6</v>
      </c>
      <c r="C986" s="4" t="inlineStr">
        <is>
          <t>elk</t>
        </is>
      </c>
      <c r="D986" s="4" t="n">
        <v>2021</v>
      </c>
      <c r="E986" s="15" t="inlineStr">
        <is>
          <t>Draw</t>
        </is>
      </c>
      <c r="F986" s="5" t="n"/>
      <c r="G986" s="5" t="n"/>
      <c r="H986" s="5" t="n">
        <v>179</v>
      </c>
      <c r="I986" s="5" t="n">
        <v>58</v>
      </c>
      <c r="J986" s="5" t="n">
        <v>117</v>
      </c>
      <c r="K986" s="10">
        <f>IF(F986&gt;0,H986/F986,"")</f>
        <v/>
      </c>
      <c r="L986" s="16">
        <f>IF(AND(G986&gt;0,H986&gt;0),G986/H986,"")</f>
        <v/>
      </c>
    </row>
    <row r="987">
      <c r="A987" s="4" t="inlineStr">
        <is>
          <t>690</t>
        </is>
      </c>
      <c r="B987" s="4" t="n">
        <v>6</v>
      </c>
      <c r="C987" s="4" t="inlineStr">
        <is>
          <t>elk</t>
        </is>
      </c>
      <c r="D987" s="4" t="n">
        <v>2022</v>
      </c>
      <c r="E987" s="15" t="inlineStr">
        <is>
          <t>Draw</t>
        </is>
      </c>
      <c r="F987" s="5" t="n">
        <v>664</v>
      </c>
      <c r="G987" s="5" t="n">
        <v>4014</v>
      </c>
      <c r="H987" s="5" t="n">
        <v>220</v>
      </c>
      <c r="I987" s="5" t="n">
        <v>56</v>
      </c>
      <c r="J987" s="5" t="n">
        <v>153</v>
      </c>
      <c r="K987" s="10">
        <f>IF(F987&gt;0,H987/F987,"")</f>
        <v/>
      </c>
      <c r="L987" s="16">
        <f>IF(AND(G987&gt;0,H987&gt;0),G987/H987,"")</f>
        <v/>
      </c>
    </row>
    <row r="988">
      <c r="A988" s="4" t="inlineStr">
        <is>
          <t>690</t>
        </is>
      </c>
      <c r="B988" s="4" t="n">
        <v>6</v>
      </c>
      <c r="C988" s="4" t="inlineStr">
        <is>
          <t>elk</t>
        </is>
      </c>
      <c r="D988" s="4" t="n">
        <v>2023</v>
      </c>
      <c r="E988" s="15" t="inlineStr">
        <is>
          <t>Draw</t>
        </is>
      </c>
      <c r="F988" s="5" t="n"/>
      <c r="G988" s="5" t="n"/>
      <c r="H988" s="5" t="n">
        <v>209</v>
      </c>
      <c r="I988" s="5" t="n">
        <v>67</v>
      </c>
      <c r="J988" s="5" t="n">
        <v>127</v>
      </c>
      <c r="K988" s="10">
        <f>IF(F988&gt;0,H988/F988,"")</f>
        <v/>
      </c>
      <c r="L988" s="16">
        <f>IF(AND(G988&gt;0,H988&gt;0),G988/H988,"")</f>
        <v/>
      </c>
    </row>
    <row r="989">
      <c r="A989" s="4" t="inlineStr">
        <is>
          <t>690</t>
        </is>
      </c>
      <c r="B989" s="4" t="n">
        <v>6</v>
      </c>
      <c r="C989" s="4" t="inlineStr">
        <is>
          <t>elk</t>
        </is>
      </c>
      <c r="D989" s="4" t="n">
        <v>2024</v>
      </c>
      <c r="E989" s="15" t="inlineStr">
        <is>
          <t>Draw</t>
        </is>
      </c>
      <c r="F989" s="5" t="n">
        <v>776</v>
      </c>
      <c r="G989" s="5" t="n">
        <v>5391</v>
      </c>
      <c r="H989" s="5" t="n">
        <v>257</v>
      </c>
      <c r="I989" s="5" t="n">
        <v>82</v>
      </c>
      <c r="J989" s="5" t="n">
        <v>172</v>
      </c>
      <c r="K989" s="10">
        <f>IF(F989&gt;0,H989/F989,"")</f>
        <v/>
      </c>
      <c r="L989" s="16">
        <f>IF(AND(G989&gt;0,H989&gt;0),G989/H989,"")</f>
        <v/>
      </c>
    </row>
    <row r="990">
      <c r="A990" s="4" t="inlineStr">
        <is>
          <t>690</t>
        </is>
      </c>
      <c r="B990" s="4" t="n">
        <v>6</v>
      </c>
      <c r="C990" s="4" t="inlineStr">
        <is>
          <t>elk</t>
        </is>
      </c>
      <c r="D990" s="4" t="n">
        <v>2025</v>
      </c>
      <c r="E990" s="15" t="inlineStr">
        <is>
          <t>Draw</t>
        </is>
      </c>
      <c r="F990" s="5" t="n"/>
      <c r="G990" s="5" t="n"/>
      <c r="H990" s="5" t="n">
        <v>349</v>
      </c>
      <c r="I990" s="5" t="n">
        <v>82</v>
      </c>
      <c r="J990" s="5" t="n">
        <v>248</v>
      </c>
      <c r="K990" s="10">
        <f>IF(F990&gt;0,H990/F990,"")</f>
        <v/>
      </c>
      <c r="L990" s="16">
        <f>IF(AND(G990&gt;0,H990&gt;0),G990/H990,"")</f>
        <v/>
      </c>
    </row>
    <row r="991">
      <c r="A991" s="4" t="inlineStr">
        <is>
          <t>700</t>
        </is>
      </c>
      <c r="B991" s="4" t="n">
        <v>7</v>
      </c>
      <c r="C991" s="4" t="inlineStr">
        <is>
          <t>elk</t>
        </is>
      </c>
      <c r="D991" s="4" t="n">
        <v>2021</v>
      </c>
      <c r="E991" s="15" t="inlineStr">
        <is>
          <t>Draw</t>
        </is>
      </c>
      <c r="F991" s="5" t="n"/>
      <c r="G991" s="5" t="n"/>
      <c r="H991" s="5" t="n">
        <v>499</v>
      </c>
      <c r="I991" s="5" t="n">
        <v>237</v>
      </c>
      <c r="J991" s="5" t="n">
        <v>262</v>
      </c>
      <c r="K991" s="10">
        <f>IF(F991&gt;0,H991/F991,"")</f>
        <v/>
      </c>
      <c r="L991" s="16">
        <f>IF(AND(G991&gt;0,H991&gt;0),G991/H991,"")</f>
        <v/>
      </c>
    </row>
    <row r="992">
      <c r="A992" s="4" t="inlineStr">
        <is>
          <t>700</t>
        </is>
      </c>
      <c r="B992" s="4" t="n">
        <v>7</v>
      </c>
      <c r="C992" s="4" t="inlineStr">
        <is>
          <t>elk</t>
        </is>
      </c>
      <c r="D992" s="4" t="n">
        <v>2022</v>
      </c>
      <c r="E992" s="15" t="inlineStr">
        <is>
          <t>Draw</t>
        </is>
      </c>
      <c r="F992" s="5" t="n">
        <v>1560</v>
      </c>
      <c r="G992" s="5" t="n">
        <v>11716</v>
      </c>
      <c r="H992" s="5" t="n">
        <v>499</v>
      </c>
      <c r="I992" s="5" t="n">
        <v>267</v>
      </c>
      <c r="J992" s="5" t="n">
        <v>222</v>
      </c>
      <c r="K992" s="10">
        <f>IF(F992&gt;0,H992/F992,"")</f>
        <v/>
      </c>
      <c r="L992" s="16">
        <f>IF(AND(G992&gt;0,H992&gt;0),G992/H992,"")</f>
        <v/>
      </c>
    </row>
    <row r="993">
      <c r="A993" s="4" t="inlineStr">
        <is>
          <t>700</t>
        </is>
      </c>
      <c r="B993" s="4" t="n">
        <v>7</v>
      </c>
      <c r="C993" s="4" t="inlineStr">
        <is>
          <t>elk</t>
        </is>
      </c>
      <c r="D993" s="4" t="n">
        <v>2023</v>
      </c>
      <c r="E993" s="15" t="inlineStr">
        <is>
          <t>Draw</t>
        </is>
      </c>
      <c r="F993" s="5" t="n"/>
      <c r="G993" s="5" t="n"/>
      <c r="H993" s="5" t="n">
        <v>518</v>
      </c>
      <c r="I993" s="5" t="n">
        <v>229</v>
      </c>
      <c r="J993" s="5" t="n">
        <v>279</v>
      </c>
      <c r="K993" s="10">
        <f>IF(F993&gt;0,H993/F993,"")</f>
        <v/>
      </c>
      <c r="L993" s="16">
        <f>IF(AND(G993&gt;0,H993&gt;0),G993/H993,"")</f>
        <v/>
      </c>
    </row>
    <row r="994">
      <c r="A994" s="4" t="inlineStr">
        <is>
          <t>700</t>
        </is>
      </c>
      <c r="B994" s="4" t="n">
        <v>7</v>
      </c>
      <c r="C994" s="4" t="inlineStr">
        <is>
          <t>elk</t>
        </is>
      </c>
      <c r="D994" s="4" t="n">
        <v>2024</v>
      </c>
      <c r="E994" s="15" t="inlineStr">
        <is>
          <t>Draw</t>
        </is>
      </c>
      <c r="F994" s="5" t="n">
        <v>1757</v>
      </c>
      <c r="G994" s="5" t="n">
        <v>13104</v>
      </c>
      <c r="H994" s="5" t="n">
        <v>660</v>
      </c>
      <c r="I994" s="5" t="n">
        <v>294</v>
      </c>
      <c r="J994" s="5" t="n">
        <v>352</v>
      </c>
      <c r="K994" s="10">
        <f>IF(F994&gt;0,H994/F994,"")</f>
        <v/>
      </c>
      <c r="L994" s="16">
        <f>IF(AND(G994&gt;0,H994&gt;0),G994/H994,"")</f>
        <v/>
      </c>
    </row>
    <row r="995">
      <c r="A995" s="4" t="inlineStr">
        <is>
          <t>700</t>
        </is>
      </c>
      <c r="B995" s="4" t="n">
        <v>7</v>
      </c>
      <c r="C995" s="4" t="inlineStr">
        <is>
          <t>elk</t>
        </is>
      </c>
      <c r="D995" s="4" t="n">
        <v>2025</v>
      </c>
      <c r="E995" s="15" t="inlineStr">
        <is>
          <t>Draw</t>
        </is>
      </c>
      <c r="F995" s="5" t="n"/>
      <c r="G995" s="5" t="n"/>
      <c r="H995" s="5" t="n">
        <v>588</v>
      </c>
      <c r="I995" s="5" t="n">
        <v>297</v>
      </c>
      <c r="J995" s="5" t="n">
        <v>279</v>
      </c>
      <c r="K995" s="10">
        <f>IF(F995&gt;0,H995/F995,"")</f>
        <v/>
      </c>
      <c r="L995" s="16">
        <f>IF(AND(G995&gt;0,H995&gt;0),G995/H995,"")</f>
        <v/>
      </c>
    </row>
    <row r="996">
      <c r="A996" s="4" t="inlineStr">
        <is>
          <t>701E</t>
        </is>
      </c>
      <c r="B996" s="4" t="n">
        <v>7</v>
      </c>
      <c r="C996" s="4" t="inlineStr">
        <is>
          <t>elk</t>
        </is>
      </c>
      <c r="D996" s="4" t="n">
        <v>2021</v>
      </c>
      <c r="E996" s="13" t="inlineStr">
        <is>
          <t>General</t>
        </is>
      </c>
      <c r="F996" s="5" t="n"/>
      <c r="G996" s="5" t="n"/>
      <c r="H996" s="5" t="n">
        <v>114</v>
      </c>
      <c r="I996" s="5" t="n">
        <v>78</v>
      </c>
      <c r="J996" s="5" t="n">
        <v>36</v>
      </c>
      <c r="K996" s="10">
        <f>IF(F996&gt;0,H996/F996,"")</f>
        <v/>
      </c>
      <c r="L996" s="16">
        <f>IF(AND(G996&gt;0,H996&gt;0),G996/H996,"")</f>
        <v/>
      </c>
    </row>
    <row r="997">
      <c r="A997" s="4" t="inlineStr">
        <is>
          <t>701E</t>
        </is>
      </c>
      <c r="B997" s="4" t="n">
        <v>7</v>
      </c>
      <c r="C997" s="4" t="inlineStr">
        <is>
          <t>elk</t>
        </is>
      </c>
      <c r="D997" s="4" t="n">
        <v>2022</v>
      </c>
      <c r="E997" s="13" t="inlineStr">
        <is>
          <t>General</t>
        </is>
      </c>
      <c r="F997" s="5" t="n">
        <v>363</v>
      </c>
      <c r="G997" s="5" t="n">
        <v>2440</v>
      </c>
      <c r="H997" s="5" t="n">
        <v>77</v>
      </c>
      <c r="I997" s="5" t="n">
        <v>46</v>
      </c>
      <c r="J997" s="5" t="n">
        <v>31</v>
      </c>
      <c r="K997" s="10">
        <f>IF(F997&gt;0,H997/F997,"")</f>
        <v/>
      </c>
      <c r="L997" s="16">
        <f>IF(AND(G997&gt;0,H997&gt;0),G997/H997,"")</f>
        <v/>
      </c>
    </row>
    <row r="998">
      <c r="A998" s="4" t="inlineStr">
        <is>
          <t>701E</t>
        </is>
      </c>
      <c r="B998" s="4" t="n">
        <v>7</v>
      </c>
      <c r="C998" s="4" t="inlineStr">
        <is>
          <t>elk</t>
        </is>
      </c>
      <c r="D998" s="4" t="n">
        <v>2023</v>
      </c>
      <c r="E998" s="13" t="inlineStr">
        <is>
          <t>General</t>
        </is>
      </c>
      <c r="F998" s="5" t="n"/>
      <c r="G998" s="5" t="n"/>
      <c r="H998" s="5" t="n">
        <v>92</v>
      </c>
      <c r="I998" s="5" t="n">
        <v>59</v>
      </c>
      <c r="J998" s="5" t="n">
        <v>33</v>
      </c>
      <c r="K998" s="10">
        <f>IF(F998&gt;0,H998/F998,"")</f>
        <v/>
      </c>
      <c r="L998" s="16">
        <f>IF(AND(G998&gt;0,H998&gt;0),G998/H998,"")</f>
        <v/>
      </c>
    </row>
    <row r="999">
      <c r="A999" s="4" t="inlineStr">
        <is>
          <t>701E</t>
        </is>
      </c>
      <c r="B999" s="4" t="n">
        <v>7</v>
      </c>
      <c r="C999" s="4" t="inlineStr">
        <is>
          <t>elk</t>
        </is>
      </c>
      <c r="D999" s="4" t="n">
        <v>2024</v>
      </c>
      <c r="E999" s="13" t="inlineStr">
        <is>
          <t>General</t>
        </is>
      </c>
      <c r="F999" s="5" t="n">
        <v>483</v>
      </c>
      <c r="G999" s="5" t="n">
        <v>2732</v>
      </c>
      <c r="H999" s="5" t="n">
        <v>105</v>
      </c>
      <c r="I999" s="5" t="n">
        <v>57</v>
      </c>
      <c r="J999" s="5" t="n">
        <v>44</v>
      </c>
      <c r="K999" s="10">
        <f>IF(F999&gt;0,H999/F999,"")</f>
        <v/>
      </c>
      <c r="L999" s="16">
        <f>IF(AND(G999&gt;0,H999&gt;0),G999/H999,"")</f>
        <v/>
      </c>
    </row>
    <row r="1000">
      <c r="A1000" s="4" t="inlineStr">
        <is>
          <t>701E</t>
        </is>
      </c>
      <c r="B1000" s="4" t="n">
        <v>7</v>
      </c>
      <c r="C1000" s="4" t="inlineStr">
        <is>
          <t>elk</t>
        </is>
      </c>
      <c r="D1000" s="4" t="n">
        <v>2025</v>
      </c>
      <c r="E1000" s="13" t="inlineStr">
        <is>
          <t>General</t>
        </is>
      </c>
      <c r="F1000" s="5" t="n"/>
      <c r="G1000" s="5" t="n"/>
      <c r="H1000" s="5" t="n">
        <v>102</v>
      </c>
      <c r="I1000" s="5" t="n">
        <v>57</v>
      </c>
      <c r="J1000" s="5" t="n">
        <v>45</v>
      </c>
      <c r="K1000" s="10">
        <f>IF(F1000&gt;0,H1000/F1000,"")</f>
        <v/>
      </c>
      <c r="L1000" s="16">
        <f>IF(AND(G1000&gt;0,H1000&gt;0),G1000/H1000,"")</f>
        <v/>
      </c>
    </row>
    <row r="1001">
      <c r="A1001" s="4" t="inlineStr">
        <is>
          <t>701W</t>
        </is>
      </c>
      <c r="B1001" s="4" t="n">
        <v>7</v>
      </c>
      <c r="C1001" s="4" t="inlineStr">
        <is>
          <t>elk</t>
        </is>
      </c>
      <c r="D1001" s="4" t="n">
        <v>2021</v>
      </c>
      <c r="E1001" s="13" t="inlineStr">
        <is>
          <t>General</t>
        </is>
      </c>
      <c r="F1001" s="5" t="n"/>
      <c r="G1001" s="5" t="n"/>
      <c r="H1001" s="5" t="n">
        <v>17</v>
      </c>
      <c r="I1001" s="5" t="n">
        <v>6</v>
      </c>
      <c r="J1001" s="5" t="n">
        <v>11</v>
      </c>
      <c r="K1001" s="10">
        <f>IF(F1001&gt;0,H1001/F1001,"")</f>
        <v/>
      </c>
      <c r="L1001" s="16">
        <f>IF(AND(G1001&gt;0,H1001&gt;0),G1001/H1001,"")</f>
        <v/>
      </c>
    </row>
    <row r="1002">
      <c r="A1002" s="4" t="inlineStr">
        <is>
          <t>701W</t>
        </is>
      </c>
      <c r="B1002" s="4" t="n">
        <v>7</v>
      </c>
      <c r="C1002" s="4" t="inlineStr">
        <is>
          <t>elk</t>
        </is>
      </c>
      <c r="D1002" s="4" t="n">
        <v>2022</v>
      </c>
      <c r="E1002" s="13" t="inlineStr">
        <is>
          <t>General</t>
        </is>
      </c>
      <c r="F1002" s="5" t="n">
        <v>140</v>
      </c>
      <c r="G1002" s="5" t="n">
        <v>777</v>
      </c>
      <c r="H1002" s="5" t="n">
        <v>17</v>
      </c>
      <c r="I1002" s="5" t="n">
        <v>12</v>
      </c>
      <c r="J1002" s="5" t="n">
        <v>6</v>
      </c>
      <c r="K1002" s="10">
        <f>IF(F1002&gt;0,H1002/F1002,"")</f>
        <v/>
      </c>
      <c r="L1002" s="16">
        <f>IF(AND(G1002&gt;0,H1002&gt;0),G1002/H1002,"")</f>
        <v/>
      </c>
    </row>
    <row r="1003">
      <c r="A1003" s="4" t="inlineStr">
        <is>
          <t>701W</t>
        </is>
      </c>
      <c r="B1003" s="4" t="n">
        <v>7</v>
      </c>
      <c r="C1003" s="4" t="inlineStr">
        <is>
          <t>elk</t>
        </is>
      </c>
      <c r="D1003" s="4" t="n">
        <v>2023</v>
      </c>
      <c r="E1003" s="13" t="inlineStr">
        <is>
          <t>General</t>
        </is>
      </c>
      <c r="F1003" s="5" t="n"/>
      <c r="G1003" s="5" t="n"/>
      <c r="H1003" s="5" t="n">
        <v>42</v>
      </c>
      <c r="I1003" s="5" t="n">
        <v>24</v>
      </c>
      <c r="J1003" s="5" t="n">
        <v>18</v>
      </c>
      <c r="K1003" s="10">
        <f>IF(F1003&gt;0,H1003/F1003,"")</f>
        <v/>
      </c>
      <c r="L1003" s="16">
        <f>IF(AND(G1003&gt;0,H1003&gt;0),G1003/H1003,"")</f>
        <v/>
      </c>
    </row>
    <row r="1004">
      <c r="A1004" s="4" t="inlineStr">
        <is>
          <t>701W</t>
        </is>
      </c>
      <c r="B1004" s="4" t="n">
        <v>7</v>
      </c>
      <c r="C1004" s="4" t="inlineStr">
        <is>
          <t>elk</t>
        </is>
      </c>
      <c r="D1004" s="4" t="n">
        <v>2024</v>
      </c>
      <c r="E1004" s="13" t="inlineStr">
        <is>
          <t>General</t>
        </is>
      </c>
      <c r="F1004" s="5" t="n">
        <v>219</v>
      </c>
      <c r="G1004" s="5" t="n">
        <v>1514</v>
      </c>
      <c r="H1004" s="5" t="n">
        <v>73</v>
      </c>
      <c r="I1004" s="5" t="n">
        <v>30</v>
      </c>
      <c r="J1004" s="5" t="n">
        <v>39</v>
      </c>
      <c r="K1004" s="10">
        <f>IF(F1004&gt;0,H1004/F1004,"")</f>
        <v/>
      </c>
      <c r="L1004" s="16">
        <f>IF(AND(G1004&gt;0,H1004&gt;0),G1004/H1004,"")</f>
        <v/>
      </c>
    </row>
    <row r="1005">
      <c r="A1005" s="4" t="inlineStr">
        <is>
          <t>701W</t>
        </is>
      </c>
      <c r="B1005" s="4" t="n">
        <v>7</v>
      </c>
      <c r="C1005" s="4" t="inlineStr">
        <is>
          <t>elk</t>
        </is>
      </c>
      <c r="D1005" s="4" t="n">
        <v>2025</v>
      </c>
      <c r="E1005" s="13" t="inlineStr">
        <is>
          <t>General</t>
        </is>
      </c>
      <c r="F1005" s="5" t="n"/>
      <c r="G1005" s="5" t="n"/>
      <c r="H1005" s="5" t="n">
        <v>37</v>
      </c>
      <c r="I1005" s="5" t="n">
        <v>21</v>
      </c>
      <c r="J1005" s="5" t="n">
        <v>16</v>
      </c>
      <c r="K1005" s="10">
        <f>IF(F1005&gt;0,H1005/F1005,"")</f>
        <v/>
      </c>
      <c r="L1005" s="16">
        <f>IF(AND(G1005&gt;0,H1005&gt;0),G1005/H1005,"")</f>
        <v/>
      </c>
    </row>
    <row r="1006">
      <c r="A1006" s="4" t="inlineStr">
        <is>
          <t>702</t>
        </is>
      </c>
      <c r="B1006" s="4" t="n">
        <v>7</v>
      </c>
      <c r="C1006" s="4" t="inlineStr">
        <is>
          <t>elk</t>
        </is>
      </c>
      <c r="D1006" s="4" t="n">
        <v>2021</v>
      </c>
      <c r="E1006" s="13" t="inlineStr">
        <is>
          <t>General</t>
        </is>
      </c>
      <c r="F1006" s="5" t="n"/>
      <c r="G1006" s="5" t="n"/>
      <c r="H1006" s="5" t="n">
        <v>224</v>
      </c>
      <c r="I1006" s="5" t="n">
        <v>118</v>
      </c>
      <c r="J1006" s="5" t="n">
        <v>99</v>
      </c>
      <c r="K1006" s="10">
        <f>IF(F1006&gt;0,H1006/F1006,"")</f>
        <v/>
      </c>
      <c r="L1006" s="16">
        <f>IF(AND(G1006&gt;0,H1006&gt;0),G1006/H1006,"")</f>
        <v/>
      </c>
    </row>
    <row r="1007">
      <c r="A1007" s="4" t="inlineStr">
        <is>
          <t>702</t>
        </is>
      </c>
      <c r="B1007" s="4" t="n">
        <v>7</v>
      </c>
      <c r="C1007" s="4" t="inlineStr">
        <is>
          <t>elk</t>
        </is>
      </c>
      <c r="D1007" s="4" t="n">
        <v>2022</v>
      </c>
      <c r="E1007" s="13" t="inlineStr">
        <is>
          <t>General</t>
        </is>
      </c>
      <c r="F1007" s="5" t="n">
        <v>716</v>
      </c>
      <c r="G1007" s="5" t="n">
        <v>4859</v>
      </c>
      <c r="H1007" s="5" t="n">
        <v>220</v>
      </c>
      <c r="I1007" s="5" t="n">
        <v>107</v>
      </c>
      <c r="J1007" s="5" t="n">
        <v>111</v>
      </c>
      <c r="K1007" s="10">
        <f>IF(F1007&gt;0,H1007/F1007,"")</f>
        <v/>
      </c>
      <c r="L1007" s="16">
        <f>IF(AND(G1007&gt;0,H1007&gt;0),G1007/H1007,"")</f>
        <v/>
      </c>
    </row>
    <row r="1008">
      <c r="A1008" s="4" t="inlineStr">
        <is>
          <t>702</t>
        </is>
      </c>
      <c r="B1008" s="4" t="n">
        <v>7</v>
      </c>
      <c r="C1008" s="4" t="inlineStr">
        <is>
          <t>elk</t>
        </is>
      </c>
      <c r="D1008" s="4" t="n">
        <v>2023</v>
      </c>
      <c r="E1008" s="13" t="inlineStr">
        <is>
          <t>General</t>
        </is>
      </c>
      <c r="F1008" s="5" t="n"/>
      <c r="G1008" s="5" t="n"/>
      <c r="H1008" s="5" t="n">
        <v>184</v>
      </c>
      <c r="I1008" s="5" t="n">
        <v>58</v>
      </c>
      <c r="J1008" s="5" t="n">
        <v>126</v>
      </c>
      <c r="K1008" s="10">
        <f>IF(F1008&gt;0,H1008/F1008,"")</f>
        <v/>
      </c>
      <c r="L1008" s="16">
        <f>IF(AND(G1008&gt;0,H1008&gt;0),G1008/H1008,"")</f>
        <v/>
      </c>
    </row>
    <row r="1009">
      <c r="A1009" s="4" t="inlineStr">
        <is>
          <t>702</t>
        </is>
      </c>
      <c r="B1009" s="4" t="n">
        <v>7</v>
      </c>
      <c r="C1009" s="4" t="inlineStr">
        <is>
          <t>elk</t>
        </is>
      </c>
      <c r="D1009" s="4" t="n">
        <v>2024</v>
      </c>
      <c r="E1009" s="13" t="inlineStr">
        <is>
          <t>General</t>
        </is>
      </c>
      <c r="F1009" s="5" t="n">
        <v>771</v>
      </c>
      <c r="G1009" s="5" t="n">
        <v>5137</v>
      </c>
      <c r="H1009" s="5" t="n">
        <v>284</v>
      </c>
      <c r="I1009" s="5" t="n">
        <v>102</v>
      </c>
      <c r="J1009" s="5" t="n">
        <v>173</v>
      </c>
      <c r="K1009" s="10">
        <f>IF(F1009&gt;0,H1009/F1009,"")</f>
        <v/>
      </c>
      <c r="L1009" s="16">
        <f>IF(AND(G1009&gt;0,H1009&gt;0),G1009/H1009,"")</f>
        <v/>
      </c>
    </row>
    <row r="1010">
      <c r="A1010" s="4" t="inlineStr">
        <is>
          <t>702</t>
        </is>
      </c>
      <c r="B1010" s="4" t="n">
        <v>7</v>
      </c>
      <c r="C1010" s="4" t="inlineStr">
        <is>
          <t>elk</t>
        </is>
      </c>
      <c r="D1010" s="4" t="n">
        <v>2025</v>
      </c>
      <c r="E1010" s="13" t="inlineStr">
        <is>
          <t>General</t>
        </is>
      </c>
      <c r="F1010" s="5" t="n"/>
      <c r="G1010" s="5" t="n"/>
      <c r="H1010" s="5" t="n">
        <v>263</v>
      </c>
      <c r="I1010" s="5" t="n">
        <v>99</v>
      </c>
      <c r="J1010" s="5" t="n">
        <v>150</v>
      </c>
      <c r="K1010" s="10">
        <f>IF(F1010&gt;0,H1010/F1010,"")</f>
        <v/>
      </c>
      <c r="L1010" s="16">
        <f>IF(AND(G1010&gt;0,H1010&gt;0),G1010/H1010,"")</f>
        <v/>
      </c>
    </row>
    <row r="1011">
      <c r="A1011" s="4" t="inlineStr">
        <is>
          <t>703</t>
        </is>
      </c>
      <c r="B1011" s="4" t="n">
        <v>7</v>
      </c>
      <c r="C1011" s="4" t="inlineStr">
        <is>
          <t>elk</t>
        </is>
      </c>
      <c r="D1011" s="4" t="n">
        <v>2021</v>
      </c>
      <c r="E1011" s="13" t="inlineStr">
        <is>
          <t>General</t>
        </is>
      </c>
      <c r="F1011" s="5" t="n"/>
      <c r="G1011" s="5" t="n"/>
      <c r="H1011" s="5" t="n">
        <v>41</v>
      </c>
      <c r="I1011" s="5" t="n">
        <v>34</v>
      </c>
      <c r="J1011" s="5" t="n">
        <v>8</v>
      </c>
      <c r="K1011" s="10">
        <f>IF(F1011&gt;0,H1011/F1011,"")</f>
        <v/>
      </c>
      <c r="L1011" s="16">
        <f>IF(AND(G1011&gt;0,H1011&gt;0),G1011/H1011,"")</f>
        <v/>
      </c>
    </row>
    <row r="1012">
      <c r="A1012" s="4" t="inlineStr">
        <is>
          <t>703</t>
        </is>
      </c>
      <c r="B1012" s="4" t="n">
        <v>7</v>
      </c>
      <c r="C1012" s="4" t="inlineStr">
        <is>
          <t>elk</t>
        </is>
      </c>
      <c r="D1012" s="4" t="n">
        <v>2022</v>
      </c>
      <c r="E1012" s="13" t="inlineStr">
        <is>
          <t>General</t>
        </is>
      </c>
      <c r="F1012" s="5" t="n">
        <v>431</v>
      </c>
      <c r="G1012" s="5" t="n">
        <v>2931</v>
      </c>
      <c r="H1012" s="5" t="n">
        <v>73</v>
      </c>
      <c r="I1012" s="5" t="n">
        <v>67</v>
      </c>
      <c r="J1012" s="5" t="n">
        <v>6</v>
      </c>
      <c r="K1012" s="10">
        <f>IF(F1012&gt;0,H1012/F1012,"")</f>
        <v/>
      </c>
      <c r="L1012" s="16">
        <f>IF(AND(G1012&gt;0,H1012&gt;0),G1012/H1012,"")</f>
        <v/>
      </c>
    </row>
    <row r="1013">
      <c r="A1013" s="4" t="inlineStr">
        <is>
          <t>703</t>
        </is>
      </c>
      <c r="B1013" s="4" t="n">
        <v>7</v>
      </c>
      <c r="C1013" s="4" t="inlineStr">
        <is>
          <t>elk</t>
        </is>
      </c>
      <c r="D1013" s="4" t="n">
        <v>2023</v>
      </c>
      <c r="E1013" s="13" t="inlineStr">
        <is>
          <t>General</t>
        </is>
      </c>
      <c r="F1013" s="5" t="n"/>
      <c r="G1013" s="5" t="n"/>
      <c r="H1013" s="5" t="n">
        <v>94</v>
      </c>
      <c r="I1013" s="5" t="n">
        <v>65</v>
      </c>
      <c r="J1013" s="5" t="n">
        <v>29</v>
      </c>
      <c r="K1013" s="10">
        <f>IF(F1013&gt;0,H1013/F1013,"")</f>
        <v/>
      </c>
      <c r="L1013" s="16">
        <f>IF(AND(G1013&gt;0,H1013&gt;0),G1013/H1013,"")</f>
        <v/>
      </c>
    </row>
    <row r="1014">
      <c r="A1014" s="4" t="inlineStr">
        <is>
          <t>703</t>
        </is>
      </c>
      <c r="B1014" s="4" t="n">
        <v>7</v>
      </c>
      <c r="C1014" s="4" t="inlineStr">
        <is>
          <t>elk</t>
        </is>
      </c>
      <c r="D1014" s="4" t="n">
        <v>2024</v>
      </c>
      <c r="E1014" s="13" t="inlineStr">
        <is>
          <t>General</t>
        </is>
      </c>
      <c r="F1014" s="5" t="n">
        <v>449</v>
      </c>
      <c r="G1014" s="5" t="n">
        <v>3246</v>
      </c>
      <c r="H1014" s="5" t="n">
        <v>62</v>
      </c>
      <c r="I1014" s="5" t="n">
        <v>39</v>
      </c>
      <c r="J1014" s="5" t="n">
        <v>18</v>
      </c>
      <c r="K1014" s="10">
        <f>IF(F1014&gt;0,H1014/F1014,"")</f>
        <v/>
      </c>
      <c r="L1014" s="16">
        <f>IF(AND(G1014&gt;0,H1014&gt;0),G1014/H1014,"")</f>
        <v/>
      </c>
    </row>
    <row r="1015">
      <c r="A1015" s="4" t="inlineStr">
        <is>
          <t>703</t>
        </is>
      </c>
      <c r="B1015" s="4" t="n">
        <v>7</v>
      </c>
      <c r="C1015" s="4" t="inlineStr">
        <is>
          <t>elk</t>
        </is>
      </c>
      <c r="D1015" s="4" t="n">
        <v>2025</v>
      </c>
      <c r="E1015" s="13" t="inlineStr">
        <is>
          <t>General</t>
        </is>
      </c>
      <c r="F1015" s="5" t="n"/>
      <c r="G1015" s="5" t="n"/>
      <c r="H1015" s="5" t="n">
        <v>111</v>
      </c>
      <c r="I1015" s="5" t="n">
        <v>77</v>
      </c>
      <c r="J1015" s="5" t="n">
        <v>34</v>
      </c>
      <c r="K1015" s="10">
        <f>IF(F1015&gt;0,H1015/F1015,"")</f>
        <v/>
      </c>
      <c r="L1015" s="16">
        <f>IF(AND(G1015&gt;0,H1015&gt;0),G1015/H1015,"")</f>
        <v/>
      </c>
    </row>
    <row r="1016">
      <c r="A1016" s="4" t="inlineStr">
        <is>
          <t>704</t>
        </is>
      </c>
      <c r="B1016" s="4" t="n">
        <v>7</v>
      </c>
      <c r="C1016" s="4" t="inlineStr">
        <is>
          <t>elk</t>
        </is>
      </c>
      <c r="D1016" s="4" t="n">
        <v>2021</v>
      </c>
      <c r="E1016" s="13" t="inlineStr">
        <is>
          <t>General</t>
        </is>
      </c>
      <c r="F1016" s="5" t="n"/>
      <c r="G1016" s="5" t="n"/>
      <c r="H1016" s="5" t="n">
        <v>401</v>
      </c>
      <c r="I1016" s="5" t="n">
        <v>191</v>
      </c>
      <c r="J1016" s="5" t="n">
        <v>206</v>
      </c>
      <c r="K1016" s="10">
        <f>IF(F1016&gt;0,H1016/F1016,"")</f>
        <v/>
      </c>
      <c r="L1016" s="16">
        <f>IF(AND(G1016&gt;0,H1016&gt;0),G1016/H1016,"")</f>
        <v/>
      </c>
    </row>
    <row r="1017">
      <c r="A1017" s="4" t="inlineStr">
        <is>
          <t>704</t>
        </is>
      </c>
      <c r="B1017" s="4" t="n">
        <v>7</v>
      </c>
      <c r="C1017" s="4" t="inlineStr">
        <is>
          <t>elk</t>
        </is>
      </c>
      <c r="D1017" s="4" t="n">
        <v>2022</v>
      </c>
      <c r="E1017" s="13" t="inlineStr">
        <is>
          <t>General</t>
        </is>
      </c>
      <c r="F1017" s="5" t="n">
        <v>1323</v>
      </c>
      <c r="G1017" s="5" t="n">
        <v>10458</v>
      </c>
      <c r="H1017" s="5" t="n">
        <v>342</v>
      </c>
      <c r="I1017" s="5" t="n">
        <v>169</v>
      </c>
      <c r="J1017" s="5" t="n">
        <v>163</v>
      </c>
      <c r="K1017" s="10">
        <f>IF(F1017&gt;0,H1017/F1017,"")</f>
        <v/>
      </c>
      <c r="L1017" s="16">
        <f>IF(AND(G1017&gt;0,H1017&gt;0),G1017/H1017,"")</f>
        <v/>
      </c>
    </row>
    <row r="1018">
      <c r="A1018" s="4" t="inlineStr">
        <is>
          <t>704</t>
        </is>
      </c>
      <c r="B1018" s="4" t="n">
        <v>7</v>
      </c>
      <c r="C1018" s="4" t="inlineStr">
        <is>
          <t>elk</t>
        </is>
      </c>
      <c r="D1018" s="4" t="n">
        <v>2023</v>
      </c>
      <c r="E1018" s="13" t="inlineStr">
        <is>
          <t>General</t>
        </is>
      </c>
      <c r="F1018" s="5" t="n"/>
      <c r="G1018" s="5" t="n"/>
      <c r="H1018" s="5" t="n">
        <v>396</v>
      </c>
      <c r="I1018" s="5" t="n">
        <v>166</v>
      </c>
      <c r="J1018" s="5" t="n">
        <v>207</v>
      </c>
      <c r="K1018" s="10">
        <f>IF(F1018&gt;0,H1018/F1018,"")</f>
        <v/>
      </c>
      <c r="L1018" s="16">
        <f>IF(AND(G1018&gt;0,H1018&gt;0),G1018/H1018,"")</f>
        <v/>
      </c>
    </row>
    <row r="1019">
      <c r="A1019" s="4" t="inlineStr">
        <is>
          <t>704</t>
        </is>
      </c>
      <c r="B1019" s="4" t="n">
        <v>7</v>
      </c>
      <c r="C1019" s="4" t="inlineStr">
        <is>
          <t>elk</t>
        </is>
      </c>
      <c r="D1019" s="4" t="n">
        <v>2024</v>
      </c>
      <c r="E1019" s="13" t="inlineStr">
        <is>
          <t>General</t>
        </is>
      </c>
      <c r="F1019" s="5" t="n">
        <v>1601</v>
      </c>
      <c r="G1019" s="5" t="n">
        <v>13141</v>
      </c>
      <c r="H1019" s="5" t="n">
        <v>534</v>
      </c>
      <c r="I1019" s="5" t="n">
        <v>233</v>
      </c>
      <c r="J1019" s="5" t="n">
        <v>287</v>
      </c>
      <c r="K1019" s="10">
        <f>IF(F1019&gt;0,H1019/F1019,"")</f>
        <v/>
      </c>
      <c r="L1019" s="16">
        <f>IF(AND(G1019&gt;0,H1019&gt;0),G1019/H1019,"")</f>
        <v/>
      </c>
    </row>
    <row r="1020">
      <c r="A1020" s="4" t="inlineStr">
        <is>
          <t>704</t>
        </is>
      </c>
      <c r="B1020" s="4" t="n">
        <v>7</v>
      </c>
      <c r="C1020" s="4" t="inlineStr">
        <is>
          <t>elk</t>
        </is>
      </c>
      <c r="D1020" s="4" t="n">
        <v>2025</v>
      </c>
      <c r="E1020" s="13" t="inlineStr">
        <is>
          <t>General</t>
        </is>
      </c>
      <c r="F1020" s="5" t="n"/>
      <c r="G1020" s="5" t="n"/>
      <c r="H1020" s="5" t="n">
        <v>492</v>
      </c>
      <c r="I1020" s="5" t="n">
        <v>250</v>
      </c>
      <c r="J1020" s="5" t="n">
        <v>232</v>
      </c>
      <c r="K1020" s="10">
        <f>IF(F1020&gt;0,H1020/F1020,"")</f>
        <v/>
      </c>
      <c r="L1020" s="16">
        <f>IF(AND(G1020&gt;0,H1020&gt;0),G1020/H1020,"")</f>
        <v/>
      </c>
    </row>
    <row r="1021">
      <c r="A1021" s="4" t="inlineStr">
        <is>
          <t>705</t>
        </is>
      </c>
      <c r="B1021" s="4" t="n">
        <v>7</v>
      </c>
      <c r="C1021" s="4" t="inlineStr">
        <is>
          <t>elk</t>
        </is>
      </c>
      <c r="D1021" s="4" t="n">
        <v>2021</v>
      </c>
      <c r="E1021" s="13" t="inlineStr">
        <is>
          <t>General</t>
        </is>
      </c>
      <c r="F1021" s="5" t="n"/>
      <c r="G1021" s="5" t="n"/>
      <c r="H1021" s="5" t="n">
        <v>154</v>
      </c>
      <c r="I1021" s="5" t="n">
        <v>63</v>
      </c>
      <c r="J1021" s="5" t="n">
        <v>84</v>
      </c>
      <c r="K1021" s="10">
        <f>IF(F1021&gt;0,H1021/F1021,"")</f>
        <v/>
      </c>
      <c r="L1021" s="16">
        <f>IF(AND(G1021&gt;0,H1021&gt;0),G1021/H1021,"")</f>
        <v/>
      </c>
    </row>
    <row r="1022">
      <c r="A1022" s="4" t="inlineStr">
        <is>
          <t>705</t>
        </is>
      </c>
      <c r="B1022" s="4" t="n">
        <v>7</v>
      </c>
      <c r="C1022" s="4" t="inlineStr">
        <is>
          <t>elk</t>
        </is>
      </c>
      <c r="D1022" s="4" t="n">
        <v>2022</v>
      </c>
      <c r="E1022" s="13" t="inlineStr">
        <is>
          <t>General</t>
        </is>
      </c>
      <c r="F1022" s="5" t="n">
        <v>566</v>
      </c>
      <c r="G1022" s="5" t="n">
        <v>4039</v>
      </c>
      <c r="H1022" s="5" t="n">
        <v>184</v>
      </c>
      <c r="I1022" s="5" t="n">
        <v>66</v>
      </c>
      <c r="J1022" s="5" t="n">
        <v>118</v>
      </c>
      <c r="K1022" s="10">
        <f>IF(F1022&gt;0,H1022/F1022,"")</f>
        <v/>
      </c>
      <c r="L1022" s="16">
        <f>IF(AND(G1022&gt;0,H1022&gt;0),G1022/H1022,"")</f>
        <v/>
      </c>
    </row>
    <row r="1023">
      <c r="A1023" s="4" t="inlineStr">
        <is>
          <t>705</t>
        </is>
      </c>
      <c r="B1023" s="4" t="n">
        <v>7</v>
      </c>
      <c r="C1023" s="4" t="inlineStr">
        <is>
          <t>elk</t>
        </is>
      </c>
      <c r="D1023" s="4" t="n">
        <v>2023</v>
      </c>
      <c r="E1023" s="13" t="inlineStr">
        <is>
          <t>General</t>
        </is>
      </c>
      <c r="F1023" s="5" t="n"/>
      <c r="G1023" s="5" t="n"/>
      <c r="H1023" s="5" t="n">
        <v>171</v>
      </c>
      <c r="I1023" s="5" t="n">
        <v>80</v>
      </c>
      <c r="J1023" s="5" t="n">
        <v>86</v>
      </c>
      <c r="K1023" s="10">
        <f>IF(F1023&gt;0,H1023/F1023,"")</f>
        <v/>
      </c>
      <c r="L1023" s="16">
        <f>IF(AND(G1023&gt;0,H1023&gt;0),G1023/H1023,"")</f>
        <v/>
      </c>
    </row>
    <row r="1024">
      <c r="A1024" s="4" t="inlineStr">
        <is>
          <t>705</t>
        </is>
      </c>
      <c r="B1024" s="4" t="n">
        <v>7</v>
      </c>
      <c r="C1024" s="4" t="inlineStr">
        <is>
          <t>elk</t>
        </is>
      </c>
      <c r="D1024" s="4" t="n">
        <v>2024</v>
      </c>
      <c r="E1024" s="13" t="inlineStr">
        <is>
          <t>General</t>
        </is>
      </c>
      <c r="F1024" s="5" t="n">
        <v>727</v>
      </c>
      <c r="G1024" s="5" t="n">
        <v>5123</v>
      </c>
      <c r="H1024" s="5" t="n">
        <v>203</v>
      </c>
      <c r="I1024" s="5" t="n">
        <v>79</v>
      </c>
      <c r="J1024" s="5" t="n">
        <v>125</v>
      </c>
      <c r="K1024" s="10">
        <f>IF(F1024&gt;0,H1024/F1024,"")</f>
        <v/>
      </c>
      <c r="L1024" s="16">
        <f>IF(AND(G1024&gt;0,H1024&gt;0),G1024/H1024,"")</f>
        <v/>
      </c>
    </row>
    <row r="1025">
      <c r="A1025" s="4" t="inlineStr">
        <is>
          <t>705</t>
        </is>
      </c>
      <c r="B1025" s="4" t="n">
        <v>7</v>
      </c>
      <c r="C1025" s="4" t="inlineStr">
        <is>
          <t>elk</t>
        </is>
      </c>
      <c r="D1025" s="4" t="n">
        <v>2025</v>
      </c>
      <c r="E1025" s="13" t="inlineStr">
        <is>
          <t>General</t>
        </is>
      </c>
      <c r="F1025" s="5" t="n"/>
      <c r="G1025" s="5" t="n"/>
      <c r="H1025" s="5" t="n">
        <v>145</v>
      </c>
      <c r="I1025" s="5" t="n">
        <v>82</v>
      </c>
      <c r="J1025" s="5" t="n">
        <v>60</v>
      </c>
      <c r="K1025" s="10">
        <f>IF(F1025&gt;0,H1025/F1025,"")</f>
        <v/>
      </c>
      <c r="L1025" s="16">
        <f>IF(AND(G1025&gt;0,H1025&gt;0),G1025/H1025,"")</f>
        <v/>
      </c>
    </row>
    <row r="1026">
      <c r="A1026" s="4" t="inlineStr">
        <is>
          <t>100</t>
        </is>
      </c>
      <c r="B1026" s="4" t="n">
        <v>1</v>
      </c>
      <c r="C1026" s="4" t="inlineStr">
        <is>
          <t>mule deer</t>
        </is>
      </c>
      <c r="D1026" s="4" t="n">
        <v>2021</v>
      </c>
      <c r="E1026" s="13" t="inlineStr">
        <is>
          <t>General</t>
        </is>
      </c>
      <c r="F1026" s="5" t="n">
        <v>2402</v>
      </c>
      <c r="G1026" s="5" t="n">
        <v>17422</v>
      </c>
      <c r="H1026" s="5" t="n">
        <v>165</v>
      </c>
      <c r="I1026" s="5" t="n">
        <v>153</v>
      </c>
      <c r="J1026" s="5" t="n">
        <v>11</v>
      </c>
      <c r="K1026" s="10">
        <f>IF(F1026&gt;0,H1026/F1026,"")</f>
        <v/>
      </c>
      <c r="L1026" s="16">
        <f>IF(AND(G1026&gt;0,H1026&gt;0),G1026/H1026,"")</f>
        <v/>
      </c>
    </row>
    <row r="1027">
      <c r="A1027" s="4" t="inlineStr">
        <is>
          <t>100</t>
        </is>
      </c>
      <c r="B1027" s="4" t="n">
        <v>1</v>
      </c>
      <c r="C1027" s="4" t="inlineStr">
        <is>
          <t>mule deer</t>
        </is>
      </c>
      <c r="D1027" s="4" t="n">
        <v>2022</v>
      </c>
      <c r="E1027" s="13" t="inlineStr">
        <is>
          <t>General</t>
        </is>
      </c>
      <c r="F1027" s="5" t="n"/>
      <c r="G1027" s="5" t="n"/>
      <c r="H1027" s="5" t="n">
        <v>176</v>
      </c>
      <c r="I1027" s="5" t="n">
        <v>166</v>
      </c>
      <c r="J1027" s="5" t="n">
        <v>9</v>
      </c>
      <c r="K1027" s="10">
        <f>IF(F1027&gt;0,H1027/F1027,"")</f>
        <v/>
      </c>
      <c r="L1027" s="16">
        <f>IF(AND(G1027&gt;0,H1027&gt;0),G1027/H1027,"")</f>
        <v/>
      </c>
    </row>
    <row r="1028">
      <c r="A1028" s="4" t="inlineStr">
        <is>
          <t>100</t>
        </is>
      </c>
      <c r="B1028" s="4" t="n">
        <v>1</v>
      </c>
      <c r="C1028" s="4" t="inlineStr">
        <is>
          <t>mule deer</t>
        </is>
      </c>
      <c r="D1028" s="4" t="n">
        <v>2023</v>
      </c>
      <c r="E1028" s="13" t="inlineStr">
        <is>
          <t>General</t>
        </is>
      </c>
      <c r="F1028" s="5" t="n">
        <v>2846</v>
      </c>
      <c r="G1028" s="5" t="n">
        <v>23556</v>
      </c>
      <c r="H1028" s="5" t="n">
        <v>169</v>
      </c>
      <c r="I1028" s="5" t="n">
        <v>162</v>
      </c>
      <c r="J1028" s="5" t="n">
        <v>7</v>
      </c>
      <c r="K1028" s="10">
        <f>IF(F1028&gt;0,H1028/F1028,"")</f>
        <v/>
      </c>
      <c r="L1028" s="16">
        <f>IF(AND(G1028&gt;0,H1028&gt;0),G1028/H1028,"")</f>
        <v/>
      </c>
    </row>
    <row r="1029">
      <c r="A1029" s="4" t="inlineStr">
        <is>
          <t>100</t>
        </is>
      </c>
      <c r="B1029" s="4" t="n">
        <v>1</v>
      </c>
      <c r="C1029" s="4" t="inlineStr">
        <is>
          <t>mule deer</t>
        </is>
      </c>
      <c r="D1029" s="4" t="n">
        <v>2024</v>
      </c>
      <c r="E1029" s="13" t="inlineStr">
        <is>
          <t>General</t>
        </is>
      </c>
      <c r="F1029" s="5" t="n"/>
      <c r="G1029" s="5" t="n"/>
      <c r="H1029" s="5" t="n">
        <v>113</v>
      </c>
      <c r="I1029" s="5" t="n">
        <v>113</v>
      </c>
      <c r="J1029" s="5" t="n">
        <v>0</v>
      </c>
      <c r="K1029" s="10">
        <f>IF(F1029&gt;0,H1029/F1029,"")</f>
        <v/>
      </c>
      <c r="L1029" s="16">
        <f>IF(AND(G1029&gt;0,H1029&gt;0),G1029/H1029,"")</f>
        <v/>
      </c>
    </row>
    <row r="1030">
      <c r="A1030" s="4" t="inlineStr">
        <is>
          <t>100</t>
        </is>
      </c>
      <c r="B1030" s="4" t="n">
        <v>1</v>
      </c>
      <c r="C1030" s="4" t="inlineStr">
        <is>
          <t>mule deer</t>
        </is>
      </c>
      <c r="D1030" s="4" t="n">
        <v>2025</v>
      </c>
      <c r="E1030" s="13" t="inlineStr">
        <is>
          <t>General</t>
        </is>
      </c>
      <c r="F1030" s="5" t="n">
        <v>2765</v>
      </c>
      <c r="G1030" s="5" t="n">
        <v>22537</v>
      </c>
      <c r="H1030" s="5" t="n">
        <v>119</v>
      </c>
      <c r="I1030" s="5" t="n">
        <v>116</v>
      </c>
      <c r="J1030" s="5" t="n">
        <v>3</v>
      </c>
      <c r="K1030" s="10">
        <f>IF(F1030&gt;0,H1030/F1030,"")</f>
        <v/>
      </c>
      <c r="L1030" s="16">
        <f>IF(AND(G1030&gt;0,H1030&gt;0),G1030/H1030,"")</f>
        <v/>
      </c>
    </row>
    <row r="1031">
      <c r="A1031" s="4" t="inlineStr">
        <is>
          <t>101</t>
        </is>
      </c>
      <c r="B1031" s="4" t="n">
        <v>1</v>
      </c>
      <c r="C1031" s="4" t="inlineStr">
        <is>
          <t>mule deer</t>
        </is>
      </c>
      <c r="D1031" s="4" t="n">
        <v>2021</v>
      </c>
      <c r="E1031" s="13" t="inlineStr">
        <is>
          <t>General</t>
        </is>
      </c>
      <c r="F1031" s="5" t="n">
        <v>2328</v>
      </c>
      <c r="G1031" s="5" t="n">
        <v>15644</v>
      </c>
      <c r="H1031" s="5" t="n">
        <v>74</v>
      </c>
      <c r="I1031" s="5" t="n">
        <v>71</v>
      </c>
      <c r="J1031" s="5" t="n">
        <v>3</v>
      </c>
      <c r="K1031" s="10">
        <f>IF(F1031&gt;0,H1031/F1031,"")</f>
        <v/>
      </c>
      <c r="L1031" s="16">
        <f>IF(AND(G1031&gt;0,H1031&gt;0),G1031/H1031,"")</f>
        <v/>
      </c>
    </row>
    <row r="1032">
      <c r="A1032" s="4" t="inlineStr">
        <is>
          <t>101</t>
        </is>
      </c>
      <c r="B1032" s="4" t="n">
        <v>1</v>
      </c>
      <c r="C1032" s="4" t="inlineStr">
        <is>
          <t>mule deer</t>
        </is>
      </c>
      <c r="D1032" s="4" t="n">
        <v>2022</v>
      </c>
      <c r="E1032" s="13" t="inlineStr">
        <is>
          <t>General</t>
        </is>
      </c>
      <c r="F1032" s="5" t="n"/>
      <c r="G1032" s="5" t="n"/>
      <c r="H1032" s="5" t="n">
        <v>110</v>
      </c>
      <c r="I1032" s="5" t="n">
        <v>107</v>
      </c>
      <c r="J1032" s="5" t="n">
        <v>3</v>
      </c>
      <c r="K1032" s="10">
        <f>IF(F1032&gt;0,H1032/F1032,"")</f>
        <v/>
      </c>
      <c r="L1032" s="16">
        <f>IF(AND(G1032&gt;0,H1032&gt;0),G1032/H1032,"")</f>
        <v/>
      </c>
    </row>
    <row r="1033">
      <c r="A1033" s="4" t="inlineStr">
        <is>
          <t>101</t>
        </is>
      </c>
      <c r="B1033" s="4" t="n">
        <v>1</v>
      </c>
      <c r="C1033" s="4" t="inlineStr">
        <is>
          <t>mule deer</t>
        </is>
      </c>
      <c r="D1033" s="4" t="n">
        <v>2023</v>
      </c>
      <c r="E1033" s="13" t="inlineStr">
        <is>
          <t>General</t>
        </is>
      </c>
      <c r="F1033" s="5" t="n">
        <v>2955</v>
      </c>
      <c r="G1033" s="5" t="n">
        <v>21834</v>
      </c>
      <c r="H1033" s="5" t="n">
        <v>106</v>
      </c>
      <c r="I1033" s="5" t="n">
        <v>102</v>
      </c>
      <c r="J1033" s="5" t="n">
        <v>3</v>
      </c>
      <c r="K1033" s="10">
        <f>IF(F1033&gt;0,H1033/F1033,"")</f>
        <v/>
      </c>
      <c r="L1033" s="16">
        <f>IF(AND(G1033&gt;0,H1033&gt;0),G1033/H1033,"")</f>
        <v/>
      </c>
    </row>
    <row r="1034">
      <c r="A1034" s="4" t="inlineStr">
        <is>
          <t>101</t>
        </is>
      </c>
      <c r="B1034" s="4" t="n">
        <v>1</v>
      </c>
      <c r="C1034" s="4" t="inlineStr">
        <is>
          <t>mule deer</t>
        </is>
      </c>
      <c r="D1034" s="4" t="n">
        <v>2024</v>
      </c>
      <c r="E1034" s="13" t="inlineStr">
        <is>
          <t>General</t>
        </is>
      </c>
      <c r="F1034" s="5" t="n"/>
      <c r="G1034" s="5" t="n"/>
      <c r="H1034" s="5" t="n">
        <v>125</v>
      </c>
      <c r="I1034" s="5" t="n">
        <v>118</v>
      </c>
      <c r="J1034" s="5" t="n">
        <v>7</v>
      </c>
      <c r="K1034" s="10">
        <f>IF(F1034&gt;0,H1034/F1034,"")</f>
        <v/>
      </c>
      <c r="L1034" s="16">
        <f>IF(AND(G1034&gt;0,H1034&gt;0),G1034/H1034,"")</f>
        <v/>
      </c>
    </row>
    <row r="1035">
      <c r="A1035" s="4" t="inlineStr">
        <is>
          <t>101</t>
        </is>
      </c>
      <c r="B1035" s="4" t="n">
        <v>1</v>
      </c>
      <c r="C1035" s="4" t="inlineStr">
        <is>
          <t>mule deer</t>
        </is>
      </c>
      <c r="D1035" s="4" t="n">
        <v>2025</v>
      </c>
      <c r="E1035" s="13" t="inlineStr">
        <is>
          <t>General</t>
        </is>
      </c>
      <c r="F1035" s="5" t="n">
        <v>2913</v>
      </c>
      <c r="G1035" s="5" t="n">
        <v>22019</v>
      </c>
      <c r="H1035" s="5" t="n">
        <v>92</v>
      </c>
      <c r="I1035" s="5" t="n">
        <v>92</v>
      </c>
      <c r="J1035" s="5" t="n">
        <v>0</v>
      </c>
      <c r="K1035" s="10">
        <f>IF(F1035&gt;0,H1035/F1035,"")</f>
        <v/>
      </c>
      <c r="L1035" s="16">
        <f>IF(AND(G1035&gt;0,H1035&gt;0),G1035/H1035,"")</f>
        <v/>
      </c>
    </row>
    <row r="1036">
      <c r="A1036" s="4" t="inlineStr">
        <is>
          <t>102</t>
        </is>
      </c>
      <c r="B1036" s="4" t="n">
        <v>1</v>
      </c>
      <c r="C1036" s="4" t="inlineStr">
        <is>
          <t>mule deer</t>
        </is>
      </c>
      <c r="D1036" s="4" t="n">
        <v>2021</v>
      </c>
      <c r="E1036" s="4" t="inlineStr"/>
      <c r="F1036" s="5" t="n">
        <v>2620</v>
      </c>
      <c r="G1036" s="5" t="n">
        <v>15805</v>
      </c>
      <c r="H1036" s="5" t="n">
        <v>54</v>
      </c>
      <c r="I1036" s="5" t="n">
        <v>50</v>
      </c>
      <c r="J1036" s="5" t="n">
        <v>4</v>
      </c>
      <c r="K1036" s="10">
        <f>IF(F1036&gt;0,H1036/F1036,"")</f>
        <v/>
      </c>
      <c r="L1036" s="16">
        <f>IF(AND(G1036&gt;0,H1036&gt;0),G1036/H1036,"")</f>
        <v/>
      </c>
    </row>
    <row r="1037">
      <c r="A1037" s="4" t="inlineStr">
        <is>
          <t>103</t>
        </is>
      </c>
      <c r="B1037" s="4" t="n">
        <v>1</v>
      </c>
      <c r="C1037" s="4" t="inlineStr">
        <is>
          <t>mule deer</t>
        </is>
      </c>
      <c r="D1037" s="4" t="n">
        <v>2021</v>
      </c>
      <c r="E1037" s="13" t="inlineStr">
        <is>
          <t>General</t>
        </is>
      </c>
      <c r="F1037" s="5" t="n">
        <v>2546</v>
      </c>
      <c r="G1037" s="5" t="n">
        <v>18236</v>
      </c>
      <c r="H1037" s="5" t="n">
        <v>138</v>
      </c>
      <c r="I1037" s="5" t="n">
        <v>136</v>
      </c>
      <c r="J1037" s="5" t="n">
        <v>2</v>
      </c>
      <c r="K1037" s="10">
        <f>IF(F1037&gt;0,H1037/F1037,"")</f>
        <v/>
      </c>
      <c r="L1037" s="16">
        <f>IF(AND(G1037&gt;0,H1037&gt;0),G1037/H1037,"")</f>
        <v/>
      </c>
    </row>
    <row r="1038">
      <c r="A1038" s="4" t="inlineStr">
        <is>
          <t>103</t>
        </is>
      </c>
      <c r="B1038" s="4" t="n">
        <v>1</v>
      </c>
      <c r="C1038" s="4" t="inlineStr">
        <is>
          <t>mule deer</t>
        </is>
      </c>
      <c r="D1038" s="4" t="n">
        <v>2022</v>
      </c>
      <c r="E1038" s="13" t="inlineStr">
        <is>
          <t>General</t>
        </is>
      </c>
      <c r="F1038" s="5" t="n"/>
      <c r="G1038" s="5" t="n"/>
      <c r="H1038" s="5" t="n">
        <v>158</v>
      </c>
      <c r="I1038" s="5" t="n">
        <v>149</v>
      </c>
      <c r="J1038" s="5" t="n">
        <v>10</v>
      </c>
      <c r="K1038" s="10">
        <f>IF(F1038&gt;0,H1038/F1038,"")</f>
        <v/>
      </c>
      <c r="L1038" s="16">
        <f>IF(AND(G1038&gt;0,H1038&gt;0),G1038/H1038,"")</f>
        <v/>
      </c>
    </row>
    <row r="1039">
      <c r="A1039" s="4" t="inlineStr">
        <is>
          <t>103</t>
        </is>
      </c>
      <c r="B1039" s="4" t="n">
        <v>1</v>
      </c>
      <c r="C1039" s="4" t="inlineStr">
        <is>
          <t>mule deer</t>
        </is>
      </c>
      <c r="D1039" s="4" t="n">
        <v>2023</v>
      </c>
      <c r="E1039" s="13" t="inlineStr">
        <is>
          <t>General</t>
        </is>
      </c>
      <c r="F1039" s="5" t="n">
        <v>5391</v>
      </c>
      <c r="G1039" s="5" t="n">
        <v>39826</v>
      </c>
      <c r="H1039" s="5" t="n">
        <v>207</v>
      </c>
      <c r="I1039" s="5" t="n">
        <v>201</v>
      </c>
      <c r="J1039" s="5" t="n">
        <v>6</v>
      </c>
      <c r="K1039" s="10">
        <f>IF(F1039&gt;0,H1039/F1039,"")</f>
        <v/>
      </c>
      <c r="L1039" s="16">
        <f>IF(AND(G1039&gt;0,H1039&gt;0),G1039/H1039,"")</f>
        <v/>
      </c>
    </row>
    <row r="1040">
      <c r="A1040" s="4" t="inlineStr">
        <is>
          <t>103</t>
        </is>
      </c>
      <c r="B1040" s="4" t="n">
        <v>1</v>
      </c>
      <c r="C1040" s="4" t="inlineStr">
        <is>
          <t>mule deer</t>
        </is>
      </c>
      <c r="D1040" s="4" t="n">
        <v>2024</v>
      </c>
      <c r="E1040" s="13" t="inlineStr">
        <is>
          <t>General</t>
        </is>
      </c>
      <c r="F1040" s="5" t="n"/>
      <c r="G1040" s="5" t="n"/>
      <c r="H1040" s="5" t="n">
        <v>233</v>
      </c>
      <c r="I1040" s="5" t="n">
        <v>233</v>
      </c>
      <c r="J1040" s="5" t="n">
        <v>0</v>
      </c>
      <c r="K1040" s="10">
        <f>IF(F1040&gt;0,H1040/F1040,"")</f>
        <v/>
      </c>
      <c r="L1040" s="16">
        <f>IF(AND(G1040&gt;0,H1040&gt;0),G1040/H1040,"")</f>
        <v/>
      </c>
    </row>
    <row r="1041">
      <c r="A1041" s="4" t="inlineStr">
        <is>
          <t>103</t>
        </is>
      </c>
      <c r="B1041" s="4" t="n">
        <v>1</v>
      </c>
      <c r="C1041" s="4" t="inlineStr">
        <is>
          <t>mule deer</t>
        </is>
      </c>
      <c r="D1041" s="4" t="n">
        <v>2025</v>
      </c>
      <c r="E1041" s="13" t="inlineStr">
        <is>
          <t>General</t>
        </is>
      </c>
      <c r="F1041" s="5" t="n">
        <v>5147</v>
      </c>
      <c r="G1041" s="5" t="n">
        <v>35014</v>
      </c>
      <c r="H1041" s="5" t="n">
        <v>212</v>
      </c>
      <c r="I1041" s="5" t="n">
        <v>212</v>
      </c>
      <c r="J1041" s="5" t="n">
        <v>0</v>
      </c>
      <c r="K1041" s="10">
        <f>IF(F1041&gt;0,H1041/F1041,"")</f>
        <v/>
      </c>
      <c r="L1041" s="16">
        <f>IF(AND(G1041&gt;0,H1041&gt;0),G1041/H1041,"")</f>
        <v/>
      </c>
    </row>
    <row r="1042">
      <c r="A1042" s="4" t="inlineStr">
        <is>
          <t>104</t>
        </is>
      </c>
      <c r="B1042" s="4" t="n">
        <v>1</v>
      </c>
      <c r="C1042" s="4" t="inlineStr">
        <is>
          <t>mule deer</t>
        </is>
      </c>
      <c r="D1042" s="4" t="n">
        <v>2021</v>
      </c>
      <c r="E1042" s="13" t="inlineStr">
        <is>
          <t>General</t>
        </is>
      </c>
      <c r="F1042" s="5" t="n">
        <v>1283</v>
      </c>
      <c r="G1042" s="5" t="n">
        <v>10730</v>
      </c>
      <c r="H1042" s="5" t="n">
        <v>57</v>
      </c>
      <c r="I1042" s="5" t="n">
        <v>57</v>
      </c>
      <c r="J1042" s="5" t="n">
        <v>0</v>
      </c>
      <c r="K1042" s="10">
        <f>IF(F1042&gt;0,H1042/F1042,"")</f>
        <v/>
      </c>
      <c r="L1042" s="16">
        <f>IF(AND(G1042&gt;0,H1042&gt;0),G1042/H1042,"")</f>
        <v/>
      </c>
    </row>
    <row r="1043">
      <c r="A1043" s="4" t="inlineStr">
        <is>
          <t>104</t>
        </is>
      </c>
      <c r="B1043" s="4" t="n">
        <v>1</v>
      </c>
      <c r="C1043" s="4" t="inlineStr">
        <is>
          <t>mule deer</t>
        </is>
      </c>
      <c r="D1043" s="4" t="n">
        <v>2022</v>
      </c>
      <c r="E1043" s="13" t="inlineStr">
        <is>
          <t>General</t>
        </is>
      </c>
      <c r="F1043" s="5" t="n"/>
      <c r="G1043" s="5" t="n"/>
      <c r="H1043" s="5" t="n">
        <v>39</v>
      </c>
      <c r="I1043" s="5" t="n">
        <v>35</v>
      </c>
      <c r="J1043" s="5" t="n">
        <v>3</v>
      </c>
      <c r="K1043" s="10">
        <f>IF(F1043&gt;0,H1043/F1043,"")</f>
        <v/>
      </c>
      <c r="L1043" s="16">
        <f>IF(AND(G1043&gt;0,H1043&gt;0),G1043/H1043,"")</f>
        <v/>
      </c>
    </row>
    <row r="1044">
      <c r="A1044" s="4" t="inlineStr">
        <is>
          <t>104</t>
        </is>
      </c>
      <c r="B1044" s="4" t="n">
        <v>1</v>
      </c>
      <c r="C1044" s="4" t="inlineStr">
        <is>
          <t>mule deer</t>
        </is>
      </c>
      <c r="D1044" s="4" t="n">
        <v>2023</v>
      </c>
      <c r="E1044" s="13" t="inlineStr">
        <is>
          <t>General</t>
        </is>
      </c>
      <c r="F1044" s="5" t="n">
        <v>1264</v>
      </c>
      <c r="G1044" s="5" t="n">
        <v>9592</v>
      </c>
      <c r="H1044" s="5" t="n">
        <v>59</v>
      </c>
      <c r="I1044" s="5" t="n">
        <v>56</v>
      </c>
      <c r="J1044" s="5" t="n">
        <v>4</v>
      </c>
      <c r="K1044" s="10">
        <f>IF(F1044&gt;0,H1044/F1044,"")</f>
        <v/>
      </c>
      <c r="L1044" s="16">
        <f>IF(AND(G1044&gt;0,H1044&gt;0),G1044/H1044,"")</f>
        <v/>
      </c>
    </row>
    <row r="1045">
      <c r="A1045" s="4" t="inlineStr">
        <is>
          <t>104</t>
        </is>
      </c>
      <c r="B1045" s="4" t="n">
        <v>1</v>
      </c>
      <c r="C1045" s="4" t="inlineStr">
        <is>
          <t>mule deer</t>
        </is>
      </c>
      <c r="D1045" s="4" t="n">
        <v>2024</v>
      </c>
      <c r="E1045" s="13" t="inlineStr">
        <is>
          <t>General</t>
        </is>
      </c>
      <c r="F1045" s="5" t="n"/>
      <c r="G1045" s="5" t="n"/>
      <c r="H1045" s="5" t="n">
        <v>66</v>
      </c>
      <c r="I1045" s="5" t="n">
        <v>59</v>
      </c>
      <c r="J1045" s="5" t="n">
        <v>7</v>
      </c>
      <c r="K1045" s="10">
        <f>IF(F1045&gt;0,H1045/F1045,"")</f>
        <v/>
      </c>
      <c r="L1045" s="16">
        <f>IF(AND(G1045&gt;0,H1045&gt;0),G1045/H1045,"")</f>
        <v/>
      </c>
    </row>
    <row r="1046">
      <c r="A1046" s="4" t="inlineStr">
        <is>
          <t>104</t>
        </is>
      </c>
      <c r="B1046" s="4" t="n">
        <v>1</v>
      </c>
      <c r="C1046" s="4" t="inlineStr">
        <is>
          <t>mule deer</t>
        </is>
      </c>
      <c r="D1046" s="4" t="n">
        <v>2025</v>
      </c>
      <c r="E1046" s="13" t="inlineStr">
        <is>
          <t>General</t>
        </is>
      </c>
      <c r="F1046" s="5" t="n">
        <v>1575</v>
      </c>
      <c r="G1046" s="5" t="n">
        <v>12880</v>
      </c>
      <c r="H1046" s="5" t="n">
        <v>64</v>
      </c>
      <c r="I1046" s="5" t="n">
        <v>58</v>
      </c>
      <c r="J1046" s="5" t="n">
        <v>6</v>
      </c>
      <c r="K1046" s="10">
        <f>IF(F1046&gt;0,H1046/F1046,"")</f>
        <v/>
      </c>
      <c r="L1046" s="16">
        <f>IF(AND(G1046&gt;0,H1046&gt;0),G1046/H1046,"")</f>
        <v/>
      </c>
    </row>
    <row r="1047">
      <c r="A1047" s="4" t="inlineStr">
        <is>
          <t>109</t>
        </is>
      </c>
      <c r="B1047" s="4" t="n">
        <v>1</v>
      </c>
      <c r="C1047" s="4" t="inlineStr">
        <is>
          <t>mule deer</t>
        </is>
      </c>
      <c r="D1047" s="4" t="n">
        <v>2021</v>
      </c>
      <c r="E1047" s="4" t="inlineStr"/>
      <c r="F1047" s="5" t="n">
        <v>532</v>
      </c>
      <c r="G1047" s="5" t="n">
        <v>3607</v>
      </c>
      <c r="H1047" s="5" t="n">
        <v>39</v>
      </c>
      <c r="I1047" s="5" t="n">
        <v>39</v>
      </c>
      <c r="J1047" s="5" t="n">
        <v>0</v>
      </c>
      <c r="K1047" s="10">
        <f>IF(F1047&gt;0,H1047/F1047,"")</f>
        <v/>
      </c>
      <c r="L1047" s="16">
        <f>IF(AND(G1047&gt;0,H1047&gt;0),G1047/H1047,"")</f>
        <v/>
      </c>
    </row>
    <row r="1048">
      <c r="A1048" s="4" t="inlineStr">
        <is>
          <t>110</t>
        </is>
      </c>
      <c r="B1048" s="4" t="n">
        <v>1</v>
      </c>
      <c r="C1048" s="4" t="inlineStr">
        <is>
          <t>mule deer</t>
        </is>
      </c>
      <c r="D1048" s="4" t="n">
        <v>2021</v>
      </c>
      <c r="E1048" s="13" t="inlineStr">
        <is>
          <t>General</t>
        </is>
      </c>
      <c r="F1048" s="5" t="n">
        <v>1118</v>
      </c>
      <c r="G1048" s="5" t="n">
        <v>6739</v>
      </c>
      <c r="H1048" s="5" t="n">
        <v>8</v>
      </c>
      <c r="I1048" s="5" t="n">
        <v>8</v>
      </c>
      <c r="J1048" s="5" t="n">
        <v>0</v>
      </c>
      <c r="K1048" s="10">
        <f>IF(F1048&gt;0,H1048/F1048,"")</f>
        <v/>
      </c>
      <c r="L1048" s="16">
        <f>IF(AND(G1048&gt;0,H1048&gt;0),G1048/H1048,"")</f>
        <v/>
      </c>
    </row>
    <row r="1049">
      <c r="A1049" s="4" t="inlineStr">
        <is>
          <t>110</t>
        </is>
      </c>
      <c r="B1049" s="4" t="n">
        <v>1</v>
      </c>
      <c r="C1049" s="4" t="inlineStr">
        <is>
          <t>mule deer</t>
        </is>
      </c>
      <c r="D1049" s="4" t="n">
        <v>2022</v>
      </c>
      <c r="E1049" s="13" t="inlineStr">
        <is>
          <t>General</t>
        </is>
      </c>
      <c r="F1049" s="5" t="n"/>
      <c r="G1049" s="5" t="n"/>
      <c r="H1049" s="5" t="n">
        <v>20</v>
      </c>
      <c r="I1049" s="5" t="n">
        <v>20</v>
      </c>
      <c r="J1049" s="5" t="n">
        <v>0</v>
      </c>
      <c r="K1049" s="10">
        <f>IF(F1049&gt;0,H1049/F1049,"")</f>
        <v/>
      </c>
      <c r="L1049" s="16">
        <f>IF(AND(G1049&gt;0,H1049&gt;0),G1049/H1049,"")</f>
        <v/>
      </c>
    </row>
    <row r="1050">
      <c r="A1050" s="4" t="inlineStr">
        <is>
          <t>110</t>
        </is>
      </c>
      <c r="B1050" s="4" t="n">
        <v>1</v>
      </c>
      <c r="C1050" s="4" t="inlineStr">
        <is>
          <t>mule deer</t>
        </is>
      </c>
      <c r="D1050" s="4" t="n">
        <v>2023</v>
      </c>
      <c r="E1050" s="13" t="inlineStr">
        <is>
          <t>General</t>
        </is>
      </c>
      <c r="F1050" s="5" t="n">
        <v>1360</v>
      </c>
      <c r="G1050" s="5" t="n">
        <v>7975</v>
      </c>
      <c r="H1050" s="5" t="n">
        <v>40</v>
      </c>
      <c r="I1050" s="5" t="n">
        <v>40</v>
      </c>
      <c r="J1050" s="5" t="n">
        <v>0</v>
      </c>
      <c r="K1050" s="10">
        <f>IF(F1050&gt;0,H1050/F1050,"")</f>
        <v/>
      </c>
      <c r="L1050" s="16">
        <f>IF(AND(G1050&gt;0,H1050&gt;0),G1050/H1050,"")</f>
        <v/>
      </c>
    </row>
    <row r="1051">
      <c r="A1051" s="4" t="inlineStr">
        <is>
          <t>110</t>
        </is>
      </c>
      <c r="B1051" s="4" t="n">
        <v>1</v>
      </c>
      <c r="C1051" s="4" t="inlineStr">
        <is>
          <t>mule deer</t>
        </is>
      </c>
      <c r="D1051" s="4" t="n">
        <v>2024</v>
      </c>
      <c r="E1051" s="13" t="inlineStr">
        <is>
          <t>General</t>
        </is>
      </c>
      <c r="F1051" s="5" t="n"/>
      <c r="G1051" s="5" t="n"/>
      <c r="H1051" s="5" t="n">
        <v>25</v>
      </c>
      <c r="I1051" s="5" t="n">
        <v>22</v>
      </c>
      <c r="J1051" s="5" t="n">
        <v>3</v>
      </c>
      <c r="K1051" s="10">
        <f>IF(F1051&gt;0,H1051/F1051,"")</f>
        <v/>
      </c>
      <c r="L1051" s="16">
        <f>IF(AND(G1051&gt;0,H1051&gt;0),G1051/H1051,"")</f>
        <v/>
      </c>
    </row>
    <row r="1052">
      <c r="A1052" s="4" t="inlineStr">
        <is>
          <t>110</t>
        </is>
      </c>
      <c r="B1052" s="4" t="n">
        <v>1</v>
      </c>
      <c r="C1052" s="4" t="inlineStr">
        <is>
          <t>mule deer</t>
        </is>
      </c>
      <c r="D1052" s="4" t="n">
        <v>2025</v>
      </c>
      <c r="E1052" s="13" t="inlineStr">
        <is>
          <t>General</t>
        </is>
      </c>
      <c r="F1052" s="5" t="n">
        <v>1344</v>
      </c>
      <c r="G1052" s="5" t="n">
        <v>8403</v>
      </c>
      <c r="H1052" s="5" t="n">
        <v>38</v>
      </c>
      <c r="I1052" s="5" t="n">
        <v>38</v>
      </c>
      <c r="J1052" s="5" t="n">
        <v>0</v>
      </c>
      <c r="K1052" s="10">
        <f>IF(F1052&gt;0,H1052/F1052,"")</f>
        <v/>
      </c>
      <c r="L1052" s="16">
        <f>IF(AND(G1052&gt;0,H1052&gt;0),G1052/H1052,"")</f>
        <v/>
      </c>
    </row>
    <row r="1053">
      <c r="A1053" s="4" t="inlineStr">
        <is>
          <t>120</t>
        </is>
      </c>
      <c r="B1053" s="4" t="n">
        <v>1</v>
      </c>
      <c r="C1053" s="4" t="inlineStr">
        <is>
          <t>mule deer</t>
        </is>
      </c>
      <c r="D1053" s="4" t="n">
        <v>2021</v>
      </c>
      <c r="E1053" s="13" t="inlineStr">
        <is>
          <t>General</t>
        </is>
      </c>
      <c r="F1053" s="5" t="n">
        <v>1956</v>
      </c>
      <c r="G1053" s="5" t="n">
        <v>12140</v>
      </c>
      <c r="H1053" s="5" t="n">
        <v>36</v>
      </c>
      <c r="I1053" s="5" t="n">
        <v>36</v>
      </c>
      <c r="J1053" s="5" t="n">
        <v>0</v>
      </c>
      <c r="K1053" s="10">
        <f>IF(F1053&gt;0,H1053/F1053,"")</f>
        <v/>
      </c>
      <c r="L1053" s="16">
        <f>IF(AND(G1053&gt;0,H1053&gt;0),G1053/H1053,"")</f>
        <v/>
      </c>
    </row>
    <row r="1054">
      <c r="A1054" s="4" t="inlineStr">
        <is>
          <t>120</t>
        </is>
      </c>
      <c r="B1054" s="4" t="n">
        <v>1</v>
      </c>
      <c r="C1054" s="4" t="inlineStr">
        <is>
          <t>mule deer</t>
        </is>
      </c>
      <c r="D1054" s="4" t="n">
        <v>2022</v>
      </c>
      <c r="E1054" s="13" t="inlineStr">
        <is>
          <t>General</t>
        </is>
      </c>
      <c r="F1054" s="5" t="n"/>
      <c r="G1054" s="5" t="n"/>
      <c r="H1054" s="5" t="n">
        <v>49</v>
      </c>
      <c r="I1054" s="5" t="n">
        <v>49</v>
      </c>
      <c r="J1054" s="5" t="n">
        <v>0</v>
      </c>
      <c r="K1054" s="10">
        <f>IF(F1054&gt;0,H1054/F1054,"")</f>
        <v/>
      </c>
      <c r="L1054" s="16">
        <f>IF(AND(G1054&gt;0,H1054&gt;0),G1054/H1054,"")</f>
        <v/>
      </c>
    </row>
    <row r="1055">
      <c r="A1055" s="4" t="inlineStr">
        <is>
          <t>120</t>
        </is>
      </c>
      <c r="B1055" s="4" t="n">
        <v>1</v>
      </c>
      <c r="C1055" s="4" t="inlineStr">
        <is>
          <t>mule deer</t>
        </is>
      </c>
      <c r="D1055" s="4" t="n">
        <v>2023</v>
      </c>
      <c r="E1055" s="13" t="inlineStr">
        <is>
          <t>General</t>
        </is>
      </c>
      <c r="F1055" s="5" t="n">
        <v>2206</v>
      </c>
      <c r="G1055" s="5" t="n">
        <v>14981</v>
      </c>
      <c r="H1055" s="5" t="n">
        <v>47</v>
      </c>
      <c r="I1055" s="5" t="n">
        <v>44</v>
      </c>
      <c r="J1055" s="5" t="n">
        <v>3</v>
      </c>
      <c r="K1055" s="10">
        <f>IF(F1055&gt;0,H1055/F1055,"")</f>
        <v/>
      </c>
      <c r="L1055" s="16">
        <f>IF(AND(G1055&gt;0,H1055&gt;0),G1055/H1055,"")</f>
        <v/>
      </c>
    </row>
    <row r="1056">
      <c r="A1056" s="4" t="inlineStr">
        <is>
          <t>120</t>
        </is>
      </c>
      <c r="B1056" s="4" t="n">
        <v>1</v>
      </c>
      <c r="C1056" s="4" t="inlineStr">
        <is>
          <t>mule deer</t>
        </is>
      </c>
      <c r="D1056" s="4" t="n">
        <v>2024</v>
      </c>
      <c r="E1056" s="13" t="inlineStr">
        <is>
          <t>General</t>
        </is>
      </c>
      <c r="F1056" s="5" t="n"/>
      <c r="G1056" s="5" t="n"/>
      <c r="H1056" s="5" t="n">
        <v>34</v>
      </c>
      <c r="I1056" s="5" t="n">
        <v>30</v>
      </c>
      <c r="J1056" s="5" t="n">
        <v>3</v>
      </c>
      <c r="K1056" s="10">
        <f>IF(F1056&gt;0,H1056/F1056,"")</f>
        <v/>
      </c>
      <c r="L1056" s="16">
        <f>IF(AND(G1056&gt;0,H1056&gt;0),G1056/H1056,"")</f>
        <v/>
      </c>
    </row>
    <row r="1057">
      <c r="A1057" s="4" t="inlineStr">
        <is>
          <t>120</t>
        </is>
      </c>
      <c r="B1057" s="4" t="n">
        <v>1</v>
      </c>
      <c r="C1057" s="4" t="inlineStr">
        <is>
          <t>mule deer</t>
        </is>
      </c>
      <c r="D1057" s="4" t="n">
        <v>2025</v>
      </c>
      <c r="E1057" s="13" t="inlineStr">
        <is>
          <t>General</t>
        </is>
      </c>
      <c r="F1057" s="5" t="n">
        <v>2179</v>
      </c>
      <c r="G1057" s="5" t="n">
        <v>14543</v>
      </c>
      <c r="H1057" s="5" t="n">
        <v>52</v>
      </c>
      <c r="I1057" s="5" t="n">
        <v>45</v>
      </c>
      <c r="J1057" s="5" t="n">
        <v>7</v>
      </c>
      <c r="K1057" s="10">
        <f>IF(F1057&gt;0,H1057/F1057,"")</f>
        <v/>
      </c>
      <c r="L1057" s="16">
        <f>IF(AND(G1057&gt;0,H1057&gt;0),G1057/H1057,"")</f>
        <v/>
      </c>
    </row>
    <row r="1058">
      <c r="A1058" s="4" t="inlineStr">
        <is>
          <t>121</t>
        </is>
      </c>
      <c r="B1058" s="4" t="n">
        <v>1</v>
      </c>
      <c r="C1058" s="4" t="inlineStr">
        <is>
          <t>mule deer</t>
        </is>
      </c>
      <c r="D1058" s="4" t="n">
        <v>2021</v>
      </c>
      <c r="E1058" s="13" t="inlineStr">
        <is>
          <t>General</t>
        </is>
      </c>
      <c r="F1058" s="5" t="n">
        <v>2404</v>
      </c>
      <c r="G1058" s="5" t="n">
        <v>20248</v>
      </c>
      <c r="H1058" s="5" t="n">
        <v>130</v>
      </c>
      <c r="I1058" s="5" t="n">
        <v>123</v>
      </c>
      <c r="J1058" s="5" t="n">
        <v>6</v>
      </c>
      <c r="K1058" s="10">
        <f>IF(F1058&gt;0,H1058/F1058,"")</f>
        <v/>
      </c>
      <c r="L1058" s="16">
        <f>IF(AND(G1058&gt;0,H1058&gt;0),G1058/H1058,"")</f>
        <v/>
      </c>
    </row>
    <row r="1059">
      <c r="A1059" s="4" t="inlineStr">
        <is>
          <t>121</t>
        </is>
      </c>
      <c r="B1059" s="4" t="n">
        <v>1</v>
      </c>
      <c r="C1059" s="4" t="inlineStr">
        <is>
          <t>mule deer</t>
        </is>
      </c>
      <c r="D1059" s="4" t="n">
        <v>2022</v>
      </c>
      <c r="E1059" s="13" t="inlineStr">
        <is>
          <t>General</t>
        </is>
      </c>
      <c r="F1059" s="5" t="n"/>
      <c r="G1059" s="5" t="n"/>
      <c r="H1059" s="5" t="n">
        <v>120</v>
      </c>
      <c r="I1059" s="5" t="n">
        <v>115</v>
      </c>
      <c r="J1059" s="5" t="n">
        <v>6</v>
      </c>
      <c r="K1059" s="10">
        <f>IF(F1059&gt;0,H1059/F1059,"")</f>
        <v/>
      </c>
      <c r="L1059" s="16">
        <f>IF(AND(G1059&gt;0,H1059&gt;0),G1059/H1059,"")</f>
        <v/>
      </c>
    </row>
    <row r="1060">
      <c r="A1060" s="4" t="inlineStr">
        <is>
          <t>121</t>
        </is>
      </c>
      <c r="B1060" s="4" t="n">
        <v>1</v>
      </c>
      <c r="C1060" s="4" t="inlineStr">
        <is>
          <t>mule deer</t>
        </is>
      </c>
      <c r="D1060" s="4" t="n">
        <v>2023</v>
      </c>
      <c r="E1060" s="13" t="inlineStr">
        <is>
          <t>General</t>
        </is>
      </c>
      <c r="F1060" s="5" t="n">
        <v>2551</v>
      </c>
      <c r="G1060" s="5" t="n">
        <v>21482</v>
      </c>
      <c r="H1060" s="5" t="n">
        <v>131</v>
      </c>
      <c r="I1060" s="5" t="n">
        <v>122</v>
      </c>
      <c r="J1060" s="5" t="n">
        <v>8</v>
      </c>
      <c r="K1060" s="10">
        <f>IF(F1060&gt;0,H1060/F1060,"")</f>
        <v/>
      </c>
      <c r="L1060" s="16">
        <f>IF(AND(G1060&gt;0,H1060&gt;0),G1060/H1060,"")</f>
        <v/>
      </c>
    </row>
    <row r="1061">
      <c r="A1061" s="4" t="inlineStr">
        <is>
          <t>121</t>
        </is>
      </c>
      <c r="B1061" s="4" t="n">
        <v>1</v>
      </c>
      <c r="C1061" s="4" t="inlineStr">
        <is>
          <t>mule deer</t>
        </is>
      </c>
      <c r="D1061" s="4" t="n">
        <v>2024</v>
      </c>
      <c r="E1061" s="13" t="inlineStr">
        <is>
          <t>General</t>
        </is>
      </c>
      <c r="F1061" s="5" t="n"/>
      <c r="G1061" s="5" t="n"/>
      <c r="H1061" s="5" t="n">
        <v>169</v>
      </c>
      <c r="I1061" s="5" t="n">
        <v>166</v>
      </c>
      <c r="J1061" s="5" t="n">
        <v>3</v>
      </c>
      <c r="K1061" s="10">
        <f>IF(F1061&gt;0,H1061/F1061,"")</f>
        <v/>
      </c>
      <c r="L1061" s="16">
        <f>IF(AND(G1061&gt;0,H1061&gt;0),G1061/H1061,"")</f>
        <v/>
      </c>
    </row>
    <row r="1062">
      <c r="A1062" s="4" t="inlineStr">
        <is>
          <t>121</t>
        </is>
      </c>
      <c r="B1062" s="4" t="n">
        <v>1</v>
      </c>
      <c r="C1062" s="4" t="inlineStr">
        <is>
          <t>mule deer</t>
        </is>
      </c>
      <c r="D1062" s="4" t="n">
        <v>2025</v>
      </c>
      <c r="E1062" s="13" t="inlineStr">
        <is>
          <t>General</t>
        </is>
      </c>
      <c r="F1062" s="5" t="n">
        <v>2639</v>
      </c>
      <c r="G1062" s="5" t="n">
        <v>22986</v>
      </c>
      <c r="H1062" s="5" t="n">
        <v>176</v>
      </c>
      <c r="I1062" s="5" t="n">
        <v>176</v>
      </c>
      <c r="J1062" s="5" t="n">
        <v>0</v>
      </c>
      <c r="K1062" s="10">
        <f>IF(F1062&gt;0,H1062/F1062,"")</f>
        <v/>
      </c>
      <c r="L1062" s="16">
        <f>IF(AND(G1062&gt;0,H1062&gt;0),G1062/H1062,"")</f>
        <v/>
      </c>
    </row>
    <row r="1063">
      <c r="A1063" s="4" t="inlineStr">
        <is>
          <t>122</t>
        </is>
      </c>
      <c r="B1063" s="4" t="n">
        <v>1</v>
      </c>
      <c r="C1063" s="4" t="inlineStr">
        <is>
          <t>mule deer</t>
        </is>
      </c>
      <c r="D1063" s="4" t="n">
        <v>2021</v>
      </c>
      <c r="E1063" s="13" t="inlineStr">
        <is>
          <t>General</t>
        </is>
      </c>
      <c r="F1063" s="5" t="n">
        <v>1896</v>
      </c>
      <c r="G1063" s="5" t="n">
        <v>15178</v>
      </c>
      <c r="H1063" s="5" t="n">
        <v>123</v>
      </c>
      <c r="I1063" s="5" t="n">
        <v>119</v>
      </c>
      <c r="J1063" s="5" t="n">
        <v>4</v>
      </c>
      <c r="K1063" s="10">
        <f>IF(F1063&gt;0,H1063/F1063,"")</f>
        <v/>
      </c>
      <c r="L1063" s="16">
        <f>IF(AND(G1063&gt;0,H1063&gt;0),G1063/H1063,"")</f>
        <v/>
      </c>
    </row>
    <row r="1064">
      <c r="A1064" s="4" t="inlineStr">
        <is>
          <t>122</t>
        </is>
      </c>
      <c r="B1064" s="4" t="n">
        <v>1</v>
      </c>
      <c r="C1064" s="4" t="inlineStr">
        <is>
          <t>mule deer</t>
        </is>
      </c>
      <c r="D1064" s="4" t="n">
        <v>2022</v>
      </c>
      <c r="E1064" s="13" t="inlineStr">
        <is>
          <t>General</t>
        </is>
      </c>
      <c r="F1064" s="5" t="n"/>
      <c r="G1064" s="5" t="n"/>
      <c r="H1064" s="5" t="n">
        <v>158</v>
      </c>
      <c r="I1064" s="5" t="n">
        <v>152</v>
      </c>
      <c r="J1064" s="5" t="n">
        <v>5</v>
      </c>
      <c r="K1064" s="10">
        <f>IF(F1064&gt;0,H1064/F1064,"")</f>
        <v/>
      </c>
      <c r="L1064" s="16">
        <f>IF(AND(G1064&gt;0,H1064&gt;0),G1064/H1064,"")</f>
        <v/>
      </c>
    </row>
    <row r="1065">
      <c r="A1065" s="4" t="inlineStr">
        <is>
          <t>122</t>
        </is>
      </c>
      <c r="B1065" s="4" t="n">
        <v>1</v>
      </c>
      <c r="C1065" s="4" t="inlineStr">
        <is>
          <t>mule deer</t>
        </is>
      </c>
      <c r="D1065" s="4" t="n">
        <v>2023</v>
      </c>
      <c r="E1065" s="13" t="inlineStr">
        <is>
          <t>General</t>
        </is>
      </c>
      <c r="F1065" s="5" t="n">
        <v>2183</v>
      </c>
      <c r="G1065" s="5" t="n">
        <v>16754</v>
      </c>
      <c r="H1065" s="5" t="n">
        <v>189</v>
      </c>
      <c r="I1065" s="5" t="n">
        <v>186</v>
      </c>
      <c r="J1065" s="5" t="n">
        <v>3</v>
      </c>
      <c r="K1065" s="10">
        <f>IF(F1065&gt;0,H1065/F1065,"")</f>
        <v/>
      </c>
      <c r="L1065" s="16">
        <f>IF(AND(G1065&gt;0,H1065&gt;0),G1065/H1065,"")</f>
        <v/>
      </c>
    </row>
    <row r="1066">
      <c r="A1066" s="4" t="inlineStr">
        <is>
          <t>122</t>
        </is>
      </c>
      <c r="B1066" s="4" t="n">
        <v>1</v>
      </c>
      <c r="C1066" s="4" t="inlineStr">
        <is>
          <t>mule deer</t>
        </is>
      </c>
      <c r="D1066" s="4" t="n">
        <v>2024</v>
      </c>
      <c r="E1066" s="13" t="inlineStr">
        <is>
          <t>General</t>
        </is>
      </c>
      <c r="F1066" s="5" t="n"/>
      <c r="G1066" s="5" t="n"/>
      <c r="H1066" s="5" t="n">
        <v>201</v>
      </c>
      <c r="I1066" s="5" t="n">
        <v>201</v>
      </c>
      <c r="J1066" s="5" t="n">
        <v>0</v>
      </c>
      <c r="K1066" s="10">
        <f>IF(F1066&gt;0,H1066/F1066,"")</f>
        <v/>
      </c>
      <c r="L1066" s="16">
        <f>IF(AND(G1066&gt;0,H1066&gt;0),G1066/H1066,"")</f>
        <v/>
      </c>
    </row>
    <row r="1067">
      <c r="A1067" s="4" t="inlineStr">
        <is>
          <t>122</t>
        </is>
      </c>
      <c r="B1067" s="4" t="n">
        <v>1</v>
      </c>
      <c r="C1067" s="4" t="inlineStr">
        <is>
          <t>mule deer</t>
        </is>
      </c>
      <c r="D1067" s="4" t="n">
        <v>2025</v>
      </c>
      <c r="E1067" s="13" t="inlineStr">
        <is>
          <t>General</t>
        </is>
      </c>
      <c r="F1067" s="5" t="n">
        <v>2412</v>
      </c>
      <c r="G1067" s="5" t="n">
        <v>18636</v>
      </c>
      <c r="H1067" s="5" t="n">
        <v>160</v>
      </c>
      <c r="I1067" s="5" t="n">
        <v>160</v>
      </c>
      <c r="J1067" s="5" t="n">
        <v>0</v>
      </c>
      <c r="K1067" s="10">
        <f>IF(F1067&gt;0,H1067/F1067,"")</f>
        <v/>
      </c>
      <c r="L1067" s="16">
        <f>IF(AND(G1067&gt;0,H1067&gt;0),G1067/H1067,"")</f>
        <v/>
      </c>
    </row>
    <row r="1068">
      <c r="A1068" s="4" t="inlineStr">
        <is>
          <t>123</t>
        </is>
      </c>
      <c r="B1068" s="4" t="n">
        <v>1</v>
      </c>
      <c r="C1068" s="4" t="inlineStr">
        <is>
          <t>mule deer</t>
        </is>
      </c>
      <c r="D1068" s="4" t="n">
        <v>2021</v>
      </c>
      <c r="E1068" s="13" t="inlineStr">
        <is>
          <t>General</t>
        </is>
      </c>
      <c r="F1068" s="5" t="n">
        <v>603</v>
      </c>
      <c r="G1068" s="5" t="n">
        <v>3638</v>
      </c>
      <c r="H1068" s="5" t="n">
        <v>19</v>
      </c>
      <c r="I1068" s="5" t="n">
        <v>19</v>
      </c>
      <c r="J1068" s="5" t="n">
        <v>0</v>
      </c>
      <c r="K1068" s="10">
        <f>IF(F1068&gt;0,H1068/F1068,"")</f>
        <v/>
      </c>
      <c r="L1068" s="16">
        <f>IF(AND(G1068&gt;0,H1068&gt;0),G1068/H1068,"")</f>
        <v/>
      </c>
    </row>
    <row r="1069">
      <c r="A1069" s="4" t="inlineStr">
        <is>
          <t>123</t>
        </is>
      </c>
      <c r="B1069" s="4" t="n">
        <v>1</v>
      </c>
      <c r="C1069" s="4" t="inlineStr">
        <is>
          <t>mule deer</t>
        </is>
      </c>
      <c r="D1069" s="4" t="n">
        <v>2022</v>
      </c>
      <c r="E1069" s="13" t="inlineStr">
        <is>
          <t>General</t>
        </is>
      </c>
      <c r="F1069" s="5" t="n"/>
      <c r="G1069" s="5" t="n"/>
      <c r="H1069" s="5" t="n">
        <v>26</v>
      </c>
      <c r="I1069" s="5" t="n">
        <v>26</v>
      </c>
      <c r="J1069" s="5" t="n">
        <v>0</v>
      </c>
      <c r="K1069" s="10">
        <f>IF(F1069&gt;0,H1069/F1069,"")</f>
        <v/>
      </c>
      <c r="L1069" s="16">
        <f>IF(AND(G1069&gt;0,H1069&gt;0),G1069/H1069,"")</f>
        <v/>
      </c>
    </row>
    <row r="1070">
      <c r="A1070" s="4" t="inlineStr">
        <is>
          <t>123</t>
        </is>
      </c>
      <c r="B1070" s="4" t="n">
        <v>1</v>
      </c>
      <c r="C1070" s="4" t="inlineStr">
        <is>
          <t>mule deer</t>
        </is>
      </c>
      <c r="D1070" s="4" t="n">
        <v>2023</v>
      </c>
      <c r="E1070" s="13" t="inlineStr">
        <is>
          <t>General</t>
        </is>
      </c>
      <c r="F1070" s="5" t="n">
        <v>585</v>
      </c>
      <c r="G1070" s="5" t="n">
        <v>5209</v>
      </c>
      <c r="H1070" s="5" t="n">
        <v>47</v>
      </c>
      <c r="I1070" s="5" t="n">
        <v>47</v>
      </c>
      <c r="J1070" s="5" t="n">
        <v>0</v>
      </c>
      <c r="K1070" s="10">
        <f>IF(F1070&gt;0,H1070/F1070,"")</f>
        <v/>
      </c>
      <c r="L1070" s="16">
        <f>IF(AND(G1070&gt;0,H1070&gt;0),G1070/H1070,"")</f>
        <v/>
      </c>
    </row>
    <row r="1071">
      <c r="A1071" s="4" t="inlineStr">
        <is>
          <t>123</t>
        </is>
      </c>
      <c r="B1071" s="4" t="n">
        <v>1</v>
      </c>
      <c r="C1071" s="4" t="inlineStr">
        <is>
          <t>mule deer</t>
        </is>
      </c>
      <c r="D1071" s="4" t="n">
        <v>2024</v>
      </c>
      <c r="E1071" s="13" t="inlineStr">
        <is>
          <t>General</t>
        </is>
      </c>
      <c r="F1071" s="5" t="n"/>
      <c r="G1071" s="5" t="n"/>
      <c r="H1071" s="5" t="n">
        <v>72</v>
      </c>
      <c r="I1071" s="5" t="n">
        <v>72</v>
      </c>
      <c r="J1071" s="5" t="n">
        <v>0</v>
      </c>
      <c r="K1071" s="10">
        <f>IF(F1071&gt;0,H1071/F1071,"")</f>
        <v/>
      </c>
      <c r="L1071" s="16">
        <f>IF(AND(G1071&gt;0,H1071&gt;0),G1071/H1071,"")</f>
        <v/>
      </c>
    </row>
    <row r="1072">
      <c r="A1072" s="4" t="inlineStr">
        <is>
          <t>123</t>
        </is>
      </c>
      <c r="B1072" s="4" t="n">
        <v>1</v>
      </c>
      <c r="C1072" s="4" t="inlineStr">
        <is>
          <t>mule deer</t>
        </is>
      </c>
      <c r="D1072" s="4" t="n">
        <v>2025</v>
      </c>
      <c r="E1072" s="13" t="inlineStr">
        <is>
          <t>General</t>
        </is>
      </c>
      <c r="F1072" s="5" t="n">
        <v>702</v>
      </c>
      <c r="G1072" s="5" t="n">
        <v>5564</v>
      </c>
      <c r="H1072" s="5" t="n">
        <v>53</v>
      </c>
      <c r="I1072" s="5" t="n">
        <v>53</v>
      </c>
      <c r="J1072" s="5" t="n">
        <v>0</v>
      </c>
      <c r="K1072" s="10">
        <f>IF(F1072&gt;0,H1072/F1072,"")</f>
        <v/>
      </c>
      <c r="L1072" s="16">
        <f>IF(AND(G1072&gt;0,H1072&gt;0),G1072/H1072,"")</f>
        <v/>
      </c>
    </row>
    <row r="1073">
      <c r="A1073" s="4" t="inlineStr">
        <is>
          <t>124</t>
        </is>
      </c>
      <c r="B1073" s="4" t="n">
        <v>1</v>
      </c>
      <c r="C1073" s="4" t="inlineStr">
        <is>
          <t>mule deer</t>
        </is>
      </c>
      <c r="D1073" s="4" t="n">
        <v>2021</v>
      </c>
      <c r="E1073" s="13" t="inlineStr">
        <is>
          <t>General</t>
        </is>
      </c>
      <c r="F1073" s="5" t="n">
        <v>425</v>
      </c>
      <c r="G1073" s="5" t="n">
        <v>3216</v>
      </c>
      <c r="H1073" s="5" t="n">
        <v>27</v>
      </c>
      <c r="I1073" s="5" t="n">
        <v>27</v>
      </c>
      <c r="J1073" s="5" t="n">
        <v>0</v>
      </c>
      <c r="K1073" s="10">
        <f>IF(F1073&gt;0,H1073/F1073,"")</f>
        <v/>
      </c>
      <c r="L1073" s="16">
        <f>IF(AND(G1073&gt;0,H1073&gt;0),G1073/H1073,"")</f>
        <v/>
      </c>
    </row>
    <row r="1074">
      <c r="A1074" s="4" t="inlineStr">
        <is>
          <t>124</t>
        </is>
      </c>
      <c r="B1074" s="4" t="n">
        <v>1</v>
      </c>
      <c r="C1074" s="4" t="inlineStr">
        <is>
          <t>mule deer</t>
        </is>
      </c>
      <c r="D1074" s="4" t="n">
        <v>2022</v>
      </c>
      <c r="E1074" s="13" t="inlineStr">
        <is>
          <t>General</t>
        </is>
      </c>
      <c r="F1074" s="5" t="n"/>
      <c r="G1074" s="5" t="n"/>
      <c r="H1074" s="5" t="n">
        <v>71</v>
      </c>
      <c r="I1074" s="5" t="n">
        <v>71</v>
      </c>
      <c r="J1074" s="5" t="n">
        <v>0</v>
      </c>
      <c r="K1074" s="10">
        <f>IF(F1074&gt;0,H1074/F1074,"")</f>
        <v/>
      </c>
      <c r="L1074" s="16">
        <f>IF(AND(G1074&gt;0,H1074&gt;0),G1074/H1074,"")</f>
        <v/>
      </c>
    </row>
    <row r="1075">
      <c r="A1075" s="4" t="inlineStr">
        <is>
          <t>124</t>
        </is>
      </c>
      <c r="B1075" s="4" t="n">
        <v>1</v>
      </c>
      <c r="C1075" s="4" t="inlineStr">
        <is>
          <t>mule deer</t>
        </is>
      </c>
      <c r="D1075" s="4" t="n">
        <v>2023</v>
      </c>
      <c r="E1075" s="13" t="inlineStr">
        <is>
          <t>General</t>
        </is>
      </c>
      <c r="F1075" s="5" t="n">
        <v>446</v>
      </c>
      <c r="G1075" s="5" t="n">
        <v>3681</v>
      </c>
      <c r="H1075" s="5" t="n">
        <v>65</v>
      </c>
      <c r="I1075" s="5" t="n">
        <v>63</v>
      </c>
      <c r="J1075" s="5" t="n">
        <v>2</v>
      </c>
      <c r="K1075" s="10">
        <f>IF(F1075&gt;0,H1075/F1075,"")</f>
        <v/>
      </c>
      <c r="L1075" s="16">
        <f>IF(AND(G1075&gt;0,H1075&gt;0),G1075/H1075,"")</f>
        <v/>
      </c>
    </row>
    <row r="1076">
      <c r="A1076" s="4" t="inlineStr">
        <is>
          <t>124</t>
        </is>
      </c>
      <c r="B1076" s="4" t="n">
        <v>1</v>
      </c>
      <c r="C1076" s="4" t="inlineStr">
        <is>
          <t>mule deer</t>
        </is>
      </c>
      <c r="D1076" s="4" t="n">
        <v>2024</v>
      </c>
      <c r="E1076" s="13" t="inlineStr">
        <is>
          <t>General</t>
        </is>
      </c>
      <c r="F1076" s="5" t="n"/>
      <c r="G1076" s="5" t="n"/>
      <c r="H1076" s="5" t="n">
        <v>53</v>
      </c>
      <c r="I1076" s="5" t="n">
        <v>53</v>
      </c>
      <c r="J1076" s="5" t="n">
        <v>0</v>
      </c>
      <c r="K1076" s="10">
        <f>IF(F1076&gt;0,H1076/F1076,"")</f>
        <v/>
      </c>
      <c r="L1076" s="16">
        <f>IF(AND(G1076&gt;0,H1076&gt;0),G1076/H1076,"")</f>
        <v/>
      </c>
    </row>
    <row r="1077">
      <c r="A1077" s="4" t="inlineStr">
        <is>
          <t>124</t>
        </is>
      </c>
      <c r="B1077" s="4" t="n">
        <v>1</v>
      </c>
      <c r="C1077" s="4" t="inlineStr">
        <is>
          <t>mule deer</t>
        </is>
      </c>
      <c r="D1077" s="4" t="n">
        <v>2025</v>
      </c>
      <c r="E1077" s="13" t="inlineStr">
        <is>
          <t>General</t>
        </is>
      </c>
      <c r="F1077" s="5" t="n">
        <v>441</v>
      </c>
      <c r="G1077" s="5" t="n">
        <v>3426</v>
      </c>
      <c r="H1077" s="5" t="n">
        <v>75</v>
      </c>
      <c r="I1077" s="5" t="n">
        <v>75</v>
      </c>
      <c r="J1077" s="5" t="n">
        <v>0</v>
      </c>
      <c r="K1077" s="10">
        <f>IF(F1077&gt;0,H1077/F1077,"")</f>
        <v/>
      </c>
      <c r="L1077" s="16">
        <f>IF(AND(G1077&gt;0,H1077&gt;0),G1077/H1077,"")</f>
        <v/>
      </c>
    </row>
    <row r="1078">
      <c r="A1078" s="4" t="inlineStr">
        <is>
          <t>130</t>
        </is>
      </c>
      <c r="B1078" s="4" t="n">
        <v>1</v>
      </c>
      <c r="C1078" s="4" t="inlineStr">
        <is>
          <t>mule deer</t>
        </is>
      </c>
      <c r="D1078" s="4" t="n">
        <v>2021</v>
      </c>
      <c r="E1078" s="13" t="inlineStr">
        <is>
          <t>General</t>
        </is>
      </c>
      <c r="F1078" s="5" t="n">
        <v>1820</v>
      </c>
      <c r="G1078" s="5" t="n">
        <v>11720</v>
      </c>
      <c r="H1078" s="5" t="n">
        <v>14</v>
      </c>
      <c r="I1078" s="5" t="n">
        <v>14</v>
      </c>
      <c r="J1078" s="5" t="n">
        <v>0</v>
      </c>
      <c r="K1078" s="10">
        <f>IF(F1078&gt;0,H1078/F1078,"")</f>
        <v/>
      </c>
      <c r="L1078" s="16">
        <f>IF(AND(G1078&gt;0,H1078&gt;0),G1078/H1078,"")</f>
        <v/>
      </c>
    </row>
    <row r="1079">
      <c r="A1079" s="4" t="inlineStr">
        <is>
          <t>130</t>
        </is>
      </c>
      <c r="B1079" s="4" t="n">
        <v>1</v>
      </c>
      <c r="C1079" s="4" t="inlineStr">
        <is>
          <t>mule deer</t>
        </is>
      </c>
      <c r="D1079" s="4" t="n">
        <v>2022</v>
      </c>
      <c r="E1079" s="13" t="inlineStr">
        <is>
          <t>General</t>
        </is>
      </c>
      <c r="F1079" s="5" t="n"/>
      <c r="G1079" s="5" t="n"/>
      <c r="H1079" s="5" t="n">
        <v>33</v>
      </c>
      <c r="I1079" s="5" t="n">
        <v>26</v>
      </c>
      <c r="J1079" s="5" t="n">
        <v>7</v>
      </c>
      <c r="K1079" s="10">
        <f>IF(F1079&gt;0,H1079/F1079,"")</f>
        <v/>
      </c>
      <c r="L1079" s="16">
        <f>IF(AND(G1079&gt;0,H1079&gt;0),G1079/H1079,"")</f>
        <v/>
      </c>
    </row>
    <row r="1080">
      <c r="A1080" s="4" t="inlineStr">
        <is>
          <t>130</t>
        </is>
      </c>
      <c r="B1080" s="4" t="n">
        <v>1</v>
      </c>
      <c r="C1080" s="4" t="inlineStr">
        <is>
          <t>mule deer</t>
        </is>
      </c>
      <c r="D1080" s="4" t="n">
        <v>2023</v>
      </c>
      <c r="E1080" s="13" t="inlineStr">
        <is>
          <t>General</t>
        </is>
      </c>
      <c r="F1080" s="5" t="n">
        <v>1785</v>
      </c>
      <c r="G1080" s="5" t="n">
        <v>11029</v>
      </c>
      <c r="H1080" s="5" t="n">
        <v>20</v>
      </c>
      <c r="I1080" s="5" t="n">
        <v>20</v>
      </c>
      <c r="J1080" s="5" t="n">
        <v>0</v>
      </c>
      <c r="K1080" s="10">
        <f>IF(F1080&gt;0,H1080/F1080,"")</f>
        <v/>
      </c>
      <c r="L1080" s="16">
        <f>IF(AND(G1080&gt;0,H1080&gt;0),G1080/H1080,"")</f>
        <v/>
      </c>
    </row>
    <row r="1081">
      <c r="A1081" s="4" t="inlineStr">
        <is>
          <t>130</t>
        </is>
      </c>
      <c r="B1081" s="4" t="n">
        <v>1</v>
      </c>
      <c r="C1081" s="4" t="inlineStr">
        <is>
          <t>mule deer</t>
        </is>
      </c>
      <c r="D1081" s="4" t="n">
        <v>2024</v>
      </c>
      <c r="E1081" s="13" t="inlineStr">
        <is>
          <t>General</t>
        </is>
      </c>
      <c r="F1081" s="5" t="n"/>
      <c r="G1081" s="5" t="n"/>
      <c r="H1081" s="5" t="n">
        <v>32</v>
      </c>
      <c r="I1081" s="5" t="n">
        <v>32</v>
      </c>
      <c r="J1081" s="5" t="n">
        <v>0</v>
      </c>
      <c r="K1081" s="10">
        <f>IF(F1081&gt;0,H1081/F1081,"")</f>
        <v/>
      </c>
      <c r="L1081" s="16">
        <f>IF(AND(G1081&gt;0,H1081&gt;0),G1081/H1081,"")</f>
        <v/>
      </c>
    </row>
    <row r="1082">
      <c r="A1082" s="4" t="inlineStr">
        <is>
          <t>130</t>
        </is>
      </c>
      <c r="B1082" s="4" t="n">
        <v>1</v>
      </c>
      <c r="C1082" s="4" t="inlineStr">
        <is>
          <t>mule deer</t>
        </is>
      </c>
      <c r="D1082" s="4" t="n">
        <v>2025</v>
      </c>
      <c r="E1082" s="13" t="inlineStr">
        <is>
          <t>General</t>
        </is>
      </c>
      <c r="F1082" s="5" t="n">
        <v>2069</v>
      </c>
      <c r="G1082" s="5" t="n">
        <v>12295</v>
      </c>
      <c r="H1082" s="5" t="n">
        <v>45</v>
      </c>
      <c r="I1082" s="5" t="n">
        <v>45</v>
      </c>
      <c r="J1082" s="5" t="n">
        <v>0</v>
      </c>
      <c r="K1082" s="10">
        <f>IF(F1082&gt;0,H1082/F1082,"")</f>
        <v/>
      </c>
      <c r="L1082" s="16">
        <f>IF(AND(G1082&gt;0,H1082&gt;0),G1082/H1082,"")</f>
        <v/>
      </c>
    </row>
    <row r="1083">
      <c r="A1083" s="4" t="inlineStr">
        <is>
          <t>140</t>
        </is>
      </c>
      <c r="B1083" s="4" t="n">
        <v>1</v>
      </c>
      <c r="C1083" s="4" t="inlineStr">
        <is>
          <t>mule deer</t>
        </is>
      </c>
      <c r="D1083" s="4" t="n">
        <v>2021</v>
      </c>
      <c r="E1083" s="13" t="inlineStr">
        <is>
          <t>General</t>
        </is>
      </c>
      <c r="F1083" s="5" t="n">
        <v>638</v>
      </c>
      <c r="G1083" s="5" t="n">
        <v>4400</v>
      </c>
      <c r="H1083" s="5" t="n">
        <v>28</v>
      </c>
      <c r="I1083" s="5" t="n">
        <v>28</v>
      </c>
      <c r="J1083" s="5" t="n">
        <v>0</v>
      </c>
      <c r="K1083" s="10">
        <f>IF(F1083&gt;0,H1083/F1083,"")</f>
        <v/>
      </c>
      <c r="L1083" s="16">
        <f>IF(AND(G1083&gt;0,H1083&gt;0),G1083/H1083,"")</f>
        <v/>
      </c>
    </row>
    <row r="1084">
      <c r="A1084" s="4" t="inlineStr">
        <is>
          <t>140</t>
        </is>
      </c>
      <c r="B1084" s="4" t="n">
        <v>1</v>
      </c>
      <c r="C1084" s="4" t="inlineStr">
        <is>
          <t>mule deer</t>
        </is>
      </c>
      <c r="D1084" s="4" t="n">
        <v>2022</v>
      </c>
      <c r="E1084" s="13" t="inlineStr">
        <is>
          <t>General</t>
        </is>
      </c>
      <c r="F1084" s="5" t="n"/>
      <c r="G1084" s="5" t="n"/>
      <c r="H1084" s="5" t="n">
        <v>36</v>
      </c>
      <c r="I1084" s="5" t="n">
        <v>36</v>
      </c>
      <c r="J1084" s="5" t="n">
        <v>0</v>
      </c>
      <c r="K1084" s="10">
        <f>IF(F1084&gt;0,H1084/F1084,"")</f>
        <v/>
      </c>
      <c r="L1084" s="16">
        <f>IF(AND(G1084&gt;0,H1084&gt;0),G1084/H1084,"")</f>
        <v/>
      </c>
    </row>
    <row r="1085">
      <c r="A1085" s="4" t="inlineStr">
        <is>
          <t>140</t>
        </is>
      </c>
      <c r="B1085" s="4" t="n">
        <v>1</v>
      </c>
      <c r="C1085" s="4" t="inlineStr">
        <is>
          <t>mule deer</t>
        </is>
      </c>
      <c r="D1085" s="4" t="n">
        <v>2023</v>
      </c>
      <c r="E1085" s="13" t="inlineStr">
        <is>
          <t>General</t>
        </is>
      </c>
      <c r="F1085" s="5" t="n">
        <v>628</v>
      </c>
      <c r="G1085" s="5" t="n">
        <v>4228</v>
      </c>
      <c r="H1085" s="5" t="n">
        <v>44</v>
      </c>
      <c r="I1085" s="5" t="n">
        <v>40</v>
      </c>
      <c r="J1085" s="5" t="n">
        <v>3</v>
      </c>
      <c r="K1085" s="10">
        <f>IF(F1085&gt;0,H1085/F1085,"")</f>
        <v/>
      </c>
      <c r="L1085" s="16">
        <f>IF(AND(G1085&gt;0,H1085&gt;0),G1085/H1085,"")</f>
        <v/>
      </c>
    </row>
    <row r="1086">
      <c r="A1086" s="4" t="inlineStr">
        <is>
          <t>140</t>
        </is>
      </c>
      <c r="B1086" s="4" t="n">
        <v>1</v>
      </c>
      <c r="C1086" s="4" t="inlineStr">
        <is>
          <t>mule deer</t>
        </is>
      </c>
      <c r="D1086" s="4" t="n">
        <v>2024</v>
      </c>
      <c r="E1086" s="13" t="inlineStr">
        <is>
          <t>General</t>
        </is>
      </c>
      <c r="F1086" s="5" t="n"/>
      <c r="G1086" s="5" t="n"/>
      <c r="H1086" s="5" t="n">
        <v>31</v>
      </c>
      <c r="I1086" s="5" t="n">
        <v>31</v>
      </c>
      <c r="J1086" s="5" t="n">
        <v>0</v>
      </c>
      <c r="K1086" s="10">
        <f>IF(F1086&gt;0,H1086/F1086,"")</f>
        <v/>
      </c>
      <c r="L1086" s="16">
        <f>IF(AND(G1086&gt;0,H1086&gt;0),G1086/H1086,"")</f>
        <v/>
      </c>
    </row>
    <row r="1087">
      <c r="A1087" s="4" t="inlineStr">
        <is>
          <t>140</t>
        </is>
      </c>
      <c r="B1087" s="4" t="n">
        <v>1</v>
      </c>
      <c r="C1087" s="4" t="inlineStr">
        <is>
          <t>mule deer</t>
        </is>
      </c>
      <c r="D1087" s="4" t="n">
        <v>2025</v>
      </c>
      <c r="E1087" s="13" t="inlineStr">
        <is>
          <t>General</t>
        </is>
      </c>
      <c r="F1087" s="5" t="n">
        <v>750</v>
      </c>
      <c r="G1087" s="5" t="n">
        <v>4851</v>
      </c>
      <c r="H1087" s="5" t="n">
        <v>33</v>
      </c>
      <c r="I1087" s="5" t="n">
        <v>33</v>
      </c>
      <c r="J1087" s="5" t="n">
        <v>0</v>
      </c>
      <c r="K1087" s="10">
        <f>IF(F1087&gt;0,H1087/F1087,"")</f>
        <v/>
      </c>
      <c r="L1087" s="16">
        <f>IF(AND(G1087&gt;0,H1087&gt;0),G1087/H1087,"")</f>
        <v/>
      </c>
    </row>
    <row r="1088">
      <c r="A1088" s="4" t="inlineStr">
        <is>
          <t>141</t>
        </is>
      </c>
      <c r="B1088" s="4" t="n">
        <v>1</v>
      </c>
      <c r="C1088" s="4" t="inlineStr">
        <is>
          <t>mule deer</t>
        </is>
      </c>
      <c r="D1088" s="4" t="n">
        <v>2021</v>
      </c>
      <c r="E1088" s="13" t="inlineStr">
        <is>
          <t>General</t>
        </is>
      </c>
      <c r="F1088" s="5" t="n">
        <v>81</v>
      </c>
      <c r="G1088" s="5" t="n">
        <v>694</v>
      </c>
      <c r="H1088" s="5" t="n">
        <v>11</v>
      </c>
      <c r="I1088" s="5" t="n">
        <v>11</v>
      </c>
      <c r="J1088" s="5" t="n">
        <v>0</v>
      </c>
      <c r="K1088" s="10">
        <f>IF(F1088&gt;0,H1088/F1088,"")</f>
        <v/>
      </c>
      <c r="L1088" s="16">
        <f>IF(AND(G1088&gt;0,H1088&gt;0),G1088/H1088,"")</f>
        <v/>
      </c>
    </row>
    <row r="1089">
      <c r="A1089" s="4" t="inlineStr">
        <is>
          <t>141</t>
        </is>
      </c>
      <c r="B1089" s="4" t="n">
        <v>1</v>
      </c>
      <c r="C1089" s="4" t="inlineStr">
        <is>
          <t>mule deer</t>
        </is>
      </c>
      <c r="D1089" s="4" t="n">
        <v>2022</v>
      </c>
      <c r="E1089" s="13" t="inlineStr">
        <is>
          <t>General</t>
        </is>
      </c>
      <c r="F1089" s="5" t="n"/>
      <c r="G1089" s="5" t="n"/>
      <c r="H1089" s="5" t="n">
        <v>7</v>
      </c>
      <c r="I1089" s="5" t="n">
        <v>7</v>
      </c>
      <c r="J1089" s="5" t="n">
        <v>0</v>
      </c>
      <c r="K1089" s="10">
        <f>IF(F1089&gt;0,H1089/F1089,"")</f>
        <v/>
      </c>
      <c r="L1089" s="16">
        <f>IF(AND(G1089&gt;0,H1089&gt;0),G1089/H1089,"")</f>
        <v/>
      </c>
    </row>
    <row r="1090">
      <c r="A1090" s="4" t="inlineStr">
        <is>
          <t>141</t>
        </is>
      </c>
      <c r="B1090" s="4" t="n">
        <v>1</v>
      </c>
      <c r="C1090" s="4" t="inlineStr">
        <is>
          <t>mule deer</t>
        </is>
      </c>
      <c r="D1090" s="4" t="n">
        <v>2023</v>
      </c>
      <c r="E1090" s="13" t="inlineStr">
        <is>
          <t>General</t>
        </is>
      </c>
      <c r="F1090" s="5" t="n">
        <v>74</v>
      </c>
      <c r="G1090" s="5" t="n">
        <v>390</v>
      </c>
      <c r="H1090" s="5" t="n">
        <v>10</v>
      </c>
      <c r="I1090" s="5" t="n">
        <v>7</v>
      </c>
      <c r="J1090" s="5" t="n">
        <v>3</v>
      </c>
      <c r="K1090" s="10">
        <f>IF(F1090&gt;0,H1090/F1090,"")</f>
        <v/>
      </c>
      <c r="L1090" s="16">
        <f>IF(AND(G1090&gt;0,H1090&gt;0),G1090/H1090,"")</f>
        <v/>
      </c>
    </row>
    <row r="1091">
      <c r="A1091" s="4" t="inlineStr">
        <is>
          <t>141</t>
        </is>
      </c>
      <c r="B1091" s="4" t="n">
        <v>1</v>
      </c>
      <c r="C1091" s="4" t="inlineStr">
        <is>
          <t>mule deer</t>
        </is>
      </c>
      <c r="D1091" s="4" t="n">
        <v>2024</v>
      </c>
      <c r="E1091" s="13" t="inlineStr">
        <is>
          <t>General</t>
        </is>
      </c>
      <c r="F1091" s="5" t="n"/>
      <c r="G1091" s="5" t="n"/>
      <c r="H1091" s="5" t="n">
        <v>3</v>
      </c>
      <c r="I1091" s="5" t="n">
        <v>3</v>
      </c>
      <c r="J1091" s="5" t="n">
        <v>0</v>
      </c>
      <c r="K1091" s="10">
        <f>IF(F1091&gt;0,H1091/F1091,"")</f>
        <v/>
      </c>
      <c r="L1091" s="16">
        <f>IF(AND(G1091&gt;0,H1091&gt;0),G1091/H1091,"")</f>
        <v/>
      </c>
    </row>
    <row r="1092">
      <c r="A1092" s="4" t="inlineStr">
        <is>
          <t>141</t>
        </is>
      </c>
      <c r="B1092" s="4" t="n">
        <v>1</v>
      </c>
      <c r="C1092" s="4" t="inlineStr">
        <is>
          <t>mule deer</t>
        </is>
      </c>
      <c r="D1092" s="4" t="n">
        <v>2025</v>
      </c>
      <c r="E1092" s="13" t="inlineStr">
        <is>
          <t>General</t>
        </is>
      </c>
      <c r="F1092" s="5" t="n">
        <v>139</v>
      </c>
      <c r="G1092" s="5" t="n">
        <v>1103</v>
      </c>
      <c r="H1092" s="5" t="n">
        <v>7</v>
      </c>
      <c r="I1092" s="5" t="n">
        <v>7</v>
      </c>
      <c r="J1092" s="5" t="n">
        <v>0</v>
      </c>
      <c r="K1092" s="10">
        <f>IF(F1092&gt;0,H1092/F1092,"")</f>
        <v/>
      </c>
      <c r="L1092" s="16">
        <f>IF(AND(G1092&gt;0,H1092&gt;0),G1092/H1092,"")</f>
        <v/>
      </c>
    </row>
    <row r="1093">
      <c r="A1093" s="4" t="inlineStr">
        <is>
          <t>150</t>
        </is>
      </c>
      <c r="B1093" s="4" t="n">
        <v>1</v>
      </c>
      <c r="C1093" s="4" t="inlineStr">
        <is>
          <t>mule deer</t>
        </is>
      </c>
      <c r="D1093" s="4" t="n">
        <v>2021</v>
      </c>
      <c r="E1093" s="13" t="inlineStr">
        <is>
          <t>General</t>
        </is>
      </c>
      <c r="F1093" s="5" t="n">
        <v>138</v>
      </c>
      <c r="G1093" s="5" t="n">
        <v>1096</v>
      </c>
      <c r="H1093" s="5" t="n">
        <v>8</v>
      </c>
      <c r="I1093" s="5" t="n">
        <v>8</v>
      </c>
      <c r="J1093" s="5" t="n">
        <v>0</v>
      </c>
      <c r="K1093" s="10">
        <f>IF(F1093&gt;0,H1093/F1093,"")</f>
        <v/>
      </c>
      <c r="L1093" s="16">
        <f>IF(AND(G1093&gt;0,H1093&gt;0),G1093/H1093,"")</f>
        <v/>
      </c>
    </row>
    <row r="1094">
      <c r="A1094" s="4" t="inlineStr">
        <is>
          <t>150</t>
        </is>
      </c>
      <c r="B1094" s="4" t="n">
        <v>1</v>
      </c>
      <c r="C1094" s="4" t="inlineStr">
        <is>
          <t>mule deer</t>
        </is>
      </c>
      <c r="D1094" s="4" t="n">
        <v>2022</v>
      </c>
      <c r="E1094" s="13" t="inlineStr">
        <is>
          <t>General</t>
        </is>
      </c>
      <c r="F1094" s="5" t="n"/>
      <c r="G1094" s="5" t="n"/>
      <c r="H1094" s="5" t="n">
        <v>10</v>
      </c>
      <c r="I1094" s="5" t="n">
        <v>7</v>
      </c>
      <c r="J1094" s="5" t="n">
        <v>3</v>
      </c>
      <c r="K1094" s="10">
        <f>IF(F1094&gt;0,H1094/F1094,"")</f>
        <v/>
      </c>
      <c r="L1094" s="16">
        <f>IF(AND(G1094&gt;0,H1094&gt;0),G1094/H1094,"")</f>
        <v/>
      </c>
    </row>
    <row r="1095">
      <c r="A1095" s="4" t="inlineStr">
        <is>
          <t>150</t>
        </is>
      </c>
      <c r="B1095" s="4" t="n">
        <v>1</v>
      </c>
      <c r="C1095" s="4" t="inlineStr">
        <is>
          <t>mule deer</t>
        </is>
      </c>
      <c r="D1095" s="4" t="n">
        <v>2023</v>
      </c>
      <c r="E1095" s="13" t="inlineStr">
        <is>
          <t>General</t>
        </is>
      </c>
      <c r="F1095" s="5" t="n">
        <v>205</v>
      </c>
      <c r="G1095" s="5" t="n">
        <v>1388</v>
      </c>
      <c r="H1095" s="5" t="n">
        <v>9</v>
      </c>
      <c r="I1095" s="5" t="n">
        <v>9</v>
      </c>
      <c r="J1095" s="5" t="n">
        <v>0</v>
      </c>
      <c r="K1095" s="10">
        <f>IF(F1095&gt;0,H1095/F1095,"")</f>
        <v/>
      </c>
      <c r="L1095" s="16">
        <f>IF(AND(G1095&gt;0,H1095&gt;0),G1095/H1095,"")</f>
        <v/>
      </c>
    </row>
    <row r="1096">
      <c r="A1096" s="4" t="inlineStr">
        <is>
          <t>150</t>
        </is>
      </c>
      <c r="B1096" s="4" t="n">
        <v>1</v>
      </c>
      <c r="C1096" s="4" t="inlineStr">
        <is>
          <t>mule deer</t>
        </is>
      </c>
      <c r="D1096" s="4" t="n">
        <v>2024</v>
      </c>
      <c r="E1096" s="13" t="inlineStr">
        <is>
          <t>General</t>
        </is>
      </c>
      <c r="F1096" s="5" t="n"/>
      <c r="G1096" s="5" t="n"/>
      <c r="H1096" s="5" t="n">
        <v>12</v>
      </c>
      <c r="I1096" s="5" t="n">
        <v>12</v>
      </c>
      <c r="J1096" s="5" t="n">
        <v>0</v>
      </c>
      <c r="K1096" s="10">
        <f>IF(F1096&gt;0,H1096/F1096,"")</f>
        <v/>
      </c>
      <c r="L1096" s="16">
        <f>IF(AND(G1096&gt;0,H1096&gt;0),G1096/H1096,"")</f>
        <v/>
      </c>
    </row>
    <row r="1097">
      <c r="A1097" s="4" t="inlineStr">
        <is>
          <t>150</t>
        </is>
      </c>
      <c r="B1097" s="4" t="n">
        <v>1</v>
      </c>
      <c r="C1097" s="4" t="inlineStr">
        <is>
          <t>mule deer</t>
        </is>
      </c>
      <c r="D1097" s="4" t="n">
        <v>2025</v>
      </c>
      <c r="E1097" s="13" t="inlineStr">
        <is>
          <t>General</t>
        </is>
      </c>
      <c r="F1097" s="5" t="n">
        <v>275</v>
      </c>
      <c r="G1097" s="5" t="n">
        <v>1747</v>
      </c>
      <c r="H1097" s="5" t="n">
        <v>10</v>
      </c>
      <c r="I1097" s="5" t="n">
        <v>10</v>
      </c>
      <c r="J1097" s="5" t="n">
        <v>0</v>
      </c>
      <c r="K1097" s="10">
        <f>IF(F1097&gt;0,H1097/F1097,"")</f>
        <v/>
      </c>
      <c r="L1097" s="16">
        <f>IF(AND(G1097&gt;0,H1097&gt;0),G1097/H1097,"")</f>
        <v/>
      </c>
    </row>
    <row r="1098">
      <c r="A1098" s="4" t="inlineStr">
        <is>
          <t>170</t>
        </is>
      </c>
      <c r="B1098" s="4" t="n">
        <v>1</v>
      </c>
      <c r="C1098" s="4" t="inlineStr">
        <is>
          <t>mule deer</t>
        </is>
      </c>
      <c r="D1098" s="4" t="n">
        <v>2021</v>
      </c>
      <c r="E1098" s="13" t="inlineStr">
        <is>
          <t>General</t>
        </is>
      </c>
      <c r="F1098" s="5" t="n">
        <v>2244</v>
      </c>
      <c r="G1098" s="5" t="n">
        <v>14012</v>
      </c>
      <c r="H1098" s="5" t="n">
        <v>48</v>
      </c>
      <c r="I1098" s="5" t="n">
        <v>27</v>
      </c>
      <c r="J1098" s="5" t="n">
        <v>20</v>
      </c>
      <c r="K1098" s="10">
        <f>IF(F1098&gt;0,H1098/F1098,"")</f>
        <v/>
      </c>
      <c r="L1098" s="16">
        <f>IF(AND(G1098&gt;0,H1098&gt;0),G1098/H1098,"")</f>
        <v/>
      </c>
    </row>
    <row r="1099">
      <c r="A1099" s="4" t="inlineStr">
        <is>
          <t>170</t>
        </is>
      </c>
      <c r="B1099" s="4" t="n">
        <v>1</v>
      </c>
      <c r="C1099" s="4" t="inlineStr">
        <is>
          <t>mule deer</t>
        </is>
      </c>
      <c r="D1099" s="4" t="n">
        <v>2022</v>
      </c>
      <c r="E1099" s="13" t="inlineStr">
        <is>
          <t>General</t>
        </is>
      </c>
      <c r="F1099" s="5" t="n"/>
      <c r="G1099" s="5" t="n"/>
      <c r="H1099" s="5" t="n">
        <v>40</v>
      </c>
      <c r="I1099" s="5" t="n">
        <v>23</v>
      </c>
      <c r="J1099" s="5" t="n">
        <v>17</v>
      </c>
      <c r="K1099" s="10">
        <f>IF(F1099&gt;0,H1099/F1099,"")</f>
        <v/>
      </c>
      <c r="L1099" s="16">
        <f>IF(AND(G1099&gt;0,H1099&gt;0),G1099/H1099,"")</f>
        <v/>
      </c>
    </row>
    <row r="1100">
      <c r="A1100" s="4" t="inlineStr">
        <is>
          <t>170</t>
        </is>
      </c>
      <c r="B1100" s="4" t="n">
        <v>1</v>
      </c>
      <c r="C1100" s="4" t="inlineStr">
        <is>
          <t>mule deer</t>
        </is>
      </c>
      <c r="D1100" s="4" t="n">
        <v>2023</v>
      </c>
      <c r="E1100" s="13" t="inlineStr">
        <is>
          <t>General</t>
        </is>
      </c>
      <c r="F1100" s="5" t="n">
        <v>2431</v>
      </c>
      <c r="G1100" s="5" t="n">
        <v>15560</v>
      </c>
      <c r="H1100" s="5" t="n">
        <v>44</v>
      </c>
      <c r="I1100" s="5" t="n">
        <v>34</v>
      </c>
      <c r="J1100" s="5" t="n">
        <v>10</v>
      </c>
      <c r="K1100" s="10">
        <f>IF(F1100&gt;0,H1100/F1100,"")</f>
        <v/>
      </c>
      <c r="L1100" s="16">
        <f>IF(AND(G1100&gt;0,H1100&gt;0),G1100/H1100,"")</f>
        <v/>
      </c>
    </row>
    <row r="1101">
      <c r="A1101" s="4" t="inlineStr">
        <is>
          <t>170</t>
        </is>
      </c>
      <c r="B1101" s="4" t="n">
        <v>1</v>
      </c>
      <c r="C1101" s="4" t="inlineStr">
        <is>
          <t>mule deer</t>
        </is>
      </c>
      <c r="D1101" s="4" t="n">
        <v>2024</v>
      </c>
      <c r="E1101" s="13" t="inlineStr">
        <is>
          <t>General</t>
        </is>
      </c>
      <c r="F1101" s="5" t="n"/>
      <c r="G1101" s="5" t="n"/>
      <c r="H1101" s="5" t="n">
        <v>36</v>
      </c>
      <c r="I1101" s="5" t="n">
        <v>30</v>
      </c>
      <c r="J1101" s="5" t="n">
        <v>2</v>
      </c>
      <c r="K1101" s="10">
        <f>IF(F1101&gt;0,H1101/F1101,"")</f>
        <v/>
      </c>
      <c r="L1101" s="16">
        <f>IF(AND(G1101&gt;0,H1101&gt;0),G1101/H1101,"")</f>
        <v/>
      </c>
    </row>
    <row r="1102">
      <c r="A1102" s="4" t="inlineStr">
        <is>
          <t>170</t>
        </is>
      </c>
      <c r="B1102" s="4" t="n">
        <v>1</v>
      </c>
      <c r="C1102" s="4" t="inlineStr">
        <is>
          <t>mule deer</t>
        </is>
      </c>
      <c r="D1102" s="4" t="n">
        <v>2025</v>
      </c>
      <c r="E1102" s="13" t="inlineStr">
        <is>
          <t>General</t>
        </is>
      </c>
      <c r="F1102" s="5" t="n">
        <v>2713</v>
      </c>
      <c r="G1102" s="5" t="n">
        <v>19536</v>
      </c>
      <c r="H1102" s="5" t="n">
        <v>22</v>
      </c>
      <c r="I1102" s="5" t="n">
        <v>4</v>
      </c>
      <c r="J1102" s="5" t="n">
        <v>18</v>
      </c>
      <c r="K1102" s="10">
        <f>IF(F1102&gt;0,H1102/F1102,"")</f>
        <v/>
      </c>
      <c r="L1102" s="16">
        <f>IF(AND(G1102&gt;0,H1102&gt;0),G1102/H1102,"")</f>
        <v/>
      </c>
    </row>
    <row r="1103">
      <c r="A1103" s="4" t="inlineStr">
        <is>
          <t>200</t>
        </is>
      </c>
      <c r="B1103" s="4" t="n">
        <v>2</v>
      </c>
      <c r="C1103" s="4" t="inlineStr">
        <is>
          <t>mule deer</t>
        </is>
      </c>
      <c r="D1103" s="4" t="n">
        <v>2021</v>
      </c>
      <c r="E1103" s="13" t="inlineStr">
        <is>
          <t>General</t>
        </is>
      </c>
      <c r="F1103" s="5" t="n">
        <v>673</v>
      </c>
      <c r="G1103" s="5" t="n">
        <v>5623</v>
      </c>
      <c r="H1103" s="5" t="n">
        <v>23</v>
      </c>
      <c r="I1103" s="5" t="n">
        <v>23</v>
      </c>
      <c r="J1103" s="5" t="n">
        <v>0</v>
      </c>
      <c r="K1103" s="10">
        <f>IF(F1103&gt;0,H1103/F1103,"")</f>
        <v/>
      </c>
      <c r="L1103" s="16">
        <f>IF(AND(G1103&gt;0,H1103&gt;0),G1103/H1103,"")</f>
        <v/>
      </c>
    </row>
    <row r="1104">
      <c r="A1104" s="4" t="inlineStr">
        <is>
          <t>200</t>
        </is>
      </c>
      <c r="B1104" s="4" t="n">
        <v>2</v>
      </c>
      <c r="C1104" s="4" t="inlineStr">
        <is>
          <t>mule deer</t>
        </is>
      </c>
      <c r="D1104" s="4" t="n">
        <v>2022</v>
      </c>
      <c r="E1104" s="13" t="inlineStr">
        <is>
          <t>General</t>
        </is>
      </c>
      <c r="F1104" s="5" t="n"/>
      <c r="G1104" s="5" t="n"/>
      <c r="H1104" s="5" t="n">
        <v>10</v>
      </c>
      <c r="I1104" s="5" t="n">
        <v>10</v>
      </c>
      <c r="J1104" s="5" t="n">
        <v>0</v>
      </c>
      <c r="K1104" s="10">
        <f>IF(F1104&gt;0,H1104/F1104,"")</f>
        <v/>
      </c>
      <c r="L1104" s="16">
        <f>IF(AND(G1104&gt;0,H1104&gt;0),G1104/H1104,"")</f>
        <v/>
      </c>
    </row>
    <row r="1105">
      <c r="A1105" s="4" t="inlineStr">
        <is>
          <t>200</t>
        </is>
      </c>
      <c r="B1105" s="4" t="n">
        <v>2</v>
      </c>
      <c r="C1105" s="4" t="inlineStr">
        <is>
          <t>mule deer</t>
        </is>
      </c>
      <c r="D1105" s="4" t="n">
        <v>2023</v>
      </c>
      <c r="E1105" s="13" t="inlineStr">
        <is>
          <t>General</t>
        </is>
      </c>
      <c r="F1105" s="5" t="n">
        <v>750</v>
      </c>
      <c r="G1105" s="5" t="n">
        <v>5843</v>
      </c>
      <c r="H1105" s="5" t="n">
        <v>45</v>
      </c>
      <c r="I1105" s="5" t="n">
        <v>35</v>
      </c>
      <c r="J1105" s="5" t="n">
        <v>11</v>
      </c>
      <c r="K1105" s="10">
        <f>IF(F1105&gt;0,H1105/F1105,"")</f>
        <v/>
      </c>
      <c r="L1105" s="16">
        <f>IF(AND(G1105&gt;0,H1105&gt;0),G1105/H1105,"")</f>
        <v/>
      </c>
    </row>
    <row r="1106">
      <c r="A1106" s="4" t="inlineStr">
        <is>
          <t>200</t>
        </is>
      </c>
      <c r="B1106" s="4" t="n">
        <v>2</v>
      </c>
      <c r="C1106" s="4" t="inlineStr">
        <is>
          <t>mule deer</t>
        </is>
      </c>
      <c r="D1106" s="4" t="n">
        <v>2024</v>
      </c>
      <c r="E1106" s="13" t="inlineStr">
        <is>
          <t>General</t>
        </is>
      </c>
      <c r="F1106" s="5" t="n"/>
      <c r="G1106" s="5" t="n"/>
      <c r="H1106" s="5" t="n">
        <v>34</v>
      </c>
      <c r="I1106" s="5" t="n">
        <v>30</v>
      </c>
      <c r="J1106" s="5" t="n">
        <v>3</v>
      </c>
      <c r="K1106" s="10">
        <f>IF(F1106&gt;0,H1106/F1106,"")</f>
        <v/>
      </c>
      <c r="L1106" s="16">
        <f>IF(AND(G1106&gt;0,H1106&gt;0),G1106/H1106,"")</f>
        <v/>
      </c>
    </row>
    <row r="1107">
      <c r="A1107" s="4" t="inlineStr">
        <is>
          <t>200</t>
        </is>
      </c>
      <c r="B1107" s="4" t="n">
        <v>2</v>
      </c>
      <c r="C1107" s="4" t="inlineStr">
        <is>
          <t>mule deer</t>
        </is>
      </c>
      <c r="D1107" s="4" t="n">
        <v>2025</v>
      </c>
      <c r="E1107" s="13" t="inlineStr">
        <is>
          <t>General</t>
        </is>
      </c>
      <c r="F1107" s="5" t="n">
        <v>618</v>
      </c>
      <c r="G1107" s="5" t="n">
        <v>4231</v>
      </c>
      <c r="H1107" s="5" t="n">
        <v>28</v>
      </c>
      <c r="I1107" s="5" t="n">
        <v>28</v>
      </c>
      <c r="J1107" s="5" t="n">
        <v>0</v>
      </c>
      <c r="K1107" s="10">
        <f>IF(F1107&gt;0,H1107/F1107,"")</f>
        <v/>
      </c>
      <c r="L1107" s="16">
        <f>IF(AND(G1107&gt;0,H1107&gt;0),G1107/H1107,"")</f>
        <v/>
      </c>
    </row>
    <row r="1108">
      <c r="A1108" s="4" t="inlineStr">
        <is>
          <t>201</t>
        </is>
      </c>
      <c r="B1108" s="4" t="n">
        <v>2</v>
      </c>
      <c r="C1108" s="4" t="inlineStr">
        <is>
          <t>mule deer</t>
        </is>
      </c>
      <c r="D1108" s="4" t="n">
        <v>2021</v>
      </c>
      <c r="E1108" s="13" t="inlineStr">
        <is>
          <t>General</t>
        </is>
      </c>
      <c r="F1108" s="5" t="n">
        <v>2164</v>
      </c>
      <c r="G1108" s="5" t="n">
        <v>15777</v>
      </c>
      <c r="H1108" s="5" t="n">
        <v>87</v>
      </c>
      <c r="I1108" s="5" t="n">
        <v>87</v>
      </c>
      <c r="J1108" s="5" t="n">
        <v>0</v>
      </c>
      <c r="K1108" s="10">
        <f>IF(F1108&gt;0,H1108/F1108,"")</f>
        <v/>
      </c>
      <c r="L1108" s="16">
        <f>IF(AND(G1108&gt;0,H1108&gt;0),G1108/H1108,"")</f>
        <v/>
      </c>
    </row>
    <row r="1109">
      <c r="A1109" s="4" t="inlineStr">
        <is>
          <t>201</t>
        </is>
      </c>
      <c r="B1109" s="4" t="n">
        <v>2</v>
      </c>
      <c r="C1109" s="4" t="inlineStr">
        <is>
          <t>mule deer</t>
        </is>
      </c>
      <c r="D1109" s="4" t="n">
        <v>2022</v>
      </c>
      <c r="E1109" s="13" t="inlineStr">
        <is>
          <t>General</t>
        </is>
      </c>
      <c r="F1109" s="5" t="n"/>
      <c r="G1109" s="5" t="n"/>
      <c r="H1109" s="5" t="n">
        <v>166</v>
      </c>
      <c r="I1109" s="5" t="n">
        <v>145</v>
      </c>
      <c r="J1109" s="5" t="n">
        <v>17</v>
      </c>
      <c r="K1109" s="10">
        <f>IF(F1109&gt;0,H1109/F1109,"")</f>
        <v/>
      </c>
      <c r="L1109" s="16">
        <f>IF(AND(G1109&gt;0,H1109&gt;0),G1109/H1109,"")</f>
        <v/>
      </c>
    </row>
    <row r="1110">
      <c r="A1110" s="4" t="inlineStr">
        <is>
          <t>201</t>
        </is>
      </c>
      <c r="B1110" s="4" t="n">
        <v>2</v>
      </c>
      <c r="C1110" s="4" t="inlineStr">
        <is>
          <t>mule deer</t>
        </is>
      </c>
      <c r="D1110" s="4" t="n">
        <v>2023</v>
      </c>
      <c r="E1110" s="13" t="inlineStr">
        <is>
          <t>General</t>
        </is>
      </c>
      <c r="F1110" s="5" t="n">
        <v>3619</v>
      </c>
      <c r="G1110" s="5" t="n">
        <v>25408</v>
      </c>
      <c r="H1110" s="5" t="n">
        <v>211</v>
      </c>
      <c r="I1110" s="5" t="n">
        <v>205</v>
      </c>
      <c r="J1110" s="5" t="n">
        <v>6</v>
      </c>
      <c r="K1110" s="10">
        <f>IF(F1110&gt;0,H1110/F1110,"")</f>
        <v/>
      </c>
      <c r="L1110" s="16">
        <f>IF(AND(G1110&gt;0,H1110&gt;0),G1110/H1110,"")</f>
        <v/>
      </c>
    </row>
    <row r="1111">
      <c r="A1111" s="4" t="inlineStr">
        <is>
          <t>201</t>
        </is>
      </c>
      <c r="B1111" s="4" t="n">
        <v>2</v>
      </c>
      <c r="C1111" s="4" t="inlineStr">
        <is>
          <t>mule deer</t>
        </is>
      </c>
      <c r="D1111" s="4" t="n">
        <v>2024</v>
      </c>
      <c r="E1111" s="13" t="inlineStr">
        <is>
          <t>General</t>
        </is>
      </c>
      <c r="F1111" s="5" t="n"/>
      <c r="G1111" s="5" t="n"/>
      <c r="H1111" s="5" t="n">
        <v>205</v>
      </c>
      <c r="I1111" s="5" t="n">
        <v>203</v>
      </c>
      <c r="J1111" s="5" t="n">
        <v>2</v>
      </c>
      <c r="K1111" s="10">
        <f>IF(F1111&gt;0,H1111/F1111,"")</f>
        <v/>
      </c>
      <c r="L1111" s="16">
        <f>IF(AND(G1111&gt;0,H1111&gt;0),G1111/H1111,"")</f>
        <v/>
      </c>
    </row>
    <row r="1112">
      <c r="A1112" s="4" t="inlineStr">
        <is>
          <t>201</t>
        </is>
      </c>
      <c r="B1112" s="4" t="n">
        <v>2</v>
      </c>
      <c r="C1112" s="4" t="inlineStr">
        <is>
          <t>mule deer</t>
        </is>
      </c>
      <c r="D1112" s="4" t="n">
        <v>2025</v>
      </c>
      <c r="E1112" s="13" t="inlineStr">
        <is>
          <t>General</t>
        </is>
      </c>
      <c r="F1112" s="5" t="n">
        <v>3441</v>
      </c>
      <c r="G1112" s="5" t="n">
        <v>23120</v>
      </c>
      <c r="H1112" s="5" t="n">
        <v>185</v>
      </c>
      <c r="I1112" s="5" t="n">
        <v>181</v>
      </c>
      <c r="J1112" s="5" t="n">
        <v>4</v>
      </c>
      <c r="K1112" s="10">
        <f>IF(F1112&gt;0,H1112/F1112,"")</f>
        <v/>
      </c>
      <c r="L1112" s="16">
        <f>IF(AND(G1112&gt;0,H1112&gt;0),G1112/H1112,"")</f>
        <v/>
      </c>
    </row>
    <row r="1113">
      <c r="A1113" s="4" t="inlineStr">
        <is>
          <t>202</t>
        </is>
      </c>
      <c r="B1113" s="4" t="n">
        <v>2</v>
      </c>
      <c r="C1113" s="4" t="inlineStr">
        <is>
          <t>mule deer</t>
        </is>
      </c>
      <c r="D1113" s="4" t="n">
        <v>2021</v>
      </c>
      <c r="E1113" s="15" t="inlineStr">
        <is>
          <t>Draw</t>
        </is>
      </c>
      <c r="F1113" s="5" t="n">
        <v>1402</v>
      </c>
      <c r="G1113" s="5" t="n">
        <v>9944</v>
      </c>
      <c r="H1113" s="5" t="n">
        <v>95</v>
      </c>
      <c r="I1113" s="5" t="n">
        <v>95</v>
      </c>
      <c r="J1113" s="5" t="n">
        <v>0</v>
      </c>
      <c r="K1113" s="10">
        <f>IF(F1113&gt;0,H1113/F1113,"")</f>
        <v/>
      </c>
      <c r="L1113" s="16">
        <f>IF(AND(G1113&gt;0,H1113&gt;0),G1113/H1113,"")</f>
        <v/>
      </c>
    </row>
    <row r="1114">
      <c r="A1114" s="4" t="inlineStr">
        <is>
          <t>202</t>
        </is>
      </c>
      <c r="B1114" s="4" t="n">
        <v>2</v>
      </c>
      <c r="C1114" s="4" t="inlineStr">
        <is>
          <t>mule deer</t>
        </is>
      </c>
      <c r="D1114" s="4" t="n">
        <v>2022</v>
      </c>
      <c r="E1114" s="15" t="inlineStr">
        <is>
          <t>Draw</t>
        </is>
      </c>
      <c r="F1114" s="5" t="n"/>
      <c r="G1114" s="5" t="n"/>
      <c r="H1114" s="5" t="n">
        <v>67</v>
      </c>
      <c r="I1114" s="5" t="n">
        <v>67</v>
      </c>
      <c r="J1114" s="5" t="n">
        <v>0</v>
      </c>
      <c r="K1114" s="10">
        <f>IF(F1114&gt;0,H1114/F1114,"")</f>
        <v/>
      </c>
      <c r="L1114" s="16">
        <f>IF(AND(G1114&gt;0,H1114&gt;0),G1114/H1114,"")</f>
        <v/>
      </c>
    </row>
    <row r="1115">
      <c r="A1115" s="4" t="inlineStr">
        <is>
          <t>202</t>
        </is>
      </c>
      <c r="B1115" s="4" t="n">
        <v>2</v>
      </c>
      <c r="C1115" s="4" t="inlineStr">
        <is>
          <t>mule deer</t>
        </is>
      </c>
      <c r="D1115" s="4" t="n">
        <v>2023</v>
      </c>
      <c r="E1115" s="15" t="inlineStr">
        <is>
          <t>Draw</t>
        </is>
      </c>
      <c r="F1115" s="5" t="n">
        <v>1796</v>
      </c>
      <c r="G1115" s="5" t="n">
        <v>12826</v>
      </c>
      <c r="H1115" s="5" t="n">
        <v>83</v>
      </c>
      <c r="I1115" s="5" t="n">
        <v>83</v>
      </c>
      <c r="J1115" s="5" t="n">
        <v>0</v>
      </c>
      <c r="K1115" s="10">
        <f>IF(F1115&gt;0,H1115/F1115,"")</f>
        <v/>
      </c>
      <c r="L1115" s="16">
        <f>IF(AND(G1115&gt;0,H1115&gt;0),G1115/H1115,"")</f>
        <v/>
      </c>
    </row>
    <row r="1116">
      <c r="A1116" s="4" t="inlineStr">
        <is>
          <t>202</t>
        </is>
      </c>
      <c r="B1116" s="4" t="n">
        <v>2</v>
      </c>
      <c r="C1116" s="4" t="inlineStr">
        <is>
          <t>mule deer</t>
        </is>
      </c>
      <c r="D1116" s="4" t="n">
        <v>2024</v>
      </c>
      <c r="E1116" s="15" t="inlineStr">
        <is>
          <t>Draw</t>
        </is>
      </c>
      <c r="F1116" s="5" t="n"/>
      <c r="G1116" s="5" t="n"/>
      <c r="H1116" s="5" t="n">
        <v>99</v>
      </c>
      <c r="I1116" s="5" t="n">
        <v>96</v>
      </c>
      <c r="J1116" s="5" t="n">
        <v>3</v>
      </c>
      <c r="K1116" s="10">
        <f>IF(F1116&gt;0,H1116/F1116,"")</f>
        <v/>
      </c>
      <c r="L1116" s="16">
        <f>IF(AND(G1116&gt;0,H1116&gt;0),G1116/H1116,"")</f>
        <v/>
      </c>
    </row>
    <row r="1117">
      <c r="A1117" s="4" t="inlineStr">
        <is>
          <t>202</t>
        </is>
      </c>
      <c r="B1117" s="4" t="n">
        <v>2</v>
      </c>
      <c r="C1117" s="4" t="inlineStr">
        <is>
          <t>mule deer</t>
        </is>
      </c>
      <c r="D1117" s="4" t="n">
        <v>2025</v>
      </c>
      <c r="E1117" s="15" t="inlineStr">
        <is>
          <t>Draw</t>
        </is>
      </c>
      <c r="F1117" s="5" t="n">
        <v>1814</v>
      </c>
      <c r="G1117" s="5" t="n">
        <v>11696</v>
      </c>
      <c r="H1117" s="5" t="n">
        <v>104</v>
      </c>
      <c r="I1117" s="5" t="n">
        <v>104</v>
      </c>
      <c r="J1117" s="5" t="n">
        <v>0</v>
      </c>
      <c r="K1117" s="10">
        <f>IF(F1117&gt;0,H1117/F1117,"")</f>
        <v/>
      </c>
      <c r="L1117" s="16">
        <f>IF(AND(G1117&gt;0,H1117&gt;0),G1117/H1117,"")</f>
        <v/>
      </c>
    </row>
    <row r="1118">
      <c r="A1118" s="4" t="inlineStr">
        <is>
          <t>203</t>
        </is>
      </c>
      <c r="B1118" s="4" t="n">
        <v>2</v>
      </c>
      <c r="C1118" s="4" t="inlineStr">
        <is>
          <t>mule deer</t>
        </is>
      </c>
      <c r="D1118" s="4" t="n">
        <v>2021</v>
      </c>
      <c r="E1118" s="4" t="inlineStr"/>
      <c r="F1118" s="5" t="n">
        <v>1498</v>
      </c>
      <c r="G1118" s="5" t="n">
        <v>8671</v>
      </c>
      <c r="H1118" s="5" t="n">
        <v>96</v>
      </c>
      <c r="I1118" s="5" t="n">
        <v>96</v>
      </c>
      <c r="J1118" s="5" t="n">
        <v>0</v>
      </c>
      <c r="K1118" s="10">
        <f>IF(F1118&gt;0,H1118/F1118,"")</f>
        <v/>
      </c>
      <c r="L1118" s="16">
        <f>IF(AND(G1118&gt;0,H1118&gt;0),G1118/H1118,"")</f>
        <v/>
      </c>
    </row>
    <row r="1119">
      <c r="A1119" s="4" t="inlineStr">
        <is>
          <t>204</t>
        </is>
      </c>
      <c r="B1119" s="4" t="n">
        <v>2</v>
      </c>
      <c r="C1119" s="4" t="inlineStr">
        <is>
          <t>mule deer</t>
        </is>
      </c>
      <c r="D1119" s="4" t="n">
        <v>2021</v>
      </c>
      <c r="E1119" s="13" t="inlineStr">
        <is>
          <t>General</t>
        </is>
      </c>
      <c r="F1119" s="5" t="n">
        <v>1092</v>
      </c>
      <c r="G1119" s="5" t="n">
        <v>6666</v>
      </c>
      <c r="H1119" s="5" t="n">
        <v>72</v>
      </c>
      <c r="I1119" s="5" t="n">
        <v>63</v>
      </c>
      <c r="J1119" s="5" t="n">
        <v>9</v>
      </c>
      <c r="K1119" s="10">
        <f>IF(F1119&gt;0,H1119/F1119,"")</f>
        <v/>
      </c>
      <c r="L1119" s="16">
        <f>IF(AND(G1119&gt;0,H1119&gt;0),G1119/H1119,"")</f>
        <v/>
      </c>
    </row>
    <row r="1120">
      <c r="A1120" s="4" t="inlineStr">
        <is>
          <t>204</t>
        </is>
      </c>
      <c r="B1120" s="4" t="n">
        <v>2</v>
      </c>
      <c r="C1120" s="4" t="inlineStr">
        <is>
          <t>mule deer</t>
        </is>
      </c>
      <c r="D1120" s="4" t="n">
        <v>2022</v>
      </c>
      <c r="E1120" s="13" t="inlineStr">
        <is>
          <t>General</t>
        </is>
      </c>
      <c r="F1120" s="5" t="n"/>
      <c r="G1120" s="5" t="n"/>
      <c r="H1120" s="5" t="n">
        <v>95</v>
      </c>
      <c r="I1120" s="5" t="n">
        <v>82</v>
      </c>
      <c r="J1120" s="5" t="n">
        <v>13</v>
      </c>
      <c r="K1120" s="10">
        <f>IF(F1120&gt;0,H1120/F1120,"")</f>
        <v/>
      </c>
      <c r="L1120" s="16">
        <f>IF(AND(G1120&gt;0,H1120&gt;0),G1120/H1120,"")</f>
        <v/>
      </c>
    </row>
    <row r="1121">
      <c r="A1121" s="4" t="inlineStr">
        <is>
          <t>204</t>
        </is>
      </c>
      <c r="B1121" s="4" t="n">
        <v>2</v>
      </c>
      <c r="C1121" s="4" t="inlineStr">
        <is>
          <t>mule deer</t>
        </is>
      </c>
      <c r="D1121" s="4" t="n">
        <v>2023</v>
      </c>
      <c r="E1121" s="13" t="inlineStr">
        <is>
          <t>General</t>
        </is>
      </c>
      <c r="F1121" s="5" t="n">
        <v>1491</v>
      </c>
      <c r="G1121" s="5" t="n">
        <v>9948</v>
      </c>
      <c r="H1121" s="5" t="n">
        <v>138</v>
      </c>
      <c r="I1121" s="5" t="n">
        <v>138</v>
      </c>
      <c r="J1121" s="5" t="n">
        <v>0</v>
      </c>
      <c r="K1121" s="10">
        <f>IF(F1121&gt;0,H1121/F1121,"")</f>
        <v/>
      </c>
      <c r="L1121" s="16">
        <f>IF(AND(G1121&gt;0,H1121&gt;0),G1121/H1121,"")</f>
        <v/>
      </c>
    </row>
    <row r="1122">
      <c r="A1122" s="4" t="inlineStr">
        <is>
          <t>204</t>
        </is>
      </c>
      <c r="B1122" s="4" t="n">
        <v>2</v>
      </c>
      <c r="C1122" s="4" t="inlineStr">
        <is>
          <t>mule deer</t>
        </is>
      </c>
      <c r="D1122" s="4" t="n">
        <v>2024</v>
      </c>
      <c r="E1122" s="13" t="inlineStr">
        <is>
          <t>General</t>
        </is>
      </c>
      <c r="F1122" s="5" t="n"/>
      <c r="G1122" s="5" t="n"/>
      <c r="H1122" s="5" t="n">
        <v>67</v>
      </c>
      <c r="I1122" s="5" t="n">
        <v>67</v>
      </c>
      <c r="J1122" s="5" t="n">
        <v>0</v>
      </c>
      <c r="K1122" s="10">
        <f>IF(F1122&gt;0,H1122/F1122,"")</f>
        <v/>
      </c>
      <c r="L1122" s="16">
        <f>IF(AND(G1122&gt;0,H1122&gt;0),G1122/H1122,"")</f>
        <v/>
      </c>
    </row>
    <row r="1123">
      <c r="A1123" s="4" t="inlineStr">
        <is>
          <t>204</t>
        </is>
      </c>
      <c r="B1123" s="4" t="n">
        <v>2</v>
      </c>
      <c r="C1123" s="4" t="inlineStr">
        <is>
          <t>mule deer</t>
        </is>
      </c>
      <c r="D1123" s="4" t="n">
        <v>2025</v>
      </c>
      <c r="E1123" s="13" t="inlineStr">
        <is>
          <t>General</t>
        </is>
      </c>
      <c r="F1123" s="5" t="n">
        <v>1386</v>
      </c>
      <c r="G1123" s="5" t="n">
        <v>8644</v>
      </c>
      <c r="H1123" s="5" t="n">
        <v>92</v>
      </c>
      <c r="I1123" s="5" t="n">
        <v>86</v>
      </c>
      <c r="J1123" s="5" t="n">
        <v>6</v>
      </c>
      <c r="K1123" s="10">
        <f>IF(F1123&gt;0,H1123/F1123,"")</f>
        <v/>
      </c>
      <c r="L1123" s="16">
        <f>IF(AND(G1123&gt;0,H1123&gt;0),G1123/H1123,"")</f>
        <v/>
      </c>
    </row>
    <row r="1124">
      <c r="A1124" s="4" t="inlineStr">
        <is>
          <t>210</t>
        </is>
      </c>
      <c r="B1124" s="4" t="n">
        <v>2</v>
      </c>
      <c r="C1124" s="4" t="inlineStr">
        <is>
          <t>mule deer</t>
        </is>
      </c>
      <c r="D1124" s="4" t="n">
        <v>2021</v>
      </c>
      <c r="E1124" s="15" t="inlineStr">
        <is>
          <t>Draw</t>
        </is>
      </c>
      <c r="F1124" s="5" t="n">
        <v>870</v>
      </c>
      <c r="G1124" s="5" t="n">
        <v>6185</v>
      </c>
      <c r="H1124" s="5" t="n">
        <v>49</v>
      </c>
      <c r="I1124" s="5" t="n">
        <v>39</v>
      </c>
      <c r="J1124" s="5" t="n">
        <v>10</v>
      </c>
      <c r="K1124" s="10">
        <f>IF(F1124&gt;0,H1124/F1124,"")</f>
        <v/>
      </c>
      <c r="L1124" s="16">
        <f>IF(AND(G1124&gt;0,H1124&gt;0),G1124/H1124,"")</f>
        <v/>
      </c>
    </row>
    <row r="1125">
      <c r="A1125" s="4" t="inlineStr">
        <is>
          <t>210</t>
        </is>
      </c>
      <c r="B1125" s="4" t="n">
        <v>2</v>
      </c>
      <c r="C1125" s="4" t="inlineStr">
        <is>
          <t>mule deer</t>
        </is>
      </c>
      <c r="D1125" s="4" t="n">
        <v>2022</v>
      </c>
      <c r="E1125" s="15" t="inlineStr">
        <is>
          <t>Draw</t>
        </is>
      </c>
      <c r="F1125" s="5" t="n"/>
      <c r="G1125" s="5" t="n"/>
      <c r="H1125" s="5" t="n">
        <v>57</v>
      </c>
      <c r="I1125" s="5" t="n">
        <v>33</v>
      </c>
      <c r="J1125" s="5" t="n">
        <v>23</v>
      </c>
      <c r="K1125" s="10">
        <f>IF(F1125&gt;0,H1125/F1125,"")</f>
        <v/>
      </c>
      <c r="L1125" s="16">
        <f>IF(AND(G1125&gt;0,H1125&gt;0),G1125/H1125,"")</f>
        <v/>
      </c>
    </row>
    <row r="1126">
      <c r="A1126" s="4" t="inlineStr">
        <is>
          <t>210</t>
        </is>
      </c>
      <c r="B1126" s="4" t="n">
        <v>2</v>
      </c>
      <c r="C1126" s="4" t="inlineStr">
        <is>
          <t>mule deer</t>
        </is>
      </c>
      <c r="D1126" s="4" t="n">
        <v>2023</v>
      </c>
      <c r="E1126" s="15" t="inlineStr">
        <is>
          <t>Draw</t>
        </is>
      </c>
      <c r="F1126" s="5" t="n">
        <v>863</v>
      </c>
      <c r="G1126" s="5" t="n">
        <v>4965</v>
      </c>
      <c r="H1126" s="5" t="n">
        <v>67</v>
      </c>
      <c r="I1126" s="5" t="n">
        <v>54</v>
      </c>
      <c r="J1126" s="5" t="n">
        <v>14</v>
      </c>
      <c r="K1126" s="10">
        <f>IF(F1126&gt;0,H1126/F1126,"")</f>
        <v/>
      </c>
      <c r="L1126" s="16">
        <f>IF(AND(G1126&gt;0,H1126&gt;0),G1126/H1126,"")</f>
        <v/>
      </c>
    </row>
    <row r="1127">
      <c r="A1127" s="4" t="inlineStr">
        <is>
          <t>210</t>
        </is>
      </c>
      <c r="B1127" s="4" t="n">
        <v>2</v>
      </c>
      <c r="C1127" s="4" t="inlineStr">
        <is>
          <t>mule deer</t>
        </is>
      </c>
      <c r="D1127" s="4" t="n">
        <v>2024</v>
      </c>
      <c r="E1127" s="15" t="inlineStr">
        <is>
          <t>Draw</t>
        </is>
      </c>
      <c r="F1127" s="5" t="n"/>
      <c r="G1127" s="5" t="n"/>
      <c r="H1127" s="5" t="n">
        <v>74</v>
      </c>
      <c r="I1127" s="5" t="n">
        <v>52</v>
      </c>
      <c r="J1127" s="5" t="n">
        <v>22</v>
      </c>
      <c r="K1127" s="10">
        <f>IF(F1127&gt;0,H1127/F1127,"")</f>
        <v/>
      </c>
      <c r="L1127" s="16">
        <f>IF(AND(G1127&gt;0,H1127&gt;0),G1127/H1127,"")</f>
        <v/>
      </c>
    </row>
    <row r="1128">
      <c r="A1128" s="4" t="inlineStr">
        <is>
          <t>210</t>
        </is>
      </c>
      <c r="B1128" s="4" t="n">
        <v>2</v>
      </c>
      <c r="C1128" s="4" t="inlineStr">
        <is>
          <t>mule deer</t>
        </is>
      </c>
      <c r="D1128" s="4" t="n">
        <v>2025</v>
      </c>
      <c r="E1128" s="15" t="inlineStr">
        <is>
          <t>Draw</t>
        </is>
      </c>
      <c r="F1128" s="5" t="n">
        <v>875</v>
      </c>
      <c r="G1128" s="5" t="n">
        <v>5787</v>
      </c>
      <c r="H1128" s="5" t="n">
        <v>62</v>
      </c>
      <c r="I1128" s="5" t="n">
        <v>40</v>
      </c>
      <c r="J1128" s="5" t="n">
        <v>22</v>
      </c>
      <c r="K1128" s="10">
        <f>IF(F1128&gt;0,H1128/F1128,"")</f>
        <v/>
      </c>
      <c r="L1128" s="16">
        <f>IF(AND(G1128&gt;0,H1128&gt;0),G1128/H1128,"")</f>
        <v/>
      </c>
    </row>
    <row r="1129">
      <c r="A1129" s="4" t="inlineStr">
        <is>
          <t>211</t>
        </is>
      </c>
      <c r="B1129" s="4" t="n">
        <v>2</v>
      </c>
      <c r="C1129" s="4" t="inlineStr">
        <is>
          <t>mule deer</t>
        </is>
      </c>
      <c r="D1129" s="4" t="n">
        <v>2021</v>
      </c>
      <c r="E1129" s="13" t="inlineStr">
        <is>
          <t>General</t>
        </is>
      </c>
      <c r="F1129" s="5" t="n">
        <v>433</v>
      </c>
      <c r="G1129" s="5" t="n">
        <v>3571</v>
      </c>
      <c r="H1129" s="5" t="n">
        <v>35</v>
      </c>
      <c r="I1129" s="5" t="n">
        <v>35</v>
      </c>
      <c r="J1129" s="5" t="n">
        <v>0</v>
      </c>
      <c r="K1129" s="10">
        <f>IF(F1129&gt;0,H1129/F1129,"")</f>
        <v/>
      </c>
      <c r="L1129" s="16">
        <f>IF(AND(G1129&gt;0,H1129&gt;0),G1129/H1129,"")</f>
        <v/>
      </c>
    </row>
    <row r="1130">
      <c r="A1130" s="4" t="inlineStr">
        <is>
          <t>211</t>
        </is>
      </c>
      <c r="B1130" s="4" t="n">
        <v>2</v>
      </c>
      <c r="C1130" s="4" t="inlineStr">
        <is>
          <t>mule deer</t>
        </is>
      </c>
      <c r="D1130" s="4" t="n">
        <v>2022</v>
      </c>
      <c r="E1130" s="13" t="inlineStr">
        <is>
          <t>General</t>
        </is>
      </c>
      <c r="F1130" s="5" t="n"/>
      <c r="G1130" s="5" t="n"/>
      <c r="H1130" s="5" t="n">
        <v>31</v>
      </c>
      <c r="I1130" s="5" t="n">
        <v>27</v>
      </c>
      <c r="J1130" s="5" t="n">
        <v>3</v>
      </c>
      <c r="K1130" s="10">
        <f>IF(F1130&gt;0,H1130/F1130,"")</f>
        <v/>
      </c>
      <c r="L1130" s="16">
        <f>IF(AND(G1130&gt;0,H1130&gt;0),G1130/H1130,"")</f>
        <v/>
      </c>
    </row>
    <row r="1131">
      <c r="A1131" s="4" t="inlineStr">
        <is>
          <t>211</t>
        </is>
      </c>
      <c r="B1131" s="4" t="n">
        <v>2</v>
      </c>
      <c r="C1131" s="4" t="inlineStr">
        <is>
          <t>mule deer</t>
        </is>
      </c>
      <c r="D1131" s="4" t="n">
        <v>2023</v>
      </c>
      <c r="E1131" s="13" t="inlineStr">
        <is>
          <t>General</t>
        </is>
      </c>
      <c r="F1131" s="5" t="n">
        <v>492</v>
      </c>
      <c r="G1131" s="5" t="n">
        <v>3440</v>
      </c>
      <c r="H1131" s="5" t="n">
        <v>40</v>
      </c>
      <c r="I1131" s="5" t="n">
        <v>40</v>
      </c>
      <c r="J1131" s="5" t="n">
        <v>0</v>
      </c>
      <c r="K1131" s="10">
        <f>IF(F1131&gt;0,H1131/F1131,"")</f>
        <v/>
      </c>
      <c r="L1131" s="16">
        <f>IF(AND(G1131&gt;0,H1131&gt;0),G1131/H1131,"")</f>
        <v/>
      </c>
    </row>
    <row r="1132">
      <c r="A1132" s="4" t="inlineStr">
        <is>
          <t>211</t>
        </is>
      </c>
      <c r="B1132" s="4" t="n">
        <v>2</v>
      </c>
      <c r="C1132" s="4" t="inlineStr">
        <is>
          <t>mule deer</t>
        </is>
      </c>
      <c r="D1132" s="4" t="n">
        <v>2024</v>
      </c>
      <c r="E1132" s="13" t="inlineStr">
        <is>
          <t>General</t>
        </is>
      </c>
      <c r="F1132" s="5" t="n"/>
      <c r="G1132" s="5" t="n"/>
      <c r="H1132" s="5" t="n">
        <v>53</v>
      </c>
      <c r="I1132" s="5" t="n">
        <v>53</v>
      </c>
      <c r="J1132" s="5" t="n">
        <v>0</v>
      </c>
      <c r="K1132" s="10">
        <f>IF(F1132&gt;0,H1132/F1132,"")</f>
        <v/>
      </c>
      <c r="L1132" s="16">
        <f>IF(AND(G1132&gt;0,H1132&gt;0),G1132/H1132,"")</f>
        <v/>
      </c>
    </row>
    <row r="1133">
      <c r="A1133" s="4" t="inlineStr">
        <is>
          <t>211</t>
        </is>
      </c>
      <c r="B1133" s="4" t="n">
        <v>2</v>
      </c>
      <c r="C1133" s="4" t="inlineStr">
        <is>
          <t>mule deer</t>
        </is>
      </c>
      <c r="D1133" s="4" t="n">
        <v>2025</v>
      </c>
      <c r="E1133" s="13" t="inlineStr">
        <is>
          <t>General</t>
        </is>
      </c>
      <c r="F1133" s="5" t="n">
        <v>566</v>
      </c>
      <c r="G1133" s="5" t="n">
        <v>4532</v>
      </c>
      <c r="H1133" s="5" t="n">
        <v>37</v>
      </c>
      <c r="I1133" s="5" t="n">
        <v>33</v>
      </c>
      <c r="J1133" s="5" t="n">
        <v>4</v>
      </c>
      <c r="K1133" s="10">
        <f>IF(F1133&gt;0,H1133/F1133,"")</f>
        <v/>
      </c>
      <c r="L1133" s="16">
        <f>IF(AND(G1133&gt;0,H1133&gt;0),G1133/H1133,"")</f>
        <v/>
      </c>
    </row>
    <row r="1134">
      <c r="A1134" s="4" t="inlineStr">
        <is>
          <t>212</t>
        </is>
      </c>
      <c r="B1134" s="4" t="n">
        <v>2</v>
      </c>
      <c r="C1134" s="4" t="inlineStr">
        <is>
          <t>mule deer</t>
        </is>
      </c>
      <c r="D1134" s="4" t="n">
        <v>2021</v>
      </c>
      <c r="E1134" s="13" t="inlineStr">
        <is>
          <t>General</t>
        </is>
      </c>
      <c r="F1134" s="5" t="n">
        <v>341</v>
      </c>
      <c r="G1134" s="5" t="n">
        <v>2413</v>
      </c>
      <c r="H1134" s="5" t="n">
        <v>38</v>
      </c>
      <c r="I1134" s="5" t="n">
        <v>30</v>
      </c>
      <c r="J1134" s="5" t="n">
        <v>8</v>
      </c>
      <c r="K1134" s="10">
        <f>IF(F1134&gt;0,H1134/F1134,"")</f>
        <v/>
      </c>
      <c r="L1134" s="16">
        <f>IF(AND(G1134&gt;0,H1134&gt;0),G1134/H1134,"")</f>
        <v/>
      </c>
    </row>
    <row r="1135">
      <c r="A1135" s="4" t="inlineStr">
        <is>
          <t>212</t>
        </is>
      </c>
      <c r="B1135" s="4" t="n">
        <v>2</v>
      </c>
      <c r="C1135" s="4" t="inlineStr">
        <is>
          <t>mule deer</t>
        </is>
      </c>
      <c r="D1135" s="4" t="n">
        <v>2022</v>
      </c>
      <c r="E1135" s="13" t="inlineStr">
        <is>
          <t>General</t>
        </is>
      </c>
      <c r="F1135" s="5" t="n"/>
      <c r="G1135" s="5" t="n"/>
      <c r="H1135" s="5" t="n">
        <v>49</v>
      </c>
      <c r="I1135" s="5" t="n">
        <v>39</v>
      </c>
      <c r="J1135" s="5" t="n">
        <v>10</v>
      </c>
      <c r="K1135" s="10">
        <f>IF(F1135&gt;0,H1135/F1135,"")</f>
        <v/>
      </c>
      <c r="L1135" s="16">
        <f>IF(AND(G1135&gt;0,H1135&gt;0),G1135/H1135,"")</f>
        <v/>
      </c>
    </row>
    <row r="1136">
      <c r="A1136" s="4" t="inlineStr">
        <is>
          <t>212</t>
        </is>
      </c>
      <c r="B1136" s="4" t="n">
        <v>2</v>
      </c>
      <c r="C1136" s="4" t="inlineStr">
        <is>
          <t>mule deer</t>
        </is>
      </c>
      <c r="D1136" s="4" t="n">
        <v>2023</v>
      </c>
      <c r="E1136" s="13" t="inlineStr">
        <is>
          <t>General</t>
        </is>
      </c>
      <c r="F1136" s="5" t="n">
        <v>311</v>
      </c>
      <c r="G1136" s="5" t="n">
        <v>1821</v>
      </c>
      <c r="H1136" s="5" t="n">
        <v>43</v>
      </c>
      <c r="I1136" s="5" t="n">
        <v>29</v>
      </c>
      <c r="J1136" s="5" t="n">
        <v>13</v>
      </c>
      <c r="K1136" s="10">
        <f>IF(F1136&gt;0,H1136/F1136,"")</f>
        <v/>
      </c>
      <c r="L1136" s="16">
        <f>IF(AND(G1136&gt;0,H1136&gt;0),G1136/H1136,"")</f>
        <v/>
      </c>
    </row>
    <row r="1137">
      <c r="A1137" s="4" t="inlineStr">
        <is>
          <t>212</t>
        </is>
      </c>
      <c r="B1137" s="4" t="n">
        <v>2</v>
      </c>
      <c r="C1137" s="4" t="inlineStr">
        <is>
          <t>mule deer</t>
        </is>
      </c>
      <c r="D1137" s="4" t="n">
        <v>2024</v>
      </c>
      <c r="E1137" s="13" t="inlineStr">
        <is>
          <t>General</t>
        </is>
      </c>
      <c r="F1137" s="5" t="n"/>
      <c r="G1137" s="5" t="n"/>
      <c r="H1137" s="5" t="n">
        <v>62</v>
      </c>
      <c r="I1137" s="5" t="n">
        <v>57</v>
      </c>
      <c r="J1137" s="5" t="n">
        <v>5</v>
      </c>
      <c r="K1137" s="10">
        <f>IF(F1137&gt;0,H1137/F1137,"")</f>
        <v/>
      </c>
      <c r="L1137" s="16">
        <f>IF(AND(G1137&gt;0,H1137&gt;0),G1137/H1137,"")</f>
        <v/>
      </c>
    </row>
    <row r="1138">
      <c r="A1138" s="4" t="inlineStr">
        <is>
          <t>212</t>
        </is>
      </c>
      <c r="B1138" s="4" t="n">
        <v>2</v>
      </c>
      <c r="C1138" s="4" t="inlineStr">
        <is>
          <t>mule deer</t>
        </is>
      </c>
      <c r="D1138" s="4" t="n">
        <v>2025</v>
      </c>
      <c r="E1138" s="13" t="inlineStr">
        <is>
          <t>General</t>
        </is>
      </c>
      <c r="F1138" s="5" t="n">
        <v>481</v>
      </c>
      <c r="G1138" s="5" t="n">
        <v>3559</v>
      </c>
      <c r="H1138" s="5" t="n">
        <v>79</v>
      </c>
      <c r="I1138" s="5" t="n">
        <v>71</v>
      </c>
      <c r="J1138" s="5" t="n">
        <v>8</v>
      </c>
      <c r="K1138" s="10">
        <f>IF(F1138&gt;0,H1138/F1138,"")</f>
        <v/>
      </c>
      <c r="L1138" s="16">
        <f>IF(AND(G1138&gt;0,H1138&gt;0),G1138/H1138,"")</f>
        <v/>
      </c>
    </row>
    <row r="1139">
      <c r="A1139" s="4" t="inlineStr">
        <is>
          <t>213</t>
        </is>
      </c>
      <c r="B1139" s="4" t="n">
        <v>2</v>
      </c>
      <c r="C1139" s="4" t="inlineStr">
        <is>
          <t>mule deer</t>
        </is>
      </c>
      <c r="D1139" s="4" t="n">
        <v>2021</v>
      </c>
      <c r="E1139" s="13" t="inlineStr">
        <is>
          <t>General</t>
        </is>
      </c>
      <c r="F1139" s="5" t="n">
        <v>872</v>
      </c>
      <c r="G1139" s="5" t="n">
        <v>7684</v>
      </c>
      <c r="H1139" s="5" t="n">
        <v>104</v>
      </c>
      <c r="I1139" s="5" t="n">
        <v>58</v>
      </c>
      <c r="J1139" s="5" t="n">
        <v>46</v>
      </c>
      <c r="K1139" s="10">
        <f>IF(F1139&gt;0,H1139/F1139,"")</f>
        <v/>
      </c>
      <c r="L1139" s="16">
        <f>IF(AND(G1139&gt;0,H1139&gt;0),G1139/H1139,"")</f>
        <v/>
      </c>
    </row>
    <row r="1140">
      <c r="A1140" s="4" t="inlineStr">
        <is>
          <t>213</t>
        </is>
      </c>
      <c r="B1140" s="4" t="n">
        <v>2</v>
      </c>
      <c r="C1140" s="4" t="inlineStr">
        <is>
          <t>mule deer</t>
        </is>
      </c>
      <c r="D1140" s="4" t="n">
        <v>2022</v>
      </c>
      <c r="E1140" s="13" t="inlineStr">
        <is>
          <t>General</t>
        </is>
      </c>
      <c r="F1140" s="5" t="n"/>
      <c r="G1140" s="5" t="n"/>
      <c r="H1140" s="5" t="n">
        <v>129</v>
      </c>
      <c r="I1140" s="5" t="n">
        <v>108</v>
      </c>
      <c r="J1140" s="5" t="n">
        <v>22</v>
      </c>
      <c r="K1140" s="10">
        <f>IF(F1140&gt;0,H1140/F1140,"")</f>
        <v/>
      </c>
      <c r="L1140" s="16">
        <f>IF(AND(G1140&gt;0,H1140&gt;0),G1140/H1140,"")</f>
        <v/>
      </c>
    </row>
    <row r="1141">
      <c r="A1141" s="4" t="inlineStr">
        <is>
          <t>213</t>
        </is>
      </c>
      <c r="B1141" s="4" t="n">
        <v>2</v>
      </c>
      <c r="C1141" s="4" t="inlineStr">
        <is>
          <t>mule deer</t>
        </is>
      </c>
      <c r="D1141" s="4" t="n">
        <v>2023</v>
      </c>
      <c r="E1141" s="13" t="inlineStr">
        <is>
          <t>General</t>
        </is>
      </c>
      <c r="F1141" s="5" t="n">
        <v>1105</v>
      </c>
      <c r="G1141" s="5" t="n">
        <v>9534</v>
      </c>
      <c r="H1141" s="5" t="n">
        <v>145</v>
      </c>
      <c r="I1141" s="5" t="n">
        <v>120</v>
      </c>
      <c r="J1141" s="5" t="n">
        <v>24</v>
      </c>
      <c r="K1141" s="10">
        <f>IF(F1141&gt;0,H1141/F1141,"")</f>
        <v/>
      </c>
      <c r="L1141" s="16">
        <f>IF(AND(G1141&gt;0,H1141&gt;0),G1141/H1141,"")</f>
        <v/>
      </c>
    </row>
    <row r="1142">
      <c r="A1142" s="4" t="inlineStr">
        <is>
          <t>213</t>
        </is>
      </c>
      <c r="B1142" s="4" t="n">
        <v>2</v>
      </c>
      <c r="C1142" s="4" t="inlineStr">
        <is>
          <t>mule deer</t>
        </is>
      </c>
      <c r="D1142" s="4" t="n">
        <v>2024</v>
      </c>
      <c r="E1142" s="13" t="inlineStr">
        <is>
          <t>General</t>
        </is>
      </c>
      <c r="F1142" s="5" t="n"/>
      <c r="G1142" s="5" t="n"/>
      <c r="H1142" s="5" t="n">
        <v>180</v>
      </c>
      <c r="I1142" s="5" t="n">
        <v>156</v>
      </c>
      <c r="J1142" s="5" t="n">
        <v>24</v>
      </c>
      <c r="K1142" s="10">
        <f>IF(F1142&gt;0,H1142/F1142,"")</f>
        <v/>
      </c>
      <c r="L1142" s="16">
        <f>IF(AND(G1142&gt;0,H1142&gt;0),G1142/H1142,"")</f>
        <v/>
      </c>
    </row>
    <row r="1143">
      <c r="A1143" s="4" t="inlineStr">
        <is>
          <t>213</t>
        </is>
      </c>
      <c r="B1143" s="4" t="n">
        <v>2</v>
      </c>
      <c r="C1143" s="4" t="inlineStr">
        <is>
          <t>mule deer</t>
        </is>
      </c>
      <c r="D1143" s="4" t="n">
        <v>2025</v>
      </c>
      <c r="E1143" s="13" t="inlineStr">
        <is>
          <t>General</t>
        </is>
      </c>
      <c r="F1143" s="5" t="n">
        <v>1178</v>
      </c>
      <c r="G1143" s="5" t="n">
        <v>9366</v>
      </c>
      <c r="H1143" s="5" t="n">
        <v>199</v>
      </c>
      <c r="I1143" s="5" t="n">
        <v>161</v>
      </c>
      <c r="J1143" s="5" t="n">
        <v>38</v>
      </c>
      <c r="K1143" s="10">
        <f>IF(F1143&gt;0,H1143/F1143,"")</f>
        <v/>
      </c>
      <c r="L1143" s="16">
        <f>IF(AND(G1143&gt;0,H1143&gt;0),G1143/H1143,"")</f>
        <v/>
      </c>
    </row>
    <row r="1144">
      <c r="A1144" s="4" t="inlineStr">
        <is>
          <t>214</t>
        </is>
      </c>
      <c r="B1144" s="4" t="n">
        <v>2</v>
      </c>
      <c r="C1144" s="4" t="inlineStr">
        <is>
          <t>mule deer</t>
        </is>
      </c>
      <c r="D1144" s="4" t="n">
        <v>2021</v>
      </c>
      <c r="E1144" s="13" t="inlineStr">
        <is>
          <t>General</t>
        </is>
      </c>
      <c r="F1144" s="5" t="n">
        <v>149</v>
      </c>
      <c r="G1144" s="5" t="n">
        <v>1200</v>
      </c>
      <c r="H1144" s="5" t="n">
        <v>16</v>
      </c>
      <c r="I1144" s="5" t="n">
        <v>13</v>
      </c>
      <c r="J1144" s="5" t="n">
        <v>2</v>
      </c>
      <c r="K1144" s="10">
        <f>IF(F1144&gt;0,H1144/F1144,"")</f>
        <v/>
      </c>
      <c r="L1144" s="16">
        <f>IF(AND(G1144&gt;0,H1144&gt;0),G1144/H1144,"")</f>
        <v/>
      </c>
    </row>
    <row r="1145">
      <c r="A1145" s="4" t="inlineStr">
        <is>
          <t>214</t>
        </is>
      </c>
      <c r="B1145" s="4" t="n">
        <v>2</v>
      </c>
      <c r="C1145" s="4" t="inlineStr">
        <is>
          <t>mule deer</t>
        </is>
      </c>
      <c r="D1145" s="4" t="n">
        <v>2022</v>
      </c>
      <c r="E1145" s="13" t="inlineStr">
        <is>
          <t>General</t>
        </is>
      </c>
      <c r="F1145" s="5" t="n"/>
      <c r="G1145" s="5" t="n"/>
      <c r="H1145" s="5" t="n">
        <v>20</v>
      </c>
      <c r="I1145" s="5" t="n">
        <v>20</v>
      </c>
      <c r="J1145" s="5" t="n">
        <v>0</v>
      </c>
      <c r="K1145" s="10">
        <f>IF(F1145&gt;0,H1145/F1145,"")</f>
        <v/>
      </c>
      <c r="L1145" s="16">
        <f>IF(AND(G1145&gt;0,H1145&gt;0),G1145/H1145,"")</f>
        <v/>
      </c>
    </row>
    <row r="1146">
      <c r="A1146" s="4" t="inlineStr">
        <is>
          <t>214</t>
        </is>
      </c>
      <c r="B1146" s="4" t="n">
        <v>2</v>
      </c>
      <c r="C1146" s="4" t="inlineStr">
        <is>
          <t>mule deer</t>
        </is>
      </c>
      <c r="D1146" s="4" t="n">
        <v>2023</v>
      </c>
      <c r="E1146" s="13" t="inlineStr">
        <is>
          <t>General</t>
        </is>
      </c>
      <c r="F1146" s="5" t="n">
        <v>334</v>
      </c>
      <c r="G1146" s="5" t="n">
        <v>2362</v>
      </c>
      <c r="H1146" s="5" t="n">
        <v>27</v>
      </c>
      <c r="I1146" s="5" t="n">
        <v>24</v>
      </c>
      <c r="J1146" s="5" t="n">
        <v>3</v>
      </c>
      <c r="K1146" s="10">
        <f>IF(F1146&gt;0,H1146/F1146,"")</f>
        <v/>
      </c>
      <c r="L1146" s="16">
        <f>IF(AND(G1146&gt;0,H1146&gt;0),G1146/H1146,"")</f>
        <v/>
      </c>
    </row>
    <row r="1147">
      <c r="A1147" s="4" t="inlineStr">
        <is>
          <t>214</t>
        </is>
      </c>
      <c r="B1147" s="4" t="n">
        <v>2</v>
      </c>
      <c r="C1147" s="4" t="inlineStr">
        <is>
          <t>mule deer</t>
        </is>
      </c>
      <c r="D1147" s="4" t="n">
        <v>2024</v>
      </c>
      <c r="E1147" s="13" t="inlineStr">
        <is>
          <t>General</t>
        </is>
      </c>
      <c r="F1147" s="5" t="n"/>
      <c r="G1147" s="5" t="n"/>
      <c r="H1147" s="5" t="n">
        <v>45</v>
      </c>
      <c r="I1147" s="5" t="n">
        <v>41</v>
      </c>
      <c r="J1147" s="5" t="n">
        <v>3</v>
      </c>
      <c r="K1147" s="10">
        <f>IF(F1147&gt;0,H1147/F1147,"")</f>
        <v/>
      </c>
      <c r="L1147" s="16">
        <f>IF(AND(G1147&gt;0,H1147&gt;0),G1147/H1147,"")</f>
        <v/>
      </c>
    </row>
    <row r="1148">
      <c r="A1148" s="4" t="inlineStr">
        <is>
          <t>214</t>
        </is>
      </c>
      <c r="B1148" s="4" t="n">
        <v>2</v>
      </c>
      <c r="C1148" s="4" t="inlineStr">
        <is>
          <t>mule deer</t>
        </is>
      </c>
      <c r="D1148" s="4" t="n">
        <v>2025</v>
      </c>
      <c r="E1148" s="13" t="inlineStr">
        <is>
          <t>General</t>
        </is>
      </c>
      <c r="F1148" s="5" t="n">
        <v>360</v>
      </c>
      <c r="G1148" s="5" t="n">
        <v>2384</v>
      </c>
      <c r="H1148" s="5" t="n">
        <v>14</v>
      </c>
      <c r="I1148" s="5" t="n">
        <v>11</v>
      </c>
      <c r="J1148" s="5" t="n">
        <v>4</v>
      </c>
      <c r="K1148" s="10">
        <f>IF(F1148&gt;0,H1148/F1148,"")</f>
        <v/>
      </c>
      <c r="L1148" s="16">
        <f>IF(AND(G1148&gt;0,H1148&gt;0),G1148/H1148,"")</f>
        <v/>
      </c>
    </row>
    <row r="1149">
      <c r="A1149" s="4" t="inlineStr">
        <is>
          <t>215</t>
        </is>
      </c>
      <c r="B1149" s="4" t="n">
        <v>2</v>
      </c>
      <c r="C1149" s="4" t="inlineStr">
        <is>
          <t>mule deer</t>
        </is>
      </c>
      <c r="D1149" s="4" t="n">
        <v>2021</v>
      </c>
      <c r="E1149" s="13" t="inlineStr">
        <is>
          <t>General</t>
        </is>
      </c>
      <c r="F1149" s="5" t="n">
        <v>1080</v>
      </c>
      <c r="G1149" s="5" t="n">
        <v>8083</v>
      </c>
      <c r="H1149" s="5" t="n">
        <v>86</v>
      </c>
      <c r="I1149" s="5" t="n">
        <v>55</v>
      </c>
      <c r="J1149" s="5" t="n">
        <v>31</v>
      </c>
      <c r="K1149" s="10">
        <f>IF(F1149&gt;0,H1149/F1149,"")</f>
        <v/>
      </c>
      <c r="L1149" s="16">
        <f>IF(AND(G1149&gt;0,H1149&gt;0),G1149/H1149,"")</f>
        <v/>
      </c>
    </row>
    <row r="1150">
      <c r="A1150" s="4" t="inlineStr">
        <is>
          <t>215</t>
        </is>
      </c>
      <c r="B1150" s="4" t="n">
        <v>2</v>
      </c>
      <c r="C1150" s="4" t="inlineStr">
        <is>
          <t>mule deer</t>
        </is>
      </c>
      <c r="D1150" s="4" t="n">
        <v>2022</v>
      </c>
      <c r="E1150" s="13" t="inlineStr">
        <is>
          <t>General</t>
        </is>
      </c>
      <c r="F1150" s="5" t="n"/>
      <c r="G1150" s="5" t="n"/>
      <c r="H1150" s="5" t="n">
        <v>150</v>
      </c>
      <c r="I1150" s="5" t="n">
        <v>120</v>
      </c>
      <c r="J1150" s="5" t="n">
        <v>30</v>
      </c>
      <c r="K1150" s="10">
        <f>IF(F1150&gt;0,H1150/F1150,"")</f>
        <v/>
      </c>
      <c r="L1150" s="16">
        <f>IF(AND(G1150&gt;0,H1150&gt;0),G1150/H1150,"")</f>
        <v/>
      </c>
    </row>
    <row r="1151">
      <c r="A1151" s="4" t="inlineStr">
        <is>
          <t>215</t>
        </is>
      </c>
      <c r="B1151" s="4" t="n">
        <v>2</v>
      </c>
      <c r="C1151" s="4" t="inlineStr">
        <is>
          <t>mule deer</t>
        </is>
      </c>
      <c r="D1151" s="4" t="n">
        <v>2023</v>
      </c>
      <c r="E1151" s="13" t="inlineStr">
        <is>
          <t>General</t>
        </is>
      </c>
      <c r="F1151" s="5" t="n">
        <v>1324</v>
      </c>
      <c r="G1151" s="5" t="n">
        <v>10409</v>
      </c>
      <c r="H1151" s="5" t="n">
        <v>140</v>
      </c>
      <c r="I1151" s="5" t="n">
        <v>124</v>
      </c>
      <c r="J1151" s="5" t="n">
        <v>17</v>
      </c>
      <c r="K1151" s="10">
        <f>IF(F1151&gt;0,H1151/F1151,"")</f>
        <v/>
      </c>
      <c r="L1151" s="16">
        <f>IF(AND(G1151&gt;0,H1151&gt;0),G1151/H1151,"")</f>
        <v/>
      </c>
    </row>
    <row r="1152">
      <c r="A1152" s="4" t="inlineStr">
        <is>
          <t>215</t>
        </is>
      </c>
      <c r="B1152" s="4" t="n">
        <v>2</v>
      </c>
      <c r="C1152" s="4" t="inlineStr">
        <is>
          <t>mule deer</t>
        </is>
      </c>
      <c r="D1152" s="4" t="n">
        <v>2024</v>
      </c>
      <c r="E1152" s="13" t="inlineStr">
        <is>
          <t>General</t>
        </is>
      </c>
      <c r="F1152" s="5" t="n"/>
      <c r="G1152" s="5" t="n"/>
      <c r="H1152" s="5" t="n">
        <v>188</v>
      </c>
      <c r="I1152" s="5" t="n">
        <v>165</v>
      </c>
      <c r="J1152" s="5" t="n">
        <v>23</v>
      </c>
      <c r="K1152" s="10">
        <f>IF(F1152&gt;0,H1152/F1152,"")</f>
        <v/>
      </c>
      <c r="L1152" s="16">
        <f>IF(AND(G1152&gt;0,H1152&gt;0),G1152/H1152,"")</f>
        <v/>
      </c>
    </row>
    <row r="1153">
      <c r="A1153" s="4" t="inlineStr">
        <is>
          <t>215</t>
        </is>
      </c>
      <c r="B1153" s="4" t="n">
        <v>2</v>
      </c>
      <c r="C1153" s="4" t="inlineStr">
        <is>
          <t>mule deer</t>
        </is>
      </c>
      <c r="D1153" s="4" t="n">
        <v>2025</v>
      </c>
      <c r="E1153" s="13" t="inlineStr">
        <is>
          <t>General</t>
        </is>
      </c>
      <c r="F1153" s="5" t="n">
        <v>1406</v>
      </c>
      <c r="G1153" s="5" t="n">
        <v>10882</v>
      </c>
      <c r="H1153" s="5" t="n">
        <v>161</v>
      </c>
      <c r="I1153" s="5" t="n">
        <v>144</v>
      </c>
      <c r="J1153" s="5" t="n">
        <v>17</v>
      </c>
      <c r="K1153" s="10">
        <f>IF(F1153&gt;0,H1153/F1153,"")</f>
        <v/>
      </c>
      <c r="L1153" s="16">
        <f>IF(AND(G1153&gt;0,H1153&gt;0),G1153/H1153,"")</f>
        <v/>
      </c>
    </row>
    <row r="1154">
      <c r="A1154" s="4" t="inlineStr">
        <is>
          <t>216</t>
        </is>
      </c>
      <c r="B1154" s="4" t="n">
        <v>2</v>
      </c>
      <c r="C1154" s="4" t="inlineStr">
        <is>
          <t>mule deer</t>
        </is>
      </c>
      <c r="D1154" s="4" t="n">
        <v>2021</v>
      </c>
      <c r="E1154" s="13" t="inlineStr">
        <is>
          <t>General</t>
        </is>
      </c>
      <c r="F1154" s="5" t="n">
        <v>415</v>
      </c>
      <c r="G1154" s="5" t="n">
        <v>2786</v>
      </c>
      <c r="H1154" s="5" t="n">
        <v>55</v>
      </c>
      <c r="I1154" s="5" t="n">
        <v>55</v>
      </c>
      <c r="J1154" s="5" t="n">
        <v>0</v>
      </c>
      <c r="K1154" s="10">
        <f>IF(F1154&gt;0,H1154/F1154,"")</f>
        <v/>
      </c>
      <c r="L1154" s="16">
        <f>IF(AND(G1154&gt;0,H1154&gt;0),G1154/H1154,"")</f>
        <v/>
      </c>
    </row>
    <row r="1155">
      <c r="A1155" s="4" t="inlineStr">
        <is>
          <t>216</t>
        </is>
      </c>
      <c r="B1155" s="4" t="n">
        <v>2</v>
      </c>
      <c r="C1155" s="4" t="inlineStr">
        <is>
          <t>mule deer</t>
        </is>
      </c>
      <c r="D1155" s="4" t="n">
        <v>2022</v>
      </c>
      <c r="E1155" s="13" t="inlineStr">
        <is>
          <t>General</t>
        </is>
      </c>
      <c r="F1155" s="5" t="n"/>
      <c r="G1155" s="5" t="n"/>
      <c r="H1155" s="5" t="n">
        <v>74</v>
      </c>
      <c r="I1155" s="5" t="n">
        <v>72</v>
      </c>
      <c r="J1155" s="5" t="n">
        <v>2</v>
      </c>
      <c r="K1155" s="10">
        <f>IF(F1155&gt;0,H1155/F1155,"")</f>
        <v/>
      </c>
      <c r="L1155" s="16">
        <f>IF(AND(G1155&gt;0,H1155&gt;0),G1155/H1155,"")</f>
        <v/>
      </c>
    </row>
    <row r="1156">
      <c r="A1156" s="4" t="inlineStr">
        <is>
          <t>216</t>
        </is>
      </c>
      <c r="B1156" s="4" t="n">
        <v>2</v>
      </c>
      <c r="C1156" s="4" t="inlineStr">
        <is>
          <t>mule deer</t>
        </is>
      </c>
      <c r="D1156" s="4" t="n">
        <v>2023</v>
      </c>
      <c r="E1156" s="13" t="inlineStr">
        <is>
          <t>General</t>
        </is>
      </c>
      <c r="F1156" s="5" t="n">
        <v>476</v>
      </c>
      <c r="G1156" s="5" t="n">
        <v>2669</v>
      </c>
      <c r="H1156" s="5" t="n">
        <v>72</v>
      </c>
      <c r="I1156" s="5" t="n">
        <v>66</v>
      </c>
      <c r="J1156" s="5" t="n">
        <v>6</v>
      </c>
      <c r="K1156" s="10">
        <f>IF(F1156&gt;0,H1156/F1156,"")</f>
        <v/>
      </c>
      <c r="L1156" s="16">
        <f>IF(AND(G1156&gt;0,H1156&gt;0),G1156/H1156,"")</f>
        <v/>
      </c>
    </row>
    <row r="1157">
      <c r="A1157" s="4" t="inlineStr">
        <is>
          <t>216</t>
        </is>
      </c>
      <c r="B1157" s="4" t="n">
        <v>2</v>
      </c>
      <c r="C1157" s="4" t="inlineStr">
        <is>
          <t>mule deer</t>
        </is>
      </c>
      <c r="D1157" s="4" t="n">
        <v>2024</v>
      </c>
      <c r="E1157" s="13" t="inlineStr">
        <is>
          <t>General</t>
        </is>
      </c>
      <c r="F1157" s="5" t="n"/>
      <c r="G1157" s="5" t="n"/>
      <c r="H1157" s="5" t="n">
        <v>75</v>
      </c>
      <c r="I1157" s="5" t="n">
        <v>75</v>
      </c>
      <c r="J1157" s="5" t="n">
        <v>0</v>
      </c>
      <c r="K1157" s="10">
        <f>IF(F1157&gt;0,H1157/F1157,"")</f>
        <v/>
      </c>
      <c r="L1157" s="16">
        <f>IF(AND(G1157&gt;0,H1157&gt;0),G1157/H1157,"")</f>
        <v/>
      </c>
    </row>
    <row r="1158">
      <c r="A1158" s="4" t="inlineStr">
        <is>
          <t>216</t>
        </is>
      </c>
      <c r="B1158" s="4" t="n">
        <v>2</v>
      </c>
      <c r="C1158" s="4" t="inlineStr">
        <is>
          <t>mule deer</t>
        </is>
      </c>
      <c r="D1158" s="4" t="n">
        <v>2025</v>
      </c>
      <c r="E1158" s="13" t="inlineStr">
        <is>
          <t>General</t>
        </is>
      </c>
      <c r="F1158" s="5" t="n">
        <v>500</v>
      </c>
      <c r="G1158" s="5" t="n">
        <v>3705</v>
      </c>
      <c r="H1158" s="5" t="n">
        <v>90</v>
      </c>
      <c r="I1158" s="5" t="n">
        <v>90</v>
      </c>
      <c r="J1158" s="5" t="n">
        <v>0</v>
      </c>
      <c r="K1158" s="10">
        <f>IF(F1158&gt;0,H1158/F1158,"")</f>
        <v/>
      </c>
      <c r="L1158" s="16">
        <f>IF(AND(G1158&gt;0,H1158&gt;0),G1158/H1158,"")</f>
        <v/>
      </c>
    </row>
    <row r="1159">
      <c r="A1159" s="4" t="inlineStr">
        <is>
          <t>217</t>
        </is>
      </c>
      <c r="B1159" s="4" t="n">
        <v>2</v>
      </c>
      <c r="C1159" s="4" t="inlineStr">
        <is>
          <t>mule deer</t>
        </is>
      </c>
      <c r="D1159" s="4" t="n">
        <v>2021</v>
      </c>
      <c r="E1159" s="13" t="inlineStr">
        <is>
          <t>General</t>
        </is>
      </c>
      <c r="F1159" s="5" t="n">
        <v>401</v>
      </c>
      <c r="G1159" s="5" t="n">
        <v>2834</v>
      </c>
      <c r="H1159" s="5" t="n">
        <v>44</v>
      </c>
      <c r="I1159" s="5" t="n">
        <v>18</v>
      </c>
      <c r="J1159" s="5" t="n">
        <v>27</v>
      </c>
      <c r="K1159" s="10">
        <f>IF(F1159&gt;0,H1159/F1159,"")</f>
        <v/>
      </c>
      <c r="L1159" s="16">
        <f>IF(AND(G1159&gt;0,H1159&gt;0),G1159/H1159,"")</f>
        <v/>
      </c>
    </row>
    <row r="1160">
      <c r="A1160" s="4" t="inlineStr">
        <is>
          <t>217</t>
        </is>
      </c>
      <c r="B1160" s="4" t="n">
        <v>2</v>
      </c>
      <c r="C1160" s="4" t="inlineStr">
        <is>
          <t>mule deer</t>
        </is>
      </c>
      <c r="D1160" s="4" t="n">
        <v>2022</v>
      </c>
      <c r="E1160" s="13" t="inlineStr">
        <is>
          <t>General</t>
        </is>
      </c>
      <c r="F1160" s="5" t="n"/>
      <c r="G1160" s="5" t="n"/>
      <c r="H1160" s="5" t="n">
        <v>40</v>
      </c>
      <c r="I1160" s="5" t="n">
        <v>29</v>
      </c>
      <c r="J1160" s="5" t="n">
        <v>12</v>
      </c>
      <c r="K1160" s="10">
        <f>IF(F1160&gt;0,H1160/F1160,"")</f>
        <v/>
      </c>
      <c r="L1160" s="16">
        <f>IF(AND(G1160&gt;0,H1160&gt;0),G1160/H1160,"")</f>
        <v/>
      </c>
    </row>
    <row r="1161">
      <c r="A1161" s="4" t="inlineStr">
        <is>
          <t>217</t>
        </is>
      </c>
      <c r="B1161" s="4" t="n">
        <v>2</v>
      </c>
      <c r="C1161" s="4" t="inlineStr">
        <is>
          <t>mule deer</t>
        </is>
      </c>
      <c r="D1161" s="4" t="n">
        <v>2023</v>
      </c>
      <c r="E1161" s="13" t="inlineStr">
        <is>
          <t>General</t>
        </is>
      </c>
      <c r="F1161" s="5" t="n">
        <v>508</v>
      </c>
      <c r="G1161" s="5" t="n">
        <v>3229</v>
      </c>
      <c r="H1161" s="5" t="n">
        <v>32</v>
      </c>
      <c r="I1161" s="5" t="n">
        <v>27</v>
      </c>
      <c r="J1161" s="5" t="n">
        <v>5</v>
      </c>
      <c r="K1161" s="10">
        <f>IF(F1161&gt;0,H1161/F1161,"")</f>
        <v/>
      </c>
      <c r="L1161" s="16">
        <f>IF(AND(G1161&gt;0,H1161&gt;0),G1161/H1161,"")</f>
        <v/>
      </c>
    </row>
    <row r="1162">
      <c r="A1162" s="4" t="inlineStr">
        <is>
          <t>217</t>
        </is>
      </c>
      <c r="B1162" s="4" t="n">
        <v>2</v>
      </c>
      <c r="C1162" s="4" t="inlineStr">
        <is>
          <t>mule deer</t>
        </is>
      </c>
      <c r="D1162" s="4" t="n">
        <v>2024</v>
      </c>
      <c r="E1162" s="13" t="inlineStr">
        <is>
          <t>General</t>
        </is>
      </c>
      <c r="F1162" s="5" t="n"/>
      <c r="G1162" s="5" t="n"/>
      <c r="H1162" s="5" t="n">
        <v>44</v>
      </c>
      <c r="I1162" s="5" t="n">
        <v>36</v>
      </c>
      <c r="J1162" s="5" t="n">
        <v>8</v>
      </c>
      <c r="K1162" s="10">
        <f>IF(F1162&gt;0,H1162/F1162,"")</f>
        <v/>
      </c>
      <c r="L1162" s="16">
        <f>IF(AND(G1162&gt;0,H1162&gt;0),G1162/H1162,"")</f>
        <v/>
      </c>
    </row>
    <row r="1163">
      <c r="A1163" s="4" t="inlineStr">
        <is>
          <t>217</t>
        </is>
      </c>
      <c r="B1163" s="4" t="n">
        <v>2</v>
      </c>
      <c r="C1163" s="4" t="inlineStr">
        <is>
          <t>mule deer</t>
        </is>
      </c>
      <c r="D1163" s="4" t="n">
        <v>2025</v>
      </c>
      <c r="E1163" s="13" t="inlineStr">
        <is>
          <t>General</t>
        </is>
      </c>
      <c r="F1163" s="5" t="n">
        <v>486</v>
      </c>
      <c r="G1163" s="5" t="n">
        <v>3268</v>
      </c>
      <c r="H1163" s="5" t="n">
        <v>52</v>
      </c>
      <c r="I1163" s="5" t="n">
        <v>49</v>
      </c>
      <c r="J1163" s="5" t="n">
        <v>4</v>
      </c>
      <c r="K1163" s="10">
        <f>IF(F1163&gt;0,H1163/F1163,"")</f>
        <v/>
      </c>
      <c r="L1163" s="16">
        <f>IF(AND(G1163&gt;0,H1163&gt;0),G1163/H1163,"")</f>
        <v/>
      </c>
    </row>
    <row r="1164">
      <c r="A1164" s="4" t="inlineStr">
        <is>
          <t>240</t>
        </is>
      </c>
      <c r="B1164" s="4" t="n">
        <v>2</v>
      </c>
      <c r="C1164" s="4" t="inlineStr">
        <is>
          <t>mule deer</t>
        </is>
      </c>
      <c r="D1164" s="4" t="n">
        <v>2021</v>
      </c>
      <c r="E1164" s="13" t="inlineStr">
        <is>
          <t>General</t>
        </is>
      </c>
      <c r="F1164" s="5" t="n">
        <v>1993</v>
      </c>
      <c r="G1164" s="5" t="n">
        <v>12889</v>
      </c>
      <c r="H1164" s="5" t="n">
        <v>114</v>
      </c>
      <c r="I1164" s="5" t="n">
        <v>103</v>
      </c>
      <c r="J1164" s="5" t="n">
        <v>11</v>
      </c>
      <c r="K1164" s="10">
        <f>IF(F1164&gt;0,H1164/F1164,"")</f>
        <v/>
      </c>
      <c r="L1164" s="16">
        <f>IF(AND(G1164&gt;0,H1164&gt;0),G1164/H1164,"")</f>
        <v/>
      </c>
    </row>
    <row r="1165">
      <c r="A1165" s="4" t="inlineStr">
        <is>
          <t>240</t>
        </is>
      </c>
      <c r="B1165" s="4" t="n">
        <v>2</v>
      </c>
      <c r="C1165" s="4" t="inlineStr">
        <is>
          <t>mule deer</t>
        </is>
      </c>
      <c r="D1165" s="4" t="n">
        <v>2022</v>
      </c>
      <c r="E1165" s="13" t="inlineStr">
        <is>
          <t>General</t>
        </is>
      </c>
      <c r="F1165" s="5" t="n"/>
      <c r="G1165" s="5" t="n"/>
      <c r="H1165" s="5" t="n">
        <v>108</v>
      </c>
      <c r="I1165" s="5" t="n">
        <v>94</v>
      </c>
      <c r="J1165" s="5" t="n">
        <v>14</v>
      </c>
      <c r="K1165" s="10">
        <f>IF(F1165&gt;0,H1165/F1165,"")</f>
        <v/>
      </c>
      <c r="L1165" s="16">
        <f>IF(AND(G1165&gt;0,H1165&gt;0),G1165/H1165,"")</f>
        <v/>
      </c>
    </row>
    <row r="1166">
      <c r="A1166" s="4" t="inlineStr">
        <is>
          <t>240</t>
        </is>
      </c>
      <c r="B1166" s="4" t="n">
        <v>2</v>
      </c>
      <c r="C1166" s="4" t="inlineStr">
        <is>
          <t>mule deer</t>
        </is>
      </c>
      <c r="D1166" s="4" t="n">
        <v>2023</v>
      </c>
      <c r="E1166" s="13" t="inlineStr">
        <is>
          <t>General</t>
        </is>
      </c>
      <c r="F1166" s="5" t="n">
        <v>2226</v>
      </c>
      <c r="G1166" s="5" t="n">
        <v>15797</v>
      </c>
      <c r="H1166" s="5" t="n">
        <v>114</v>
      </c>
      <c r="I1166" s="5" t="n">
        <v>114</v>
      </c>
      <c r="J1166" s="5" t="n">
        <v>0</v>
      </c>
      <c r="K1166" s="10">
        <f>IF(F1166&gt;0,H1166/F1166,"")</f>
        <v/>
      </c>
      <c r="L1166" s="16">
        <f>IF(AND(G1166&gt;0,H1166&gt;0),G1166/H1166,"")</f>
        <v/>
      </c>
    </row>
    <row r="1167">
      <c r="A1167" s="4" t="inlineStr">
        <is>
          <t>240</t>
        </is>
      </c>
      <c r="B1167" s="4" t="n">
        <v>2</v>
      </c>
      <c r="C1167" s="4" t="inlineStr">
        <is>
          <t>mule deer</t>
        </is>
      </c>
      <c r="D1167" s="4" t="n">
        <v>2024</v>
      </c>
      <c r="E1167" s="13" t="inlineStr">
        <is>
          <t>General</t>
        </is>
      </c>
      <c r="F1167" s="5" t="n"/>
      <c r="G1167" s="5" t="n"/>
      <c r="H1167" s="5" t="n">
        <v>132</v>
      </c>
      <c r="I1167" s="5" t="n">
        <v>132</v>
      </c>
      <c r="J1167" s="5" t="n">
        <v>0</v>
      </c>
      <c r="K1167" s="10">
        <f>IF(F1167&gt;0,H1167/F1167,"")</f>
        <v/>
      </c>
      <c r="L1167" s="16">
        <f>IF(AND(G1167&gt;0,H1167&gt;0),G1167/H1167,"")</f>
        <v/>
      </c>
    </row>
    <row r="1168">
      <c r="A1168" s="4" t="inlineStr">
        <is>
          <t>240</t>
        </is>
      </c>
      <c r="B1168" s="4" t="n">
        <v>2</v>
      </c>
      <c r="C1168" s="4" t="inlineStr">
        <is>
          <t>mule deer</t>
        </is>
      </c>
      <c r="D1168" s="4" t="n">
        <v>2025</v>
      </c>
      <c r="E1168" s="13" t="inlineStr">
        <is>
          <t>General</t>
        </is>
      </c>
      <c r="F1168" s="5" t="n">
        <v>2009</v>
      </c>
      <c r="G1168" s="5" t="n">
        <v>13438</v>
      </c>
      <c r="H1168" s="5" t="n">
        <v>135</v>
      </c>
      <c r="I1168" s="5" t="n">
        <v>131</v>
      </c>
      <c r="J1168" s="5" t="n">
        <v>4</v>
      </c>
      <c r="K1168" s="10">
        <f>IF(F1168&gt;0,H1168/F1168,"")</f>
        <v/>
      </c>
      <c r="L1168" s="16">
        <f>IF(AND(G1168&gt;0,H1168&gt;0),G1168/H1168,"")</f>
        <v/>
      </c>
    </row>
    <row r="1169">
      <c r="A1169" s="4" t="inlineStr">
        <is>
          <t>250</t>
        </is>
      </c>
      <c r="B1169" s="4" t="n">
        <v>2</v>
      </c>
      <c r="C1169" s="4" t="inlineStr">
        <is>
          <t>mule deer</t>
        </is>
      </c>
      <c r="D1169" s="4" t="n">
        <v>2021</v>
      </c>
      <c r="E1169" s="15" t="inlineStr">
        <is>
          <t>Draw</t>
        </is>
      </c>
      <c r="F1169" s="5" t="n">
        <v>328</v>
      </c>
      <c r="G1169" s="5" t="n">
        <v>2089</v>
      </c>
      <c r="H1169" s="5" t="n">
        <v>17</v>
      </c>
      <c r="I1169" s="5" t="n">
        <v>17</v>
      </c>
      <c r="J1169" s="5" t="n">
        <v>0</v>
      </c>
      <c r="K1169" s="10">
        <f>IF(F1169&gt;0,H1169/F1169,"")</f>
        <v/>
      </c>
      <c r="L1169" s="16">
        <f>IF(AND(G1169&gt;0,H1169&gt;0),G1169/H1169,"")</f>
        <v/>
      </c>
    </row>
    <row r="1170">
      <c r="A1170" s="4" t="inlineStr">
        <is>
          <t>250</t>
        </is>
      </c>
      <c r="B1170" s="4" t="n">
        <v>2</v>
      </c>
      <c r="C1170" s="4" t="inlineStr">
        <is>
          <t>mule deer</t>
        </is>
      </c>
      <c r="D1170" s="4" t="n">
        <v>2022</v>
      </c>
      <c r="E1170" s="15" t="inlineStr">
        <is>
          <t>Draw</t>
        </is>
      </c>
      <c r="F1170" s="5" t="n"/>
      <c r="G1170" s="5" t="n"/>
      <c r="H1170" s="5" t="n">
        <v>22</v>
      </c>
      <c r="I1170" s="5" t="n">
        <v>22</v>
      </c>
      <c r="J1170" s="5" t="n">
        <v>0</v>
      </c>
      <c r="K1170" s="10">
        <f>IF(F1170&gt;0,H1170/F1170,"")</f>
        <v/>
      </c>
      <c r="L1170" s="16">
        <f>IF(AND(G1170&gt;0,H1170&gt;0),G1170/H1170,"")</f>
        <v/>
      </c>
    </row>
    <row r="1171">
      <c r="A1171" s="4" t="inlineStr">
        <is>
          <t>250</t>
        </is>
      </c>
      <c r="B1171" s="4" t="n">
        <v>2</v>
      </c>
      <c r="C1171" s="4" t="inlineStr">
        <is>
          <t>mule deer</t>
        </is>
      </c>
      <c r="D1171" s="4" t="n">
        <v>2023</v>
      </c>
      <c r="E1171" s="15" t="inlineStr">
        <is>
          <t>Draw</t>
        </is>
      </c>
      <c r="F1171" s="5" t="n">
        <v>421</v>
      </c>
      <c r="G1171" s="5" t="n">
        <v>2640</v>
      </c>
      <c r="H1171" s="5" t="n">
        <v>23</v>
      </c>
      <c r="I1171" s="5" t="n">
        <v>21</v>
      </c>
      <c r="J1171" s="5" t="n">
        <v>2</v>
      </c>
      <c r="K1171" s="10">
        <f>IF(F1171&gt;0,H1171/F1171,"")</f>
        <v/>
      </c>
      <c r="L1171" s="16">
        <f>IF(AND(G1171&gt;0,H1171&gt;0),G1171/H1171,"")</f>
        <v/>
      </c>
    </row>
    <row r="1172">
      <c r="A1172" s="4" t="inlineStr">
        <is>
          <t>250</t>
        </is>
      </c>
      <c r="B1172" s="4" t="n">
        <v>2</v>
      </c>
      <c r="C1172" s="4" t="inlineStr">
        <is>
          <t>mule deer</t>
        </is>
      </c>
      <c r="D1172" s="4" t="n">
        <v>2024</v>
      </c>
      <c r="E1172" s="15" t="inlineStr">
        <is>
          <t>Draw</t>
        </is>
      </c>
      <c r="F1172" s="5" t="n"/>
      <c r="G1172" s="5" t="n"/>
      <c r="H1172" s="5" t="n">
        <v>17</v>
      </c>
      <c r="I1172" s="5" t="n">
        <v>17</v>
      </c>
      <c r="J1172" s="5" t="n">
        <v>0</v>
      </c>
      <c r="K1172" s="10">
        <f>IF(F1172&gt;0,H1172/F1172,"")</f>
        <v/>
      </c>
      <c r="L1172" s="16">
        <f>IF(AND(G1172&gt;0,H1172&gt;0),G1172/H1172,"")</f>
        <v/>
      </c>
    </row>
    <row r="1173">
      <c r="A1173" s="4" t="inlineStr">
        <is>
          <t>250</t>
        </is>
      </c>
      <c r="B1173" s="4" t="n">
        <v>2</v>
      </c>
      <c r="C1173" s="4" t="inlineStr">
        <is>
          <t>mule deer</t>
        </is>
      </c>
      <c r="D1173" s="4" t="n">
        <v>2025</v>
      </c>
      <c r="E1173" s="15" t="inlineStr">
        <is>
          <t>Draw</t>
        </is>
      </c>
      <c r="F1173" s="5" t="n">
        <v>449</v>
      </c>
      <c r="G1173" s="5" t="n">
        <v>3207</v>
      </c>
      <c r="H1173" s="5" t="n">
        <v>18</v>
      </c>
      <c r="I1173" s="5" t="n">
        <v>18</v>
      </c>
      <c r="J1173" s="5" t="n">
        <v>0</v>
      </c>
      <c r="K1173" s="10">
        <f>IF(F1173&gt;0,H1173/F1173,"")</f>
        <v/>
      </c>
      <c r="L1173" s="16">
        <f>IF(AND(G1173&gt;0,H1173&gt;0),G1173/H1173,"")</f>
        <v/>
      </c>
    </row>
    <row r="1174">
      <c r="A1174" s="4" t="inlineStr">
        <is>
          <t>260</t>
        </is>
      </c>
      <c r="B1174" s="4" t="n">
        <v>2</v>
      </c>
      <c r="C1174" s="4" t="inlineStr">
        <is>
          <t>mule deer</t>
        </is>
      </c>
      <c r="D1174" s="4" t="n">
        <v>2021</v>
      </c>
      <c r="E1174" s="13" t="inlineStr">
        <is>
          <t>General</t>
        </is>
      </c>
      <c r="F1174" s="5" t="n">
        <v>1014</v>
      </c>
      <c r="G1174" s="5" t="n">
        <v>8062</v>
      </c>
      <c r="H1174" s="5" t="n">
        <v>33</v>
      </c>
      <c r="I1174" s="5" t="n">
        <v>24</v>
      </c>
      <c r="J1174" s="5" t="n">
        <v>9</v>
      </c>
      <c r="K1174" s="10">
        <f>IF(F1174&gt;0,H1174/F1174,"")</f>
        <v/>
      </c>
      <c r="L1174" s="16">
        <f>IF(AND(G1174&gt;0,H1174&gt;0),G1174/H1174,"")</f>
        <v/>
      </c>
    </row>
    <row r="1175">
      <c r="A1175" s="4" t="inlineStr">
        <is>
          <t>260</t>
        </is>
      </c>
      <c r="B1175" s="4" t="n">
        <v>2</v>
      </c>
      <c r="C1175" s="4" t="inlineStr">
        <is>
          <t>mule deer</t>
        </is>
      </c>
      <c r="D1175" s="4" t="n">
        <v>2022</v>
      </c>
      <c r="E1175" s="13" t="inlineStr">
        <is>
          <t>General</t>
        </is>
      </c>
      <c r="F1175" s="5" t="n"/>
      <c r="G1175" s="5" t="n"/>
      <c r="H1175" s="5" t="n">
        <v>42</v>
      </c>
      <c r="I1175" s="5" t="n">
        <v>27</v>
      </c>
      <c r="J1175" s="5" t="n">
        <v>15</v>
      </c>
      <c r="K1175" s="10">
        <f>IF(F1175&gt;0,H1175/F1175,"")</f>
        <v/>
      </c>
      <c r="L1175" s="16">
        <f>IF(AND(G1175&gt;0,H1175&gt;0),G1175/H1175,"")</f>
        <v/>
      </c>
    </row>
    <row r="1176">
      <c r="A1176" s="4" t="inlineStr">
        <is>
          <t>260</t>
        </is>
      </c>
      <c r="B1176" s="4" t="n">
        <v>2</v>
      </c>
      <c r="C1176" s="4" t="inlineStr">
        <is>
          <t>mule deer</t>
        </is>
      </c>
      <c r="D1176" s="4" t="n">
        <v>2023</v>
      </c>
      <c r="E1176" s="13" t="inlineStr">
        <is>
          <t>General</t>
        </is>
      </c>
      <c r="F1176" s="5" t="n">
        <v>1092</v>
      </c>
      <c r="G1176" s="5" t="n">
        <v>10053</v>
      </c>
      <c r="H1176" s="5" t="n">
        <v>45</v>
      </c>
      <c r="I1176" s="5" t="n">
        <v>37</v>
      </c>
      <c r="J1176" s="5" t="n">
        <v>8</v>
      </c>
      <c r="K1176" s="10">
        <f>IF(F1176&gt;0,H1176/F1176,"")</f>
        <v/>
      </c>
      <c r="L1176" s="16">
        <f>IF(AND(G1176&gt;0,H1176&gt;0),G1176/H1176,"")</f>
        <v/>
      </c>
    </row>
    <row r="1177">
      <c r="A1177" s="4" t="inlineStr">
        <is>
          <t>260</t>
        </is>
      </c>
      <c r="B1177" s="4" t="n">
        <v>2</v>
      </c>
      <c r="C1177" s="4" t="inlineStr">
        <is>
          <t>mule deer</t>
        </is>
      </c>
      <c r="D1177" s="4" t="n">
        <v>2024</v>
      </c>
      <c r="E1177" s="13" t="inlineStr">
        <is>
          <t>General</t>
        </is>
      </c>
      <c r="F1177" s="5" t="n"/>
      <c r="G1177" s="5" t="n"/>
      <c r="H1177" s="5" t="n">
        <v>6</v>
      </c>
      <c r="I1177" s="5" t="n">
        <v>6</v>
      </c>
      <c r="J1177" s="5" t="n">
        <v>0</v>
      </c>
      <c r="K1177" s="10">
        <f>IF(F1177&gt;0,H1177/F1177,"")</f>
        <v/>
      </c>
      <c r="L1177" s="16">
        <f>IF(AND(G1177&gt;0,H1177&gt;0),G1177/H1177,"")</f>
        <v/>
      </c>
    </row>
    <row r="1178">
      <c r="A1178" s="4" t="inlineStr">
        <is>
          <t>260</t>
        </is>
      </c>
      <c r="B1178" s="4" t="n">
        <v>2</v>
      </c>
      <c r="C1178" s="4" t="inlineStr">
        <is>
          <t>mule deer</t>
        </is>
      </c>
      <c r="D1178" s="4" t="n">
        <v>2025</v>
      </c>
      <c r="E1178" s="13" t="inlineStr">
        <is>
          <t>General</t>
        </is>
      </c>
      <c r="F1178" s="5" t="n">
        <v>1130</v>
      </c>
      <c r="G1178" s="5" t="n">
        <v>9167</v>
      </c>
      <c r="H1178" s="5" t="n">
        <v>35</v>
      </c>
      <c r="I1178" s="5" t="n">
        <v>24</v>
      </c>
      <c r="J1178" s="5" t="n">
        <v>11</v>
      </c>
      <c r="K1178" s="10">
        <f>IF(F1178&gt;0,H1178/F1178,"")</f>
        <v/>
      </c>
      <c r="L1178" s="16">
        <f>IF(AND(G1178&gt;0,H1178&gt;0),G1178/H1178,"")</f>
        <v/>
      </c>
    </row>
    <row r="1179">
      <c r="A1179" s="4" t="inlineStr">
        <is>
          <t>261</t>
        </is>
      </c>
      <c r="B1179" s="4" t="n">
        <v>2</v>
      </c>
      <c r="C1179" s="4" t="inlineStr">
        <is>
          <t>mule deer</t>
        </is>
      </c>
      <c r="D1179" s="4" t="n">
        <v>2021</v>
      </c>
      <c r="E1179" s="15" t="inlineStr">
        <is>
          <t>Draw</t>
        </is>
      </c>
      <c r="F1179" s="5" t="n">
        <v>379</v>
      </c>
      <c r="G1179" s="5" t="n">
        <v>2616</v>
      </c>
      <c r="H1179" s="5" t="n">
        <v>12</v>
      </c>
      <c r="I1179" s="5" t="n">
        <v>8</v>
      </c>
      <c r="J1179" s="5" t="n">
        <v>4</v>
      </c>
      <c r="K1179" s="10">
        <f>IF(F1179&gt;0,H1179/F1179,"")</f>
        <v/>
      </c>
      <c r="L1179" s="16">
        <f>IF(AND(G1179&gt;0,H1179&gt;0),G1179/H1179,"")</f>
        <v/>
      </c>
    </row>
    <row r="1180">
      <c r="A1180" s="4" t="inlineStr">
        <is>
          <t>261</t>
        </is>
      </c>
      <c r="B1180" s="4" t="n">
        <v>2</v>
      </c>
      <c r="C1180" s="4" t="inlineStr">
        <is>
          <t>mule deer</t>
        </is>
      </c>
      <c r="D1180" s="4" t="n">
        <v>2022</v>
      </c>
      <c r="E1180" s="15" t="inlineStr">
        <is>
          <t>Draw</t>
        </is>
      </c>
      <c r="F1180" s="5" t="n"/>
      <c r="G1180" s="5" t="n"/>
      <c r="H1180" s="5" t="n">
        <v>14</v>
      </c>
      <c r="I1180" s="5" t="n">
        <v>9</v>
      </c>
      <c r="J1180" s="5" t="n">
        <v>5</v>
      </c>
      <c r="K1180" s="10">
        <f>IF(F1180&gt;0,H1180/F1180,"")</f>
        <v/>
      </c>
      <c r="L1180" s="16">
        <f>IF(AND(G1180&gt;0,H1180&gt;0),G1180/H1180,"")</f>
        <v/>
      </c>
    </row>
    <row r="1181">
      <c r="A1181" s="4" t="inlineStr">
        <is>
          <t>261</t>
        </is>
      </c>
      <c r="B1181" s="4" t="n">
        <v>2</v>
      </c>
      <c r="C1181" s="4" t="inlineStr">
        <is>
          <t>mule deer</t>
        </is>
      </c>
      <c r="D1181" s="4" t="n">
        <v>2023</v>
      </c>
      <c r="E1181" s="15" t="inlineStr">
        <is>
          <t>Draw</t>
        </is>
      </c>
      <c r="F1181" s="5" t="n">
        <v>500</v>
      </c>
      <c r="G1181" s="5" t="n">
        <v>3392</v>
      </c>
      <c r="H1181" s="5" t="n">
        <v>8</v>
      </c>
      <c r="I1181" s="5" t="n">
        <v>8</v>
      </c>
      <c r="J1181" s="5" t="n">
        <v>0</v>
      </c>
      <c r="K1181" s="10">
        <f>IF(F1181&gt;0,H1181/F1181,"")</f>
        <v/>
      </c>
      <c r="L1181" s="16">
        <f>IF(AND(G1181&gt;0,H1181&gt;0),G1181/H1181,"")</f>
        <v/>
      </c>
    </row>
    <row r="1182">
      <c r="A1182" s="4" t="inlineStr">
        <is>
          <t>261</t>
        </is>
      </c>
      <c r="B1182" s="4" t="n">
        <v>2</v>
      </c>
      <c r="C1182" s="4" t="inlineStr">
        <is>
          <t>mule deer</t>
        </is>
      </c>
      <c r="D1182" s="4" t="n">
        <v>2024</v>
      </c>
      <c r="E1182" s="15" t="inlineStr">
        <is>
          <t>Draw</t>
        </is>
      </c>
      <c r="F1182" s="5" t="n"/>
      <c r="G1182" s="5" t="n"/>
      <c r="H1182" s="5" t="n">
        <v>15</v>
      </c>
      <c r="I1182" s="5" t="n">
        <v>12</v>
      </c>
      <c r="J1182" s="5" t="n">
        <v>3</v>
      </c>
      <c r="K1182" s="10">
        <f>IF(F1182&gt;0,H1182/F1182,"")</f>
        <v/>
      </c>
      <c r="L1182" s="16">
        <f>IF(AND(G1182&gt;0,H1182&gt;0),G1182/H1182,"")</f>
        <v/>
      </c>
    </row>
    <row r="1183">
      <c r="A1183" s="4" t="inlineStr">
        <is>
          <t>261</t>
        </is>
      </c>
      <c r="B1183" s="4" t="n">
        <v>2</v>
      </c>
      <c r="C1183" s="4" t="inlineStr">
        <is>
          <t>mule deer</t>
        </is>
      </c>
      <c r="D1183" s="4" t="n">
        <v>2025</v>
      </c>
      <c r="E1183" s="15" t="inlineStr">
        <is>
          <t>Draw</t>
        </is>
      </c>
      <c r="F1183" s="5" t="n">
        <v>486</v>
      </c>
      <c r="G1183" s="5" t="n">
        <v>2952</v>
      </c>
      <c r="H1183" s="5" t="n">
        <v>9</v>
      </c>
      <c r="I1183" s="5" t="n">
        <v>9</v>
      </c>
      <c r="J1183" s="5" t="n">
        <v>0</v>
      </c>
      <c r="K1183" s="10">
        <f>IF(F1183&gt;0,H1183/F1183,"")</f>
        <v/>
      </c>
      <c r="L1183" s="16">
        <f>IF(AND(G1183&gt;0,H1183&gt;0),G1183/H1183,"")</f>
        <v/>
      </c>
    </row>
    <row r="1184">
      <c r="A1184" s="4" t="inlineStr">
        <is>
          <t>262</t>
        </is>
      </c>
      <c r="B1184" s="4" t="n">
        <v>2</v>
      </c>
      <c r="C1184" s="4" t="inlineStr">
        <is>
          <t>mule deer</t>
        </is>
      </c>
      <c r="D1184" s="4" t="n">
        <v>2021</v>
      </c>
      <c r="E1184" s="15" t="inlineStr">
        <is>
          <t>Draw</t>
        </is>
      </c>
      <c r="F1184" s="5" t="n">
        <v>706</v>
      </c>
      <c r="G1184" s="5" t="n">
        <v>5017</v>
      </c>
      <c r="H1184" s="5" t="n">
        <v>71</v>
      </c>
      <c r="I1184" s="5" t="n">
        <v>11</v>
      </c>
      <c r="J1184" s="5" t="n">
        <v>60</v>
      </c>
      <c r="K1184" s="10">
        <f>IF(F1184&gt;0,H1184/F1184,"")</f>
        <v/>
      </c>
      <c r="L1184" s="16">
        <f>IF(AND(G1184&gt;0,H1184&gt;0),G1184/H1184,"")</f>
        <v/>
      </c>
    </row>
    <row r="1185">
      <c r="A1185" s="4" t="inlineStr">
        <is>
          <t>262</t>
        </is>
      </c>
      <c r="B1185" s="4" t="n">
        <v>2</v>
      </c>
      <c r="C1185" s="4" t="inlineStr">
        <is>
          <t>mule deer</t>
        </is>
      </c>
      <c r="D1185" s="4" t="n">
        <v>2022</v>
      </c>
      <c r="E1185" s="15" t="inlineStr">
        <is>
          <t>Draw</t>
        </is>
      </c>
      <c r="F1185" s="5" t="n"/>
      <c r="G1185" s="5" t="n"/>
      <c r="H1185" s="5" t="n">
        <v>50</v>
      </c>
      <c r="I1185" s="5" t="n">
        <v>20</v>
      </c>
      <c r="J1185" s="5" t="n">
        <v>31</v>
      </c>
      <c r="K1185" s="10">
        <f>IF(F1185&gt;0,H1185/F1185,"")</f>
        <v/>
      </c>
      <c r="L1185" s="16">
        <f>IF(AND(G1185&gt;0,H1185&gt;0),G1185/H1185,"")</f>
        <v/>
      </c>
    </row>
    <row r="1186">
      <c r="A1186" s="4" t="inlineStr">
        <is>
          <t>262</t>
        </is>
      </c>
      <c r="B1186" s="4" t="n">
        <v>2</v>
      </c>
      <c r="C1186" s="4" t="inlineStr">
        <is>
          <t>mule deer</t>
        </is>
      </c>
      <c r="D1186" s="4" t="n">
        <v>2023</v>
      </c>
      <c r="E1186" s="15" t="inlineStr">
        <is>
          <t>Draw</t>
        </is>
      </c>
      <c r="F1186" s="5" t="n">
        <v>748</v>
      </c>
      <c r="G1186" s="5" t="n">
        <v>5534</v>
      </c>
      <c r="H1186" s="5" t="n">
        <v>34</v>
      </c>
      <c r="I1186" s="5" t="n">
        <v>20</v>
      </c>
      <c r="J1186" s="5" t="n">
        <v>14</v>
      </c>
      <c r="K1186" s="10">
        <f>IF(F1186&gt;0,H1186/F1186,"")</f>
        <v/>
      </c>
      <c r="L1186" s="16">
        <f>IF(AND(G1186&gt;0,H1186&gt;0),G1186/H1186,"")</f>
        <v/>
      </c>
    </row>
    <row r="1187">
      <c r="A1187" s="4" t="inlineStr">
        <is>
          <t>262</t>
        </is>
      </c>
      <c r="B1187" s="4" t="n">
        <v>2</v>
      </c>
      <c r="C1187" s="4" t="inlineStr">
        <is>
          <t>mule deer</t>
        </is>
      </c>
      <c r="D1187" s="4" t="n">
        <v>2024</v>
      </c>
      <c r="E1187" s="15" t="inlineStr">
        <is>
          <t>Draw</t>
        </is>
      </c>
      <c r="F1187" s="5" t="n"/>
      <c r="G1187" s="5" t="n"/>
      <c r="H1187" s="5" t="n">
        <v>47</v>
      </c>
      <c r="I1187" s="5" t="n">
        <v>15</v>
      </c>
      <c r="J1187" s="5" t="n">
        <v>32</v>
      </c>
      <c r="K1187" s="10">
        <f>IF(F1187&gt;0,H1187/F1187,"")</f>
        <v/>
      </c>
      <c r="L1187" s="16">
        <f>IF(AND(G1187&gt;0,H1187&gt;0),G1187/H1187,"")</f>
        <v/>
      </c>
    </row>
    <row r="1188">
      <c r="A1188" s="4" t="inlineStr">
        <is>
          <t>262</t>
        </is>
      </c>
      <c r="B1188" s="4" t="n">
        <v>2</v>
      </c>
      <c r="C1188" s="4" t="inlineStr">
        <is>
          <t>mule deer</t>
        </is>
      </c>
      <c r="D1188" s="4" t="n">
        <v>2025</v>
      </c>
      <c r="E1188" s="15" t="inlineStr">
        <is>
          <t>Draw</t>
        </is>
      </c>
      <c r="F1188" s="5" t="n">
        <v>804</v>
      </c>
      <c r="G1188" s="5" t="n">
        <v>5230</v>
      </c>
      <c r="H1188" s="5" t="n">
        <v>41</v>
      </c>
      <c r="I1188" s="5" t="n">
        <v>14</v>
      </c>
      <c r="J1188" s="5" t="n">
        <v>27</v>
      </c>
      <c r="K1188" s="10">
        <f>IF(F1188&gt;0,H1188/F1188,"")</f>
        <v/>
      </c>
      <c r="L1188" s="16">
        <f>IF(AND(G1188&gt;0,H1188&gt;0),G1188/H1188,"")</f>
        <v/>
      </c>
    </row>
    <row r="1189">
      <c r="A1189" s="4" t="inlineStr">
        <is>
          <t>270</t>
        </is>
      </c>
      <c r="B1189" s="4" t="n">
        <v>2</v>
      </c>
      <c r="C1189" s="4" t="inlineStr">
        <is>
          <t>mule deer</t>
        </is>
      </c>
      <c r="D1189" s="4" t="n">
        <v>2021</v>
      </c>
      <c r="E1189" s="15" t="inlineStr">
        <is>
          <t>Draw</t>
        </is>
      </c>
      <c r="F1189" s="5" t="n">
        <v>1501</v>
      </c>
      <c r="G1189" s="5" t="n">
        <v>12220</v>
      </c>
      <c r="H1189" s="5" t="n">
        <v>92</v>
      </c>
      <c r="I1189" s="5" t="n">
        <v>70</v>
      </c>
      <c r="J1189" s="5" t="n">
        <v>22</v>
      </c>
      <c r="K1189" s="10">
        <f>IF(F1189&gt;0,H1189/F1189,"")</f>
        <v/>
      </c>
      <c r="L1189" s="16">
        <f>IF(AND(G1189&gt;0,H1189&gt;0),G1189/H1189,"")</f>
        <v/>
      </c>
    </row>
    <row r="1190">
      <c r="A1190" s="4" t="inlineStr">
        <is>
          <t>270</t>
        </is>
      </c>
      <c r="B1190" s="4" t="n">
        <v>2</v>
      </c>
      <c r="C1190" s="4" t="inlineStr">
        <is>
          <t>mule deer</t>
        </is>
      </c>
      <c r="D1190" s="4" t="n">
        <v>2022</v>
      </c>
      <c r="E1190" s="15" t="inlineStr">
        <is>
          <t>Draw</t>
        </is>
      </c>
      <c r="F1190" s="5" t="n"/>
      <c r="G1190" s="5" t="n"/>
      <c r="H1190" s="5" t="n">
        <v>67</v>
      </c>
      <c r="I1190" s="5" t="n">
        <v>54</v>
      </c>
      <c r="J1190" s="5" t="n">
        <v>13</v>
      </c>
      <c r="K1190" s="10">
        <f>IF(F1190&gt;0,H1190/F1190,"")</f>
        <v/>
      </c>
      <c r="L1190" s="16">
        <f>IF(AND(G1190&gt;0,H1190&gt;0),G1190/H1190,"")</f>
        <v/>
      </c>
    </row>
    <row r="1191">
      <c r="A1191" s="4" t="inlineStr">
        <is>
          <t>270</t>
        </is>
      </c>
      <c r="B1191" s="4" t="n">
        <v>2</v>
      </c>
      <c r="C1191" s="4" t="inlineStr">
        <is>
          <t>mule deer</t>
        </is>
      </c>
      <c r="D1191" s="4" t="n">
        <v>2023</v>
      </c>
      <c r="E1191" s="15" t="inlineStr">
        <is>
          <t>Draw</t>
        </is>
      </c>
      <c r="F1191" s="5" t="n">
        <v>1887</v>
      </c>
      <c r="G1191" s="5" t="n">
        <v>14284</v>
      </c>
      <c r="H1191" s="5" t="n">
        <v>87</v>
      </c>
      <c r="I1191" s="5" t="n">
        <v>72</v>
      </c>
      <c r="J1191" s="5" t="n">
        <v>16</v>
      </c>
      <c r="K1191" s="10">
        <f>IF(F1191&gt;0,H1191/F1191,"")</f>
        <v/>
      </c>
      <c r="L1191" s="16">
        <f>IF(AND(G1191&gt;0,H1191&gt;0),G1191/H1191,"")</f>
        <v/>
      </c>
    </row>
    <row r="1192">
      <c r="A1192" s="4" t="inlineStr">
        <is>
          <t>270</t>
        </is>
      </c>
      <c r="B1192" s="4" t="n">
        <v>2</v>
      </c>
      <c r="C1192" s="4" t="inlineStr">
        <is>
          <t>mule deer</t>
        </is>
      </c>
      <c r="D1192" s="4" t="n">
        <v>2024</v>
      </c>
      <c r="E1192" s="15" t="inlineStr">
        <is>
          <t>Draw</t>
        </is>
      </c>
      <c r="F1192" s="5" t="n"/>
      <c r="G1192" s="5" t="n"/>
      <c r="H1192" s="5" t="n">
        <v>80</v>
      </c>
      <c r="I1192" s="5" t="n">
        <v>67</v>
      </c>
      <c r="J1192" s="5" t="n">
        <v>13</v>
      </c>
      <c r="K1192" s="10">
        <f>IF(F1192&gt;0,H1192/F1192,"")</f>
        <v/>
      </c>
      <c r="L1192" s="16">
        <f>IF(AND(G1192&gt;0,H1192&gt;0),G1192/H1192,"")</f>
        <v/>
      </c>
    </row>
    <row r="1193">
      <c r="A1193" s="4" t="inlineStr">
        <is>
          <t>270</t>
        </is>
      </c>
      <c r="B1193" s="4" t="n">
        <v>2</v>
      </c>
      <c r="C1193" s="4" t="inlineStr">
        <is>
          <t>mule deer</t>
        </is>
      </c>
      <c r="D1193" s="4" t="n">
        <v>2025</v>
      </c>
      <c r="E1193" s="15" t="inlineStr">
        <is>
          <t>Draw</t>
        </is>
      </c>
      <c r="F1193" s="5" t="n">
        <v>1968</v>
      </c>
      <c r="G1193" s="5" t="n">
        <v>16116</v>
      </c>
      <c r="H1193" s="5" t="n">
        <v>77</v>
      </c>
      <c r="I1193" s="5" t="n">
        <v>62</v>
      </c>
      <c r="J1193" s="5" t="n">
        <v>15</v>
      </c>
      <c r="K1193" s="10">
        <f>IF(F1193&gt;0,H1193/F1193,"")</f>
        <v/>
      </c>
      <c r="L1193" s="16">
        <f>IF(AND(G1193&gt;0,H1193&gt;0),G1193/H1193,"")</f>
        <v/>
      </c>
    </row>
    <row r="1194">
      <c r="A1194" s="4" t="inlineStr">
        <is>
          <t>280</t>
        </is>
      </c>
      <c r="B1194" s="4" t="n">
        <v>2</v>
      </c>
      <c r="C1194" s="4" t="inlineStr">
        <is>
          <t>mule deer</t>
        </is>
      </c>
      <c r="D1194" s="4" t="n">
        <v>2021</v>
      </c>
      <c r="E1194" s="13" t="inlineStr">
        <is>
          <t>General</t>
        </is>
      </c>
      <c r="F1194" s="5" t="n">
        <v>99</v>
      </c>
      <c r="G1194" s="5" t="n">
        <v>522</v>
      </c>
      <c r="H1194" s="5" t="n">
        <v>3</v>
      </c>
      <c r="I1194" s="5" t="n">
        <v>3</v>
      </c>
      <c r="J1194" s="5" t="n">
        <v>0</v>
      </c>
      <c r="K1194" s="10">
        <f>IF(F1194&gt;0,H1194/F1194,"")</f>
        <v/>
      </c>
      <c r="L1194" s="16">
        <f>IF(AND(G1194&gt;0,H1194&gt;0),G1194/H1194,"")</f>
        <v/>
      </c>
    </row>
    <row r="1195">
      <c r="A1195" s="4" t="inlineStr">
        <is>
          <t>280</t>
        </is>
      </c>
      <c r="B1195" s="4" t="n">
        <v>2</v>
      </c>
      <c r="C1195" s="4" t="inlineStr">
        <is>
          <t>mule deer</t>
        </is>
      </c>
      <c r="D1195" s="4" t="n">
        <v>2022</v>
      </c>
      <c r="E1195" s="13" t="inlineStr">
        <is>
          <t>General</t>
        </is>
      </c>
      <c r="F1195" s="5" t="n"/>
      <c r="G1195" s="5" t="n"/>
      <c r="H1195" s="5" t="n">
        <v>7</v>
      </c>
      <c r="I1195" s="5" t="n">
        <v>7</v>
      </c>
      <c r="J1195" s="5" t="n">
        <v>0</v>
      </c>
      <c r="K1195" s="10">
        <f>IF(F1195&gt;0,H1195/F1195,"")</f>
        <v/>
      </c>
      <c r="L1195" s="16">
        <f>IF(AND(G1195&gt;0,H1195&gt;0),G1195/H1195,"")</f>
        <v/>
      </c>
    </row>
    <row r="1196">
      <c r="A1196" s="4" t="inlineStr">
        <is>
          <t>280</t>
        </is>
      </c>
      <c r="B1196" s="4" t="n">
        <v>2</v>
      </c>
      <c r="C1196" s="4" t="inlineStr">
        <is>
          <t>mule deer</t>
        </is>
      </c>
      <c r="D1196" s="4" t="n">
        <v>2023</v>
      </c>
      <c r="E1196" s="13" t="inlineStr">
        <is>
          <t>General</t>
        </is>
      </c>
      <c r="F1196" s="5" t="n">
        <v>149</v>
      </c>
      <c r="G1196" s="5" t="n">
        <v>968</v>
      </c>
      <c r="H1196" s="5" t="n">
        <v>3</v>
      </c>
      <c r="I1196" s="5" t="n">
        <v>3</v>
      </c>
      <c r="J1196" s="5" t="n">
        <v>0</v>
      </c>
      <c r="K1196" s="10">
        <f>IF(F1196&gt;0,H1196/F1196,"")</f>
        <v/>
      </c>
      <c r="L1196" s="16">
        <f>IF(AND(G1196&gt;0,H1196&gt;0),G1196/H1196,"")</f>
        <v/>
      </c>
    </row>
    <row r="1197">
      <c r="A1197" s="4" t="inlineStr">
        <is>
          <t>280</t>
        </is>
      </c>
      <c r="B1197" s="4" t="n">
        <v>2</v>
      </c>
      <c r="C1197" s="4" t="inlineStr">
        <is>
          <t>mule deer</t>
        </is>
      </c>
      <c r="D1197" s="4" t="n">
        <v>2024</v>
      </c>
      <c r="E1197" s="13" t="inlineStr">
        <is>
          <t>General</t>
        </is>
      </c>
      <c r="F1197" s="5" t="n"/>
      <c r="G1197" s="5" t="n"/>
      <c r="H1197" s="5" t="n">
        <v>12</v>
      </c>
      <c r="I1197" s="5" t="n">
        <v>12</v>
      </c>
      <c r="J1197" s="5" t="n">
        <v>0</v>
      </c>
      <c r="K1197" s="10">
        <f>IF(F1197&gt;0,H1197/F1197,"")</f>
        <v/>
      </c>
      <c r="L1197" s="16">
        <f>IF(AND(G1197&gt;0,H1197&gt;0),G1197/H1197,"")</f>
        <v/>
      </c>
    </row>
    <row r="1198">
      <c r="A1198" s="4" t="inlineStr">
        <is>
          <t>280</t>
        </is>
      </c>
      <c r="B1198" s="4" t="n">
        <v>2</v>
      </c>
      <c r="C1198" s="4" t="inlineStr">
        <is>
          <t>mule deer</t>
        </is>
      </c>
      <c r="D1198" s="4" t="n">
        <v>2025</v>
      </c>
      <c r="E1198" s="13" t="inlineStr">
        <is>
          <t>General</t>
        </is>
      </c>
      <c r="F1198" s="5" t="n">
        <v>191</v>
      </c>
      <c r="G1198" s="5" t="n">
        <v>1204</v>
      </c>
      <c r="H1198" s="5" t="n">
        <v>7</v>
      </c>
      <c r="I1198" s="5" t="n">
        <v>7</v>
      </c>
      <c r="J1198" s="5" t="n">
        <v>0</v>
      </c>
      <c r="K1198" s="10">
        <f>IF(F1198&gt;0,H1198/F1198,"")</f>
        <v/>
      </c>
      <c r="L1198" s="16">
        <f>IF(AND(G1198&gt;0,H1198&gt;0),G1198/H1198,"")</f>
        <v/>
      </c>
    </row>
    <row r="1199">
      <c r="A1199" s="4" t="inlineStr">
        <is>
          <t>281</t>
        </is>
      </c>
      <c r="B1199" s="4" t="n">
        <v>2</v>
      </c>
      <c r="C1199" s="4" t="inlineStr">
        <is>
          <t>mule deer</t>
        </is>
      </c>
      <c r="D1199" s="4" t="n">
        <v>2021</v>
      </c>
      <c r="E1199" s="13" t="inlineStr">
        <is>
          <t>General</t>
        </is>
      </c>
      <c r="F1199" s="5" t="n">
        <v>956</v>
      </c>
      <c r="G1199" s="5" t="n">
        <v>6190</v>
      </c>
      <c r="H1199" s="5" t="n">
        <v>51</v>
      </c>
      <c r="I1199" s="5" t="n">
        <v>51</v>
      </c>
      <c r="J1199" s="5" t="n">
        <v>0</v>
      </c>
      <c r="K1199" s="10">
        <f>IF(F1199&gt;0,H1199/F1199,"")</f>
        <v/>
      </c>
      <c r="L1199" s="16">
        <f>IF(AND(G1199&gt;0,H1199&gt;0),G1199/H1199,"")</f>
        <v/>
      </c>
    </row>
    <row r="1200">
      <c r="A1200" s="4" t="inlineStr">
        <is>
          <t>281</t>
        </is>
      </c>
      <c r="B1200" s="4" t="n">
        <v>2</v>
      </c>
      <c r="C1200" s="4" t="inlineStr">
        <is>
          <t>mule deer</t>
        </is>
      </c>
      <c r="D1200" s="4" t="n">
        <v>2022</v>
      </c>
      <c r="E1200" s="13" t="inlineStr">
        <is>
          <t>General</t>
        </is>
      </c>
      <c r="F1200" s="5" t="n"/>
      <c r="G1200" s="5" t="n"/>
      <c r="H1200" s="5" t="n">
        <v>71</v>
      </c>
      <c r="I1200" s="5" t="n">
        <v>68</v>
      </c>
      <c r="J1200" s="5" t="n">
        <v>3</v>
      </c>
      <c r="K1200" s="10">
        <f>IF(F1200&gt;0,H1200/F1200,"")</f>
        <v/>
      </c>
      <c r="L1200" s="16">
        <f>IF(AND(G1200&gt;0,H1200&gt;0),G1200/H1200,"")</f>
        <v/>
      </c>
    </row>
    <row r="1201">
      <c r="A1201" s="4" t="inlineStr">
        <is>
          <t>281</t>
        </is>
      </c>
      <c r="B1201" s="4" t="n">
        <v>2</v>
      </c>
      <c r="C1201" s="4" t="inlineStr">
        <is>
          <t>mule deer</t>
        </is>
      </c>
      <c r="D1201" s="4" t="n">
        <v>2023</v>
      </c>
      <c r="E1201" s="13" t="inlineStr">
        <is>
          <t>General</t>
        </is>
      </c>
      <c r="F1201" s="5" t="n">
        <v>1153</v>
      </c>
      <c r="G1201" s="5" t="n">
        <v>8211</v>
      </c>
      <c r="H1201" s="5" t="n">
        <v>69</v>
      </c>
      <c r="I1201" s="5" t="n">
        <v>69</v>
      </c>
      <c r="J1201" s="5" t="n">
        <v>0</v>
      </c>
      <c r="K1201" s="10">
        <f>IF(F1201&gt;0,H1201/F1201,"")</f>
        <v/>
      </c>
      <c r="L1201" s="16">
        <f>IF(AND(G1201&gt;0,H1201&gt;0),G1201/H1201,"")</f>
        <v/>
      </c>
    </row>
    <row r="1202">
      <c r="A1202" s="4" t="inlineStr">
        <is>
          <t>281</t>
        </is>
      </c>
      <c r="B1202" s="4" t="n">
        <v>2</v>
      </c>
      <c r="C1202" s="4" t="inlineStr">
        <is>
          <t>mule deer</t>
        </is>
      </c>
      <c r="D1202" s="4" t="n">
        <v>2024</v>
      </c>
      <c r="E1202" s="13" t="inlineStr">
        <is>
          <t>General</t>
        </is>
      </c>
      <c r="F1202" s="5" t="n"/>
      <c r="G1202" s="5" t="n"/>
      <c r="H1202" s="5" t="n">
        <v>75</v>
      </c>
      <c r="I1202" s="5" t="n">
        <v>72</v>
      </c>
      <c r="J1202" s="5" t="n">
        <v>3</v>
      </c>
      <c r="K1202" s="10">
        <f>IF(F1202&gt;0,H1202/F1202,"")</f>
        <v/>
      </c>
      <c r="L1202" s="16">
        <f>IF(AND(G1202&gt;0,H1202&gt;0),G1202/H1202,"")</f>
        <v/>
      </c>
    </row>
    <row r="1203">
      <c r="A1203" s="4" t="inlineStr">
        <is>
          <t>281</t>
        </is>
      </c>
      <c r="B1203" s="4" t="n">
        <v>2</v>
      </c>
      <c r="C1203" s="4" t="inlineStr">
        <is>
          <t>mule deer</t>
        </is>
      </c>
      <c r="D1203" s="4" t="n">
        <v>2025</v>
      </c>
      <c r="E1203" s="13" t="inlineStr">
        <is>
          <t>General</t>
        </is>
      </c>
      <c r="F1203" s="5" t="n">
        <v>1229</v>
      </c>
      <c r="G1203" s="5" t="n">
        <v>7880</v>
      </c>
      <c r="H1203" s="5" t="n">
        <v>88</v>
      </c>
      <c r="I1203" s="5" t="n">
        <v>88</v>
      </c>
      <c r="J1203" s="5" t="n">
        <v>0</v>
      </c>
      <c r="K1203" s="10">
        <f>IF(F1203&gt;0,H1203/F1203,"")</f>
        <v/>
      </c>
      <c r="L1203" s="16">
        <f>IF(AND(G1203&gt;0,H1203&gt;0),G1203/H1203,"")</f>
        <v/>
      </c>
    </row>
    <row r="1204">
      <c r="A1204" s="4" t="inlineStr">
        <is>
          <t>282</t>
        </is>
      </c>
      <c r="B1204" s="4" t="n">
        <v>2</v>
      </c>
      <c r="C1204" s="4" t="inlineStr">
        <is>
          <t>mule deer</t>
        </is>
      </c>
      <c r="D1204" s="4" t="n">
        <v>2021</v>
      </c>
      <c r="E1204" s="13" t="inlineStr">
        <is>
          <t>General</t>
        </is>
      </c>
      <c r="F1204" s="5" t="n">
        <v>198</v>
      </c>
      <c r="G1204" s="5" t="n">
        <v>1195</v>
      </c>
      <c r="H1204" s="5" t="n">
        <v>8</v>
      </c>
      <c r="I1204" s="5" t="n">
        <v>8</v>
      </c>
      <c r="J1204" s="5" t="n">
        <v>0</v>
      </c>
      <c r="K1204" s="10">
        <f>IF(F1204&gt;0,H1204/F1204,"")</f>
        <v/>
      </c>
      <c r="L1204" s="16">
        <f>IF(AND(G1204&gt;0,H1204&gt;0),G1204/H1204,"")</f>
        <v/>
      </c>
    </row>
    <row r="1205">
      <c r="A1205" s="4" t="inlineStr">
        <is>
          <t>282</t>
        </is>
      </c>
      <c r="B1205" s="4" t="n">
        <v>2</v>
      </c>
      <c r="C1205" s="4" t="inlineStr">
        <is>
          <t>mule deer</t>
        </is>
      </c>
      <c r="D1205" s="4" t="n">
        <v>2022</v>
      </c>
      <c r="E1205" s="13" t="inlineStr">
        <is>
          <t>General</t>
        </is>
      </c>
      <c r="F1205" s="5" t="n"/>
      <c r="G1205" s="5" t="n"/>
      <c r="H1205" s="5" t="n">
        <v>17</v>
      </c>
      <c r="I1205" s="5" t="n">
        <v>15</v>
      </c>
      <c r="J1205" s="5" t="n">
        <v>2</v>
      </c>
      <c r="K1205" s="10">
        <f>IF(F1205&gt;0,H1205/F1205,"")</f>
        <v/>
      </c>
      <c r="L1205" s="16">
        <f>IF(AND(G1205&gt;0,H1205&gt;0),G1205/H1205,"")</f>
        <v/>
      </c>
    </row>
    <row r="1206">
      <c r="A1206" s="4" t="inlineStr">
        <is>
          <t>282</t>
        </is>
      </c>
      <c r="B1206" s="4" t="n">
        <v>2</v>
      </c>
      <c r="C1206" s="4" t="inlineStr">
        <is>
          <t>mule deer</t>
        </is>
      </c>
      <c r="D1206" s="4" t="n">
        <v>2023</v>
      </c>
      <c r="E1206" s="13" t="inlineStr">
        <is>
          <t>General</t>
        </is>
      </c>
      <c r="F1206" s="5" t="n">
        <v>257</v>
      </c>
      <c r="G1206" s="5" t="n">
        <v>1611</v>
      </c>
      <c r="H1206" s="5" t="n">
        <v>5</v>
      </c>
      <c r="I1206" s="5" t="n">
        <v>5</v>
      </c>
      <c r="J1206" s="5" t="n">
        <v>0</v>
      </c>
      <c r="K1206" s="10">
        <f>IF(F1206&gt;0,H1206/F1206,"")</f>
        <v/>
      </c>
      <c r="L1206" s="16">
        <f>IF(AND(G1206&gt;0,H1206&gt;0),G1206/H1206,"")</f>
        <v/>
      </c>
    </row>
    <row r="1207">
      <c r="A1207" s="4" t="inlineStr">
        <is>
          <t>282</t>
        </is>
      </c>
      <c r="B1207" s="4" t="n">
        <v>2</v>
      </c>
      <c r="C1207" s="4" t="inlineStr">
        <is>
          <t>mule deer</t>
        </is>
      </c>
      <c r="D1207" s="4" t="n">
        <v>2024</v>
      </c>
      <c r="E1207" s="13" t="inlineStr">
        <is>
          <t>General</t>
        </is>
      </c>
      <c r="F1207" s="5" t="n"/>
      <c r="G1207" s="5" t="n"/>
      <c r="H1207" s="5" t="n">
        <v>11</v>
      </c>
      <c r="I1207" s="5" t="n">
        <v>11</v>
      </c>
      <c r="J1207" s="5" t="n">
        <v>0</v>
      </c>
      <c r="K1207" s="10">
        <f>IF(F1207&gt;0,H1207/F1207,"")</f>
        <v/>
      </c>
      <c r="L1207" s="16">
        <f>IF(AND(G1207&gt;0,H1207&gt;0),G1207/H1207,"")</f>
        <v/>
      </c>
    </row>
    <row r="1208">
      <c r="A1208" s="4" t="inlineStr">
        <is>
          <t>282</t>
        </is>
      </c>
      <c r="B1208" s="4" t="n">
        <v>2</v>
      </c>
      <c r="C1208" s="4" t="inlineStr">
        <is>
          <t>mule deer</t>
        </is>
      </c>
      <c r="D1208" s="4" t="n">
        <v>2025</v>
      </c>
      <c r="E1208" s="13" t="inlineStr">
        <is>
          <t>General</t>
        </is>
      </c>
      <c r="F1208" s="5" t="n">
        <v>367</v>
      </c>
      <c r="G1208" s="5" t="n">
        <v>2250</v>
      </c>
      <c r="H1208" s="5" t="n">
        <v>11</v>
      </c>
      <c r="I1208" s="5" t="n">
        <v>11</v>
      </c>
      <c r="J1208" s="5" t="n">
        <v>0</v>
      </c>
      <c r="K1208" s="10">
        <f>IF(F1208&gt;0,H1208/F1208,"")</f>
        <v/>
      </c>
      <c r="L1208" s="16">
        <f>IF(AND(G1208&gt;0,H1208&gt;0),G1208/H1208,"")</f>
        <v/>
      </c>
    </row>
    <row r="1209">
      <c r="A1209" s="4" t="inlineStr">
        <is>
          <t>283</t>
        </is>
      </c>
      <c r="B1209" s="4" t="n">
        <v>2</v>
      </c>
      <c r="C1209" s="4" t="inlineStr">
        <is>
          <t>mule deer</t>
        </is>
      </c>
      <c r="D1209" s="4" t="n">
        <v>2021</v>
      </c>
      <c r="E1209" s="4" t="inlineStr"/>
      <c r="F1209" s="5" t="n">
        <v>1161</v>
      </c>
      <c r="G1209" s="5" t="n">
        <v>7532</v>
      </c>
      <c r="H1209" s="5" t="n">
        <v>35</v>
      </c>
      <c r="I1209" s="5" t="n">
        <v>35</v>
      </c>
      <c r="J1209" s="5" t="n">
        <v>0</v>
      </c>
      <c r="K1209" s="10">
        <f>IF(F1209&gt;0,H1209/F1209,"")</f>
        <v/>
      </c>
      <c r="L1209" s="16">
        <f>IF(AND(G1209&gt;0,H1209&gt;0),G1209/H1209,"")</f>
        <v/>
      </c>
    </row>
    <row r="1210">
      <c r="A1210" s="4" t="inlineStr">
        <is>
          <t>284</t>
        </is>
      </c>
      <c r="B1210" s="4" t="n">
        <v>2</v>
      </c>
      <c r="C1210" s="4" t="inlineStr">
        <is>
          <t>mule deer</t>
        </is>
      </c>
      <c r="D1210" s="4" t="n">
        <v>2021</v>
      </c>
      <c r="E1210" s="13" t="inlineStr">
        <is>
          <t>General</t>
        </is>
      </c>
      <c r="F1210" s="5" t="n">
        <v>200</v>
      </c>
      <c r="G1210" s="5" t="n">
        <v>1392</v>
      </c>
      <c r="H1210" s="5" t="n">
        <v>3</v>
      </c>
      <c r="I1210" s="5" t="n">
        <v>3</v>
      </c>
      <c r="J1210" s="5" t="n">
        <v>0</v>
      </c>
      <c r="K1210" s="10">
        <f>IF(F1210&gt;0,H1210/F1210,"")</f>
        <v/>
      </c>
      <c r="L1210" s="16">
        <f>IF(AND(G1210&gt;0,H1210&gt;0),G1210/H1210,"")</f>
        <v/>
      </c>
    </row>
    <row r="1211">
      <c r="A1211" s="4" t="inlineStr">
        <is>
          <t>284</t>
        </is>
      </c>
      <c r="B1211" s="4" t="n">
        <v>2</v>
      </c>
      <c r="C1211" s="4" t="inlineStr">
        <is>
          <t>mule deer</t>
        </is>
      </c>
      <c r="D1211" s="4" t="n">
        <v>2022</v>
      </c>
      <c r="E1211" s="13" t="inlineStr">
        <is>
          <t>General</t>
        </is>
      </c>
      <c r="F1211" s="5" t="n"/>
      <c r="G1211" s="5" t="n"/>
      <c r="H1211" s="5" t="n">
        <v>10</v>
      </c>
      <c r="I1211" s="5" t="n">
        <v>10</v>
      </c>
      <c r="J1211" s="5" t="n">
        <v>0</v>
      </c>
      <c r="K1211" s="10">
        <f>IF(F1211&gt;0,H1211/F1211,"")</f>
        <v/>
      </c>
      <c r="L1211" s="16">
        <f>IF(AND(G1211&gt;0,H1211&gt;0),G1211/H1211,"")</f>
        <v/>
      </c>
    </row>
    <row r="1212">
      <c r="A1212" s="4" t="inlineStr">
        <is>
          <t>284</t>
        </is>
      </c>
      <c r="B1212" s="4" t="n">
        <v>2</v>
      </c>
      <c r="C1212" s="4" t="inlineStr">
        <is>
          <t>mule deer</t>
        </is>
      </c>
      <c r="D1212" s="4" t="n">
        <v>2023</v>
      </c>
      <c r="E1212" s="13" t="inlineStr">
        <is>
          <t>General</t>
        </is>
      </c>
      <c r="F1212" s="5" t="n">
        <v>120</v>
      </c>
      <c r="G1212" s="5" t="n">
        <v>1198</v>
      </c>
      <c r="H1212" s="5" t="n">
        <v>7</v>
      </c>
      <c r="I1212" s="5" t="n">
        <v>7</v>
      </c>
      <c r="J1212" s="5" t="n">
        <v>0</v>
      </c>
      <c r="K1212" s="10">
        <f>IF(F1212&gt;0,H1212/F1212,"")</f>
        <v/>
      </c>
      <c r="L1212" s="16">
        <f>IF(AND(G1212&gt;0,H1212&gt;0),G1212/H1212,"")</f>
        <v/>
      </c>
    </row>
    <row r="1213">
      <c r="A1213" s="4" t="inlineStr">
        <is>
          <t>284</t>
        </is>
      </c>
      <c r="B1213" s="4" t="n">
        <v>2</v>
      </c>
      <c r="C1213" s="4" t="inlineStr">
        <is>
          <t>mule deer</t>
        </is>
      </c>
      <c r="D1213" s="4" t="n">
        <v>2024</v>
      </c>
      <c r="E1213" s="13" t="inlineStr">
        <is>
          <t>General</t>
        </is>
      </c>
      <c r="F1213" s="5" t="n"/>
      <c r="G1213" s="5" t="n"/>
      <c r="H1213" s="5" t="n">
        <v>3</v>
      </c>
      <c r="I1213" s="5" t="n">
        <v>3</v>
      </c>
      <c r="J1213" s="5" t="n">
        <v>0</v>
      </c>
      <c r="K1213" s="10">
        <f>IF(F1213&gt;0,H1213/F1213,"")</f>
        <v/>
      </c>
      <c r="L1213" s="16">
        <f>IF(AND(G1213&gt;0,H1213&gt;0),G1213/H1213,"")</f>
        <v/>
      </c>
    </row>
    <row r="1214">
      <c r="A1214" s="4" t="inlineStr">
        <is>
          <t>284</t>
        </is>
      </c>
      <c r="B1214" s="4" t="n">
        <v>2</v>
      </c>
      <c r="C1214" s="4" t="inlineStr">
        <is>
          <t>mule deer</t>
        </is>
      </c>
      <c r="D1214" s="4" t="n">
        <v>2025</v>
      </c>
      <c r="E1214" s="13" t="inlineStr">
        <is>
          <t>General</t>
        </is>
      </c>
      <c r="F1214" s="5" t="n">
        <v>174</v>
      </c>
      <c r="G1214" s="5" t="n">
        <v>1185</v>
      </c>
      <c r="H1214" s="5" t="n">
        <v>13</v>
      </c>
      <c r="I1214" s="5" t="n">
        <v>13</v>
      </c>
      <c r="J1214" s="5" t="n">
        <v>0</v>
      </c>
      <c r="K1214" s="10">
        <f>IF(F1214&gt;0,H1214/F1214,"")</f>
        <v/>
      </c>
      <c r="L1214" s="16">
        <f>IF(AND(G1214&gt;0,H1214&gt;0),G1214/H1214,"")</f>
        <v/>
      </c>
    </row>
    <row r="1215">
      <c r="A1215" s="4" t="inlineStr">
        <is>
          <t>285</t>
        </is>
      </c>
      <c r="B1215" s="4" t="n">
        <v>2</v>
      </c>
      <c r="C1215" s="4" t="inlineStr">
        <is>
          <t>mule deer</t>
        </is>
      </c>
      <c r="D1215" s="4" t="n">
        <v>2021</v>
      </c>
      <c r="E1215" s="13" t="inlineStr">
        <is>
          <t>General</t>
        </is>
      </c>
      <c r="F1215" s="5" t="n">
        <v>2106</v>
      </c>
      <c r="G1215" s="5" t="n">
        <v>14948</v>
      </c>
      <c r="H1215" s="5" t="n">
        <v>44</v>
      </c>
      <c r="I1215" s="5" t="n">
        <v>44</v>
      </c>
      <c r="J1215" s="5" t="n">
        <v>0</v>
      </c>
      <c r="K1215" s="10">
        <f>IF(F1215&gt;0,H1215/F1215,"")</f>
        <v/>
      </c>
      <c r="L1215" s="16">
        <f>IF(AND(G1215&gt;0,H1215&gt;0),G1215/H1215,"")</f>
        <v/>
      </c>
    </row>
    <row r="1216">
      <c r="A1216" s="4" t="inlineStr">
        <is>
          <t>285</t>
        </is>
      </c>
      <c r="B1216" s="4" t="n">
        <v>2</v>
      </c>
      <c r="C1216" s="4" t="inlineStr">
        <is>
          <t>mule deer</t>
        </is>
      </c>
      <c r="D1216" s="4" t="n">
        <v>2022</v>
      </c>
      <c r="E1216" s="13" t="inlineStr">
        <is>
          <t>General</t>
        </is>
      </c>
      <c r="F1216" s="5" t="n"/>
      <c r="G1216" s="5" t="n"/>
      <c r="H1216" s="5" t="n">
        <v>85</v>
      </c>
      <c r="I1216" s="5" t="n">
        <v>82</v>
      </c>
      <c r="J1216" s="5" t="n">
        <v>3</v>
      </c>
      <c r="K1216" s="10">
        <f>IF(F1216&gt;0,H1216/F1216,"")</f>
        <v/>
      </c>
      <c r="L1216" s="16">
        <f>IF(AND(G1216&gt;0,H1216&gt;0),G1216/H1216,"")</f>
        <v/>
      </c>
    </row>
    <row r="1217">
      <c r="A1217" s="4" t="inlineStr">
        <is>
          <t>285</t>
        </is>
      </c>
      <c r="B1217" s="4" t="n">
        <v>2</v>
      </c>
      <c r="C1217" s="4" t="inlineStr">
        <is>
          <t>mule deer</t>
        </is>
      </c>
      <c r="D1217" s="4" t="n">
        <v>2023</v>
      </c>
      <c r="E1217" s="13" t="inlineStr">
        <is>
          <t>General</t>
        </is>
      </c>
      <c r="F1217" s="5" t="n">
        <v>2665</v>
      </c>
      <c r="G1217" s="5" t="n">
        <v>18860</v>
      </c>
      <c r="H1217" s="5" t="n">
        <v>100</v>
      </c>
      <c r="I1217" s="5" t="n">
        <v>97</v>
      </c>
      <c r="J1217" s="5" t="n">
        <v>3</v>
      </c>
      <c r="K1217" s="10">
        <f>IF(F1217&gt;0,H1217/F1217,"")</f>
        <v/>
      </c>
      <c r="L1217" s="16">
        <f>IF(AND(G1217&gt;0,H1217&gt;0),G1217/H1217,"")</f>
        <v/>
      </c>
    </row>
    <row r="1218">
      <c r="A1218" s="4" t="inlineStr">
        <is>
          <t>285</t>
        </is>
      </c>
      <c r="B1218" s="4" t="n">
        <v>2</v>
      </c>
      <c r="C1218" s="4" t="inlineStr">
        <is>
          <t>mule deer</t>
        </is>
      </c>
      <c r="D1218" s="4" t="n">
        <v>2024</v>
      </c>
      <c r="E1218" s="13" t="inlineStr">
        <is>
          <t>General</t>
        </is>
      </c>
      <c r="F1218" s="5" t="n"/>
      <c r="G1218" s="5" t="n"/>
      <c r="H1218" s="5" t="n">
        <v>109</v>
      </c>
      <c r="I1218" s="5" t="n">
        <v>104</v>
      </c>
      <c r="J1218" s="5" t="n">
        <v>5</v>
      </c>
      <c r="K1218" s="10">
        <f>IF(F1218&gt;0,H1218/F1218,"")</f>
        <v/>
      </c>
      <c r="L1218" s="16">
        <f>IF(AND(G1218&gt;0,H1218&gt;0),G1218/H1218,"")</f>
        <v/>
      </c>
    </row>
    <row r="1219">
      <c r="A1219" s="4" t="inlineStr">
        <is>
          <t>285</t>
        </is>
      </c>
      <c r="B1219" s="4" t="n">
        <v>2</v>
      </c>
      <c r="C1219" s="4" t="inlineStr">
        <is>
          <t>mule deer</t>
        </is>
      </c>
      <c r="D1219" s="4" t="n">
        <v>2025</v>
      </c>
      <c r="E1219" s="13" t="inlineStr">
        <is>
          <t>General</t>
        </is>
      </c>
      <c r="F1219" s="5" t="n">
        <v>3133</v>
      </c>
      <c r="G1219" s="5" t="n">
        <v>20680</v>
      </c>
      <c r="H1219" s="5" t="n">
        <v>144</v>
      </c>
      <c r="I1219" s="5" t="n">
        <v>142</v>
      </c>
      <c r="J1219" s="5" t="n">
        <v>3</v>
      </c>
      <c r="K1219" s="10">
        <f>IF(F1219&gt;0,H1219/F1219,"")</f>
        <v/>
      </c>
      <c r="L1219" s="16">
        <f>IF(AND(G1219&gt;0,H1219&gt;0),G1219/H1219,"")</f>
        <v/>
      </c>
    </row>
    <row r="1220">
      <c r="A1220" s="4" t="inlineStr">
        <is>
          <t>290</t>
        </is>
      </c>
      <c r="B1220" s="4" t="n">
        <v>2</v>
      </c>
      <c r="C1220" s="4" t="inlineStr">
        <is>
          <t>mule deer</t>
        </is>
      </c>
      <c r="D1220" s="4" t="n">
        <v>2021</v>
      </c>
      <c r="E1220" s="13" t="inlineStr">
        <is>
          <t>General</t>
        </is>
      </c>
      <c r="F1220" s="5" t="n">
        <v>230</v>
      </c>
      <c r="G1220" s="5" t="n">
        <v>1882</v>
      </c>
      <c r="H1220" s="5" t="n">
        <v>19</v>
      </c>
      <c r="I1220" s="5" t="n">
        <v>19</v>
      </c>
      <c r="J1220" s="5" t="n">
        <v>0</v>
      </c>
      <c r="K1220" s="10">
        <f>IF(F1220&gt;0,H1220/F1220,"")</f>
        <v/>
      </c>
      <c r="L1220" s="16">
        <f>IF(AND(G1220&gt;0,H1220&gt;0),G1220/H1220,"")</f>
        <v/>
      </c>
    </row>
    <row r="1221">
      <c r="A1221" s="4" t="inlineStr">
        <is>
          <t>290</t>
        </is>
      </c>
      <c r="B1221" s="4" t="n">
        <v>2</v>
      </c>
      <c r="C1221" s="4" t="inlineStr">
        <is>
          <t>mule deer</t>
        </is>
      </c>
      <c r="D1221" s="4" t="n">
        <v>2022</v>
      </c>
      <c r="E1221" s="13" t="inlineStr">
        <is>
          <t>General</t>
        </is>
      </c>
      <c r="F1221" s="5" t="n"/>
      <c r="G1221" s="5" t="n"/>
      <c r="H1221" s="5" t="n">
        <v>26</v>
      </c>
      <c r="I1221" s="5" t="n">
        <v>24</v>
      </c>
      <c r="J1221" s="5" t="n">
        <v>2</v>
      </c>
      <c r="K1221" s="10">
        <f>IF(F1221&gt;0,H1221/F1221,"")</f>
        <v/>
      </c>
      <c r="L1221" s="16">
        <f>IF(AND(G1221&gt;0,H1221&gt;0),G1221/H1221,"")</f>
        <v/>
      </c>
    </row>
    <row r="1222">
      <c r="A1222" s="4" t="inlineStr">
        <is>
          <t>290</t>
        </is>
      </c>
      <c r="B1222" s="4" t="n">
        <v>2</v>
      </c>
      <c r="C1222" s="4" t="inlineStr">
        <is>
          <t>mule deer</t>
        </is>
      </c>
      <c r="D1222" s="4" t="n">
        <v>2023</v>
      </c>
      <c r="E1222" s="13" t="inlineStr">
        <is>
          <t>General</t>
        </is>
      </c>
      <c r="F1222" s="5" t="n">
        <v>190</v>
      </c>
      <c r="G1222" s="5" t="n">
        <v>1373</v>
      </c>
      <c r="H1222" s="5" t="n">
        <v>20</v>
      </c>
      <c r="I1222" s="5" t="n">
        <v>20</v>
      </c>
      <c r="J1222" s="5" t="n">
        <v>0</v>
      </c>
      <c r="K1222" s="10">
        <f>IF(F1222&gt;0,H1222/F1222,"")</f>
        <v/>
      </c>
      <c r="L1222" s="16">
        <f>IF(AND(G1222&gt;0,H1222&gt;0),G1222/H1222,"")</f>
        <v/>
      </c>
    </row>
    <row r="1223">
      <c r="A1223" s="4" t="inlineStr">
        <is>
          <t>290</t>
        </is>
      </c>
      <c r="B1223" s="4" t="n">
        <v>2</v>
      </c>
      <c r="C1223" s="4" t="inlineStr">
        <is>
          <t>mule deer</t>
        </is>
      </c>
      <c r="D1223" s="4" t="n">
        <v>2024</v>
      </c>
      <c r="E1223" s="13" t="inlineStr">
        <is>
          <t>General</t>
        </is>
      </c>
      <c r="F1223" s="5" t="n"/>
      <c r="G1223" s="5" t="n"/>
      <c r="H1223" s="5" t="n">
        <v>9</v>
      </c>
      <c r="I1223" s="5" t="n">
        <v>9</v>
      </c>
      <c r="J1223" s="5" t="n">
        <v>0</v>
      </c>
      <c r="K1223" s="10">
        <f>IF(F1223&gt;0,H1223/F1223,"")</f>
        <v/>
      </c>
      <c r="L1223" s="16">
        <f>IF(AND(G1223&gt;0,H1223&gt;0),G1223/H1223,"")</f>
        <v/>
      </c>
    </row>
    <row r="1224">
      <c r="A1224" s="4" t="inlineStr">
        <is>
          <t>290</t>
        </is>
      </c>
      <c r="B1224" s="4" t="n">
        <v>2</v>
      </c>
      <c r="C1224" s="4" t="inlineStr">
        <is>
          <t>mule deer</t>
        </is>
      </c>
      <c r="D1224" s="4" t="n">
        <v>2025</v>
      </c>
      <c r="E1224" s="13" t="inlineStr">
        <is>
          <t>General</t>
        </is>
      </c>
      <c r="F1224" s="5" t="n">
        <v>317</v>
      </c>
      <c r="G1224" s="5" t="n">
        <v>2325</v>
      </c>
      <c r="H1224" s="5" t="n">
        <v>17</v>
      </c>
      <c r="I1224" s="5" t="n">
        <v>17</v>
      </c>
      <c r="J1224" s="5" t="n">
        <v>0</v>
      </c>
      <c r="K1224" s="10">
        <f>IF(F1224&gt;0,H1224/F1224,"")</f>
        <v/>
      </c>
      <c r="L1224" s="16">
        <f>IF(AND(G1224&gt;0,H1224&gt;0),G1224/H1224,"")</f>
        <v/>
      </c>
    </row>
    <row r="1225">
      <c r="A1225" s="4" t="inlineStr">
        <is>
          <t>291</t>
        </is>
      </c>
      <c r="B1225" s="4" t="n">
        <v>2</v>
      </c>
      <c r="C1225" s="4" t="inlineStr">
        <is>
          <t>mule deer</t>
        </is>
      </c>
      <c r="D1225" s="4" t="n">
        <v>2021</v>
      </c>
      <c r="E1225" s="15" t="inlineStr">
        <is>
          <t>Draw</t>
        </is>
      </c>
      <c r="F1225" s="5" t="n">
        <v>362</v>
      </c>
      <c r="G1225" s="5" t="n">
        <v>2121</v>
      </c>
      <c r="H1225" s="5" t="n">
        <v>65</v>
      </c>
      <c r="I1225" s="5" t="n">
        <v>54</v>
      </c>
      <c r="J1225" s="5" t="n">
        <v>12</v>
      </c>
      <c r="K1225" s="10">
        <f>IF(F1225&gt;0,H1225/F1225,"")</f>
        <v/>
      </c>
      <c r="L1225" s="16">
        <f>IF(AND(G1225&gt;0,H1225&gt;0),G1225/H1225,"")</f>
        <v/>
      </c>
    </row>
    <row r="1226">
      <c r="A1226" s="4" t="inlineStr">
        <is>
          <t>291</t>
        </is>
      </c>
      <c r="B1226" s="4" t="n">
        <v>2</v>
      </c>
      <c r="C1226" s="4" t="inlineStr">
        <is>
          <t>mule deer</t>
        </is>
      </c>
      <c r="D1226" s="4" t="n">
        <v>2022</v>
      </c>
      <c r="E1226" s="15" t="inlineStr">
        <is>
          <t>Draw</t>
        </is>
      </c>
      <c r="F1226" s="5" t="n"/>
      <c r="G1226" s="5" t="n"/>
      <c r="H1226" s="5" t="n">
        <v>39</v>
      </c>
      <c r="I1226" s="5" t="n">
        <v>39</v>
      </c>
      <c r="J1226" s="5" t="n">
        <v>0</v>
      </c>
      <c r="K1226" s="10">
        <f>IF(F1226&gt;0,H1226/F1226,"")</f>
        <v/>
      </c>
      <c r="L1226" s="16">
        <f>IF(AND(G1226&gt;0,H1226&gt;0),G1226/H1226,"")</f>
        <v/>
      </c>
    </row>
    <row r="1227">
      <c r="A1227" s="4" t="inlineStr">
        <is>
          <t>291</t>
        </is>
      </c>
      <c r="B1227" s="4" t="n">
        <v>2</v>
      </c>
      <c r="C1227" s="4" t="inlineStr">
        <is>
          <t>mule deer</t>
        </is>
      </c>
      <c r="D1227" s="4" t="n">
        <v>2023</v>
      </c>
      <c r="E1227" s="15" t="inlineStr">
        <is>
          <t>Draw</t>
        </is>
      </c>
      <c r="F1227" s="5" t="n">
        <v>250</v>
      </c>
      <c r="G1227" s="5" t="n">
        <v>1687</v>
      </c>
      <c r="H1227" s="5" t="n">
        <v>44</v>
      </c>
      <c r="I1227" s="5" t="n">
        <v>41</v>
      </c>
      <c r="J1227" s="5" t="n">
        <v>2</v>
      </c>
      <c r="K1227" s="10">
        <f>IF(F1227&gt;0,H1227/F1227,"")</f>
        <v/>
      </c>
      <c r="L1227" s="16">
        <f>IF(AND(G1227&gt;0,H1227&gt;0),G1227/H1227,"")</f>
        <v/>
      </c>
    </row>
    <row r="1228">
      <c r="A1228" s="4" t="inlineStr">
        <is>
          <t>291</t>
        </is>
      </c>
      <c r="B1228" s="4" t="n">
        <v>2</v>
      </c>
      <c r="C1228" s="4" t="inlineStr">
        <is>
          <t>mule deer</t>
        </is>
      </c>
      <c r="D1228" s="4" t="n">
        <v>2024</v>
      </c>
      <c r="E1228" s="15" t="inlineStr">
        <is>
          <t>Draw</t>
        </is>
      </c>
      <c r="F1228" s="5" t="n"/>
      <c r="G1228" s="5" t="n"/>
      <c r="H1228" s="5" t="n">
        <v>60</v>
      </c>
      <c r="I1228" s="5" t="n">
        <v>54</v>
      </c>
      <c r="J1228" s="5" t="n">
        <v>6</v>
      </c>
      <c r="K1228" s="10">
        <f>IF(F1228&gt;0,H1228/F1228,"")</f>
        <v/>
      </c>
      <c r="L1228" s="16">
        <f>IF(AND(G1228&gt;0,H1228&gt;0),G1228/H1228,"")</f>
        <v/>
      </c>
    </row>
    <row r="1229">
      <c r="A1229" s="4" t="inlineStr">
        <is>
          <t>291</t>
        </is>
      </c>
      <c r="B1229" s="4" t="n">
        <v>2</v>
      </c>
      <c r="C1229" s="4" t="inlineStr">
        <is>
          <t>mule deer</t>
        </is>
      </c>
      <c r="D1229" s="4" t="n">
        <v>2025</v>
      </c>
      <c r="E1229" s="15" t="inlineStr">
        <is>
          <t>Draw</t>
        </is>
      </c>
      <c r="F1229" s="5" t="n">
        <v>377</v>
      </c>
      <c r="G1229" s="5" t="n">
        <v>2128</v>
      </c>
      <c r="H1229" s="5" t="n">
        <v>65</v>
      </c>
      <c r="I1229" s="5" t="n">
        <v>54</v>
      </c>
      <c r="J1229" s="5" t="n">
        <v>11</v>
      </c>
      <c r="K1229" s="10">
        <f>IF(F1229&gt;0,H1229/F1229,"")</f>
        <v/>
      </c>
      <c r="L1229" s="16">
        <f>IF(AND(G1229&gt;0,H1229&gt;0),G1229/H1229,"")</f>
        <v/>
      </c>
    </row>
    <row r="1230">
      <c r="A1230" s="4" t="inlineStr">
        <is>
          <t>292</t>
        </is>
      </c>
      <c r="B1230" s="4" t="n">
        <v>2</v>
      </c>
      <c r="C1230" s="4" t="inlineStr">
        <is>
          <t>mule deer</t>
        </is>
      </c>
      <c r="D1230" s="4" t="n">
        <v>2021</v>
      </c>
      <c r="E1230" s="13" t="inlineStr">
        <is>
          <t>General</t>
        </is>
      </c>
      <c r="F1230" s="5" t="n">
        <v>1128</v>
      </c>
      <c r="G1230" s="5" t="n">
        <v>6775</v>
      </c>
      <c r="H1230" s="5" t="n">
        <v>149</v>
      </c>
      <c r="I1230" s="5" t="n">
        <v>135</v>
      </c>
      <c r="J1230" s="5" t="n">
        <v>14</v>
      </c>
      <c r="K1230" s="10">
        <f>IF(F1230&gt;0,H1230/F1230,"")</f>
        <v/>
      </c>
      <c r="L1230" s="16">
        <f>IF(AND(G1230&gt;0,H1230&gt;0),G1230/H1230,"")</f>
        <v/>
      </c>
    </row>
    <row r="1231">
      <c r="A1231" s="4" t="inlineStr">
        <is>
          <t>292</t>
        </is>
      </c>
      <c r="B1231" s="4" t="n">
        <v>2</v>
      </c>
      <c r="C1231" s="4" t="inlineStr">
        <is>
          <t>mule deer</t>
        </is>
      </c>
      <c r="D1231" s="4" t="n">
        <v>2022</v>
      </c>
      <c r="E1231" s="13" t="inlineStr">
        <is>
          <t>General</t>
        </is>
      </c>
      <c r="F1231" s="5" t="n"/>
      <c r="G1231" s="5" t="n"/>
      <c r="H1231" s="5" t="n">
        <v>112</v>
      </c>
      <c r="I1231" s="5" t="n">
        <v>110</v>
      </c>
      <c r="J1231" s="5" t="n">
        <v>2</v>
      </c>
      <c r="K1231" s="10">
        <f>IF(F1231&gt;0,H1231/F1231,"")</f>
        <v/>
      </c>
      <c r="L1231" s="16">
        <f>IF(AND(G1231&gt;0,H1231&gt;0),G1231/H1231,"")</f>
        <v/>
      </c>
    </row>
    <row r="1232">
      <c r="A1232" s="4" t="inlineStr">
        <is>
          <t>292</t>
        </is>
      </c>
      <c r="B1232" s="4" t="n">
        <v>2</v>
      </c>
      <c r="C1232" s="4" t="inlineStr">
        <is>
          <t>mule deer</t>
        </is>
      </c>
      <c r="D1232" s="4" t="n">
        <v>2023</v>
      </c>
      <c r="E1232" s="13" t="inlineStr">
        <is>
          <t>General</t>
        </is>
      </c>
      <c r="F1232" s="5" t="n">
        <v>1477</v>
      </c>
      <c r="G1232" s="5" t="n">
        <v>8958</v>
      </c>
      <c r="H1232" s="5" t="n">
        <v>158</v>
      </c>
      <c r="I1232" s="5" t="n">
        <v>158</v>
      </c>
      <c r="J1232" s="5" t="n">
        <v>0</v>
      </c>
      <c r="K1232" s="10">
        <f>IF(F1232&gt;0,H1232/F1232,"")</f>
        <v/>
      </c>
      <c r="L1232" s="16">
        <f>IF(AND(G1232&gt;0,H1232&gt;0),G1232/H1232,"")</f>
        <v/>
      </c>
    </row>
    <row r="1233">
      <c r="A1233" s="4" t="inlineStr">
        <is>
          <t>292</t>
        </is>
      </c>
      <c r="B1233" s="4" t="n">
        <v>2</v>
      </c>
      <c r="C1233" s="4" t="inlineStr">
        <is>
          <t>mule deer</t>
        </is>
      </c>
      <c r="D1233" s="4" t="n">
        <v>2024</v>
      </c>
      <c r="E1233" s="13" t="inlineStr">
        <is>
          <t>General</t>
        </is>
      </c>
      <c r="F1233" s="5" t="n"/>
      <c r="G1233" s="5" t="n"/>
      <c r="H1233" s="5" t="n">
        <v>235</v>
      </c>
      <c r="I1233" s="5" t="n">
        <v>235</v>
      </c>
      <c r="J1233" s="5" t="n">
        <v>0</v>
      </c>
      <c r="K1233" s="10">
        <f>IF(F1233&gt;0,H1233/F1233,"")</f>
        <v/>
      </c>
      <c r="L1233" s="16">
        <f>IF(AND(G1233&gt;0,H1233&gt;0),G1233/H1233,"")</f>
        <v/>
      </c>
    </row>
    <row r="1234">
      <c r="A1234" s="4" t="inlineStr">
        <is>
          <t>292</t>
        </is>
      </c>
      <c r="B1234" s="4" t="n">
        <v>2</v>
      </c>
      <c r="C1234" s="4" t="inlineStr">
        <is>
          <t>mule deer</t>
        </is>
      </c>
      <c r="D1234" s="4" t="n">
        <v>2025</v>
      </c>
      <c r="E1234" s="13" t="inlineStr">
        <is>
          <t>General</t>
        </is>
      </c>
      <c r="F1234" s="5" t="n">
        <v>1492</v>
      </c>
      <c r="G1234" s="5" t="n">
        <v>9373</v>
      </c>
      <c r="H1234" s="5" t="n">
        <v>242</v>
      </c>
      <c r="I1234" s="5" t="n">
        <v>242</v>
      </c>
      <c r="J1234" s="5" t="n">
        <v>0</v>
      </c>
      <c r="K1234" s="10">
        <f>IF(F1234&gt;0,H1234/F1234,"")</f>
        <v/>
      </c>
      <c r="L1234" s="16">
        <f>IF(AND(G1234&gt;0,H1234&gt;0),G1234/H1234,"")</f>
        <v/>
      </c>
    </row>
    <row r="1235">
      <c r="A1235" s="4" t="inlineStr">
        <is>
          <t>293</t>
        </is>
      </c>
      <c r="B1235" s="4" t="n">
        <v>2</v>
      </c>
      <c r="C1235" s="4" t="inlineStr">
        <is>
          <t>mule deer</t>
        </is>
      </c>
      <c r="D1235" s="4" t="n">
        <v>2021</v>
      </c>
      <c r="E1235" s="13" t="inlineStr">
        <is>
          <t>General</t>
        </is>
      </c>
      <c r="F1235" s="5" t="n">
        <v>977</v>
      </c>
      <c r="G1235" s="5" t="n">
        <v>6663</v>
      </c>
      <c r="H1235" s="5" t="n">
        <v>50</v>
      </c>
      <c r="I1235" s="5" t="n">
        <v>50</v>
      </c>
      <c r="J1235" s="5" t="n">
        <v>0</v>
      </c>
      <c r="K1235" s="10">
        <f>IF(F1235&gt;0,H1235/F1235,"")</f>
        <v/>
      </c>
      <c r="L1235" s="16">
        <f>IF(AND(G1235&gt;0,H1235&gt;0),G1235/H1235,"")</f>
        <v/>
      </c>
    </row>
    <row r="1236">
      <c r="A1236" s="4" t="inlineStr">
        <is>
          <t>293</t>
        </is>
      </c>
      <c r="B1236" s="4" t="n">
        <v>2</v>
      </c>
      <c r="C1236" s="4" t="inlineStr">
        <is>
          <t>mule deer</t>
        </is>
      </c>
      <c r="D1236" s="4" t="n">
        <v>2022</v>
      </c>
      <c r="E1236" s="13" t="inlineStr">
        <is>
          <t>General</t>
        </is>
      </c>
      <c r="F1236" s="5" t="n"/>
      <c r="G1236" s="5" t="n"/>
      <c r="H1236" s="5" t="n">
        <v>81</v>
      </c>
      <c r="I1236" s="5" t="n">
        <v>81</v>
      </c>
      <c r="J1236" s="5" t="n">
        <v>0</v>
      </c>
      <c r="K1236" s="10">
        <f>IF(F1236&gt;0,H1236/F1236,"")</f>
        <v/>
      </c>
      <c r="L1236" s="16">
        <f>IF(AND(G1236&gt;0,H1236&gt;0),G1236/H1236,"")</f>
        <v/>
      </c>
    </row>
    <row r="1237">
      <c r="A1237" s="4" t="inlineStr">
        <is>
          <t>293</t>
        </is>
      </c>
      <c r="B1237" s="4" t="n">
        <v>2</v>
      </c>
      <c r="C1237" s="4" t="inlineStr">
        <is>
          <t>mule deer</t>
        </is>
      </c>
      <c r="D1237" s="4" t="n">
        <v>2023</v>
      </c>
      <c r="E1237" s="13" t="inlineStr">
        <is>
          <t>General</t>
        </is>
      </c>
      <c r="F1237" s="5" t="n">
        <v>1061</v>
      </c>
      <c r="G1237" s="5" t="n">
        <v>7106</v>
      </c>
      <c r="H1237" s="5" t="n">
        <v>83</v>
      </c>
      <c r="I1237" s="5" t="n">
        <v>80</v>
      </c>
      <c r="J1237" s="5" t="n">
        <v>3</v>
      </c>
      <c r="K1237" s="10">
        <f>IF(F1237&gt;0,H1237/F1237,"")</f>
        <v/>
      </c>
      <c r="L1237" s="16">
        <f>IF(AND(G1237&gt;0,H1237&gt;0),G1237/H1237,"")</f>
        <v/>
      </c>
    </row>
    <row r="1238">
      <c r="A1238" s="4" t="inlineStr">
        <is>
          <t>293</t>
        </is>
      </c>
      <c r="B1238" s="4" t="n">
        <v>2</v>
      </c>
      <c r="C1238" s="4" t="inlineStr">
        <is>
          <t>mule deer</t>
        </is>
      </c>
      <c r="D1238" s="4" t="n">
        <v>2024</v>
      </c>
      <c r="E1238" s="13" t="inlineStr">
        <is>
          <t>General</t>
        </is>
      </c>
      <c r="F1238" s="5" t="n"/>
      <c r="G1238" s="5" t="n"/>
      <c r="H1238" s="5" t="n">
        <v>60</v>
      </c>
      <c r="I1238" s="5" t="n">
        <v>60</v>
      </c>
      <c r="J1238" s="5" t="n">
        <v>0</v>
      </c>
      <c r="K1238" s="10">
        <f>IF(F1238&gt;0,H1238/F1238,"")</f>
        <v/>
      </c>
      <c r="L1238" s="16">
        <f>IF(AND(G1238&gt;0,H1238&gt;0),G1238/H1238,"")</f>
        <v/>
      </c>
    </row>
    <row r="1239">
      <c r="A1239" s="4" t="inlineStr">
        <is>
          <t>293</t>
        </is>
      </c>
      <c r="B1239" s="4" t="n">
        <v>2</v>
      </c>
      <c r="C1239" s="4" t="inlineStr">
        <is>
          <t>mule deer</t>
        </is>
      </c>
      <c r="D1239" s="4" t="n">
        <v>2025</v>
      </c>
      <c r="E1239" s="13" t="inlineStr">
        <is>
          <t>General</t>
        </is>
      </c>
      <c r="F1239" s="5" t="n">
        <v>1065</v>
      </c>
      <c r="G1239" s="5" t="n">
        <v>7835</v>
      </c>
      <c r="H1239" s="5" t="n">
        <v>66</v>
      </c>
      <c r="I1239" s="5" t="n">
        <v>66</v>
      </c>
      <c r="J1239" s="5" t="n">
        <v>0</v>
      </c>
      <c r="K1239" s="10">
        <f>IF(F1239&gt;0,H1239/F1239,"")</f>
        <v/>
      </c>
      <c r="L1239" s="16">
        <f>IF(AND(G1239&gt;0,H1239&gt;0),G1239/H1239,"")</f>
        <v/>
      </c>
    </row>
    <row r="1240">
      <c r="A1240" s="4" t="inlineStr">
        <is>
          <t>298</t>
        </is>
      </c>
      <c r="B1240" s="4" t="n">
        <v>2</v>
      </c>
      <c r="C1240" s="4" t="inlineStr">
        <is>
          <t>mule deer</t>
        </is>
      </c>
      <c r="D1240" s="4" t="n">
        <v>2021</v>
      </c>
      <c r="E1240" s="13" t="inlineStr">
        <is>
          <t>General</t>
        </is>
      </c>
      <c r="F1240" s="5" t="n">
        <v>177</v>
      </c>
      <c r="G1240" s="5" t="n">
        <v>1077</v>
      </c>
      <c r="H1240" s="5" t="n">
        <v>12</v>
      </c>
      <c r="I1240" s="5" t="n">
        <v>12</v>
      </c>
      <c r="J1240" s="5" t="n">
        <v>0</v>
      </c>
      <c r="K1240" s="10">
        <f>IF(F1240&gt;0,H1240/F1240,"")</f>
        <v/>
      </c>
      <c r="L1240" s="16">
        <f>IF(AND(G1240&gt;0,H1240&gt;0),G1240/H1240,"")</f>
        <v/>
      </c>
    </row>
    <row r="1241">
      <c r="A1241" s="4" t="inlineStr">
        <is>
          <t>298</t>
        </is>
      </c>
      <c r="B1241" s="4" t="n">
        <v>2</v>
      </c>
      <c r="C1241" s="4" t="inlineStr">
        <is>
          <t>mule deer</t>
        </is>
      </c>
      <c r="D1241" s="4" t="n">
        <v>2022</v>
      </c>
      <c r="E1241" s="13" t="inlineStr">
        <is>
          <t>General</t>
        </is>
      </c>
      <c r="F1241" s="5" t="n"/>
      <c r="G1241" s="5" t="n"/>
      <c r="H1241" s="5" t="n">
        <v>17</v>
      </c>
      <c r="I1241" s="5" t="n">
        <v>17</v>
      </c>
      <c r="J1241" s="5" t="n">
        <v>0</v>
      </c>
      <c r="K1241" s="10">
        <f>IF(F1241&gt;0,H1241/F1241,"")</f>
        <v/>
      </c>
      <c r="L1241" s="16">
        <f>IF(AND(G1241&gt;0,H1241&gt;0),G1241/H1241,"")</f>
        <v/>
      </c>
    </row>
    <row r="1242">
      <c r="A1242" s="4" t="inlineStr">
        <is>
          <t>298</t>
        </is>
      </c>
      <c r="B1242" s="4" t="n">
        <v>2</v>
      </c>
      <c r="C1242" s="4" t="inlineStr">
        <is>
          <t>mule deer</t>
        </is>
      </c>
      <c r="D1242" s="4" t="n">
        <v>2023</v>
      </c>
      <c r="E1242" s="13" t="inlineStr">
        <is>
          <t>General</t>
        </is>
      </c>
      <c r="F1242" s="5" t="n">
        <v>217</v>
      </c>
      <c r="G1242" s="5" t="n">
        <v>1243</v>
      </c>
      <c r="H1242" s="5" t="n">
        <v>20</v>
      </c>
      <c r="I1242" s="5" t="n">
        <v>17</v>
      </c>
      <c r="J1242" s="5" t="n">
        <v>0</v>
      </c>
      <c r="K1242" s="10">
        <f>IF(F1242&gt;0,H1242/F1242,"")</f>
        <v/>
      </c>
      <c r="L1242" s="16">
        <f>IF(AND(G1242&gt;0,H1242&gt;0),G1242/H1242,"")</f>
        <v/>
      </c>
    </row>
    <row r="1243">
      <c r="A1243" s="4" t="inlineStr">
        <is>
          <t>298</t>
        </is>
      </c>
      <c r="B1243" s="4" t="n">
        <v>2</v>
      </c>
      <c r="C1243" s="4" t="inlineStr">
        <is>
          <t>mule deer</t>
        </is>
      </c>
      <c r="D1243" s="4" t="n">
        <v>2024</v>
      </c>
      <c r="E1243" s="13" t="inlineStr">
        <is>
          <t>General</t>
        </is>
      </c>
      <c r="F1243" s="5" t="n"/>
      <c r="G1243" s="5" t="n"/>
      <c r="H1243" s="5" t="n">
        <v>28</v>
      </c>
      <c r="I1243" s="5" t="n">
        <v>28</v>
      </c>
      <c r="J1243" s="5" t="n">
        <v>0</v>
      </c>
      <c r="K1243" s="10">
        <f>IF(F1243&gt;0,H1243/F1243,"")</f>
        <v/>
      </c>
      <c r="L1243" s="16">
        <f>IF(AND(G1243&gt;0,H1243&gt;0),G1243/H1243,"")</f>
        <v/>
      </c>
    </row>
    <row r="1244">
      <c r="A1244" s="4" t="inlineStr">
        <is>
          <t>298</t>
        </is>
      </c>
      <c r="B1244" s="4" t="n">
        <v>2</v>
      </c>
      <c r="C1244" s="4" t="inlineStr">
        <is>
          <t>mule deer</t>
        </is>
      </c>
      <c r="D1244" s="4" t="n">
        <v>2025</v>
      </c>
      <c r="E1244" s="13" t="inlineStr">
        <is>
          <t>General</t>
        </is>
      </c>
      <c r="F1244" s="5" t="n">
        <v>286</v>
      </c>
      <c r="G1244" s="5" t="n">
        <v>1663</v>
      </c>
      <c r="H1244" s="5" t="n">
        <v>42</v>
      </c>
      <c r="I1244" s="5" t="n">
        <v>42</v>
      </c>
      <c r="J1244" s="5" t="n">
        <v>0</v>
      </c>
      <c r="K1244" s="10">
        <f>IF(F1244&gt;0,H1244/F1244,"")</f>
        <v/>
      </c>
      <c r="L1244" s="16">
        <f>IF(AND(G1244&gt;0,H1244&gt;0),G1244/H1244,"")</f>
        <v/>
      </c>
    </row>
    <row r="1245">
      <c r="A1245" s="4" t="inlineStr">
        <is>
          <t>300</t>
        </is>
      </c>
      <c r="B1245" s="4" t="n">
        <v>3</v>
      </c>
      <c r="C1245" s="4" t="inlineStr">
        <is>
          <t>mule deer</t>
        </is>
      </c>
      <c r="D1245" s="4" t="n">
        <v>2021</v>
      </c>
      <c r="E1245" s="4" t="inlineStr"/>
      <c r="F1245" s="5" t="n">
        <v>653</v>
      </c>
      <c r="G1245" s="5" t="n">
        <v>4641</v>
      </c>
      <c r="H1245" s="5" t="n">
        <v>129</v>
      </c>
      <c r="I1245" s="5" t="n">
        <v>76</v>
      </c>
      <c r="J1245" s="5" t="n">
        <v>53</v>
      </c>
      <c r="K1245" s="10">
        <f>IF(F1245&gt;0,H1245/F1245,"")</f>
        <v/>
      </c>
      <c r="L1245" s="16">
        <f>IF(AND(G1245&gt;0,H1245&gt;0),G1245/H1245,"")</f>
        <v/>
      </c>
    </row>
    <row r="1246">
      <c r="A1246" s="4" t="inlineStr">
        <is>
          <t>301</t>
        </is>
      </c>
      <c r="B1246" s="4" t="n">
        <v>3</v>
      </c>
      <c r="C1246" s="4" t="inlineStr">
        <is>
          <t>mule deer</t>
        </is>
      </c>
      <c r="D1246" s="4" t="n">
        <v>2021</v>
      </c>
      <c r="E1246" s="13" t="inlineStr">
        <is>
          <t>General</t>
        </is>
      </c>
      <c r="F1246" s="5" t="n">
        <v>704</v>
      </c>
      <c r="G1246" s="5" t="n">
        <v>4334</v>
      </c>
      <c r="H1246" s="5" t="n">
        <v>76</v>
      </c>
      <c r="I1246" s="5" t="n">
        <v>76</v>
      </c>
      <c r="J1246" s="5" t="n">
        <v>0</v>
      </c>
      <c r="K1246" s="10">
        <f>IF(F1246&gt;0,H1246/F1246,"")</f>
        <v/>
      </c>
      <c r="L1246" s="16">
        <f>IF(AND(G1246&gt;0,H1246&gt;0),G1246/H1246,"")</f>
        <v/>
      </c>
    </row>
    <row r="1247">
      <c r="A1247" s="4" t="inlineStr">
        <is>
          <t>301</t>
        </is>
      </c>
      <c r="B1247" s="4" t="n">
        <v>3</v>
      </c>
      <c r="C1247" s="4" t="inlineStr">
        <is>
          <t>mule deer</t>
        </is>
      </c>
      <c r="D1247" s="4" t="n">
        <v>2022</v>
      </c>
      <c r="E1247" s="13" t="inlineStr">
        <is>
          <t>General</t>
        </is>
      </c>
      <c r="F1247" s="5" t="n"/>
      <c r="G1247" s="5" t="n"/>
      <c r="H1247" s="5" t="n">
        <v>105</v>
      </c>
      <c r="I1247" s="5" t="n">
        <v>82</v>
      </c>
      <c r="J1247" s="5" t="n">
        <v>23</v>
      </c>
      <c r="K1247" s="10">
        <f>IF(F1247&gt;0,H1247/F1247,"")</f>
        <v/>
      </c>
      <c r="L1247" s="16">
        <f>IF(AND(G1247&gt;0,H1247&gt;0),G1247/H1247,"")</f>
        <v/>
      </c>
    </row>
    <row r="1248">
      <c r="A1248" s="4" t="inlineStr">
        <is>
          <t>301</t>
        </is>
      </c>
      <c r="B1248" s="4" t="n">
        <v>3</v>
      </c>
      <c r="C1248" s="4" t="inlineStr">
        <is>
          <t>mule deer</t>
        </is>
      </c>
      <c r="D1248" s="4" t="n">
        <v>2023</v>
      </c>
      <c r="E1248" s="13" t="inlineStr">
        <is>
          <t>General</t>
        </is>
      </c>
      <c r="F1248" s="5" t="n">
        <v>952</v>
      </c>
      <c r="G1248" s="5" t="n">
        <v>6492</v>
      </c>
      <c r="H1248" s="5" t="n">
        <v>102</v>
      </c>
      <c r="I1248" s="5" t="n">
        <v>94</v>
      </c>
      <c r="J1248" s="5" t="n">
        <v>8</v>
      </c>
      <c r="K1248" s="10">
        <f>IF(F1248&gt;0,H1248/F1248,"")</f>
        <v/>
      </c>
      <c r="L1248" s="16">
        <f>IF(AND(G1248&gt;0,H1248&gt;0),G1248/H1248,"")</f>
        <v/>
      </c>
    </row>
    <row r="1249">
      <c r="A1249" s="4" t="inlineStr">
        <is>
          <t>301</t>
        </is>
      </c>
      <c r="B1249" s="4" t="n">
        <v>3</v>
      </c>
      <c r="C1249" s="4" t="inlineStr">
        <is>
          <t>mule deer</t>
        </is>
      </c>
      <c r="D1249" s="4" t="n">
        <v>2024</v>
      </c>
      <c r="E1249" s="13" t="inlineStr">
        <is>
          <t>General</t>
        </is>
      </c>
      <c r="F1249" s="5" t="n"/>
      <c r="G1249" s="5" t="n"/>
      <c r="H1249" s="5" t="n">
        <v>99</v>
      </c>
      <c r="I1249" s="5" t="n">
        <v>94</v>
      </c>
      <c r="J1249" s="5" t="n">
        <v>6</v>
      </c>
      <c r="K1249" s="10">
        <f>IF(F1249&gt;0,H1249/F1249,"")</f>
        <v/>
      </c>
      <c r="L1249" s="16">
        <f>IF(AND(G1249&gt;0,H1249&gt;0),G1249/H1249,"")</f>
        <v/>
      </c>
    </row>
    <row r="1250">
      <c r="A1250" s="4" t="inlineStr">
        <is>
          <t>301</t>
        </is>
      </c>
      <c r="B1250" s="4" t="n">
        <v>3</v>
      </c>
      <c r="C1250" s="4" t="inlineStr">
        <is>
          <t>mule deer</t>
        </is>
      </c>
      <c r="D1250" s="4" t="n">
        <v>2025</v>
      </c>
      <c r="E1250" s="13" t="inlineStr">
        <is>
          <t>General</t>
        </is>
      </c>
      <c r="F1250" s="5" t="n">
        <v>1106</v>
      </c>
      <c r="G1250" s="5" t="n">
        <v>6509</v>
      </c>
      <c r="H1250" s="5" t="n">
        <v>146</v>
      </c>
      <c r="I1250" s="5" t="n">
        <v>137</v>
      </c>
      <c r="J1250" s="5" t="n">
        <v>9</v>
      </c>
      <c r="K1250" s="10">
        <f>IF(F1250&gt;0,H1250/F1250,"")</f>
        <v/>
      </c>
      <c r="L1250" s="16">
        <f>IF(AND(G1250&gt;0,H1250&gt;0),G1250/H1250,"")</f>
        <v/>
      </c>
    </row>
    <row r="1251">
      <c r="A1251" s="4" t="inlineStr">
        <is>
          <t>302</t>
        </is>
      </c>
      <c r="B1251" s="4" t="n">
        <v>3</v>
      </c>
      <c r="C1251" s="4" t="inlineStr">
        <is>
          <t>mule deer</t>
        </is>
      </c>
      <c r="D1251" s="4" t="n">
        <v>2021</v>
      </c>
      <c r="E1251" s="13" t="inlineStr">
        <is>
          <t>General</t>
        </is>
      </c>
      <c r="F1251" s="5" t="n">
        <v>726</v>
      </c>
      <c r="G1251" s="5" t="n">
        <v>4422</v>
      </c>
      <c r="H1251" s="5" t="n">
        <v>183</v>
      </c>
      <c r="I1251" s="5" t="n">
        <v>130</v>
      </c>
      <c r="J1251" s="5" t="n">
        <v>53</v>
      </c>
      <c r="K1251" s="10">
        <f>IF(F1251&gt;0,H1251/F1251,"")</f>
        <v/>
      </c>
      <c r="L1251" s="16">
        <f>IF(AND(G1251&gt;0,H1251&gt;0),G1251/H1251,"")</f>
        <v/>
      </c>
    </row>
    <row r="1252">
      <c r="A1252" s="4" t="inlineStr">
        <is>
          <t>302</t>
        </is>
      </c>
      <c r="B1252" s="4" t="n">
        <v>3</v>
      </c>
      <c r="C1252" s="4" t="inlineStr">
        <is>
          <t>mule deer</t>
        </is>
      </c>
      <c r="D1252" s="4" t="n">
        <v>2022</v>
      </c>
      <c r="E1252" s="13" t="inlineStr">
        <is>
          <t>General</t>
        </is>
      </c>
      <c r="F1252" s="5" t="n"/>
      <c r="G1252" s="5" t="n"/>
      <c r="H1252" s="5" t="n">
        <v>130</v>
      </c>
      <c r="I1252" s="5" t="n">
        <v>87</v>
      </c>
      <c r="J1252" s="5" t="n">
        <v>43</v>
      </c>
      <c r="K1252" s="10">
        <f>IF(F1252&gt;0,H1252/F1252,"")</f>
        <v/>
      </c>
      <c r="L1252" s="16">
        <f>IF(AND(G1252&gt;0,H1252&gt;0),G1252/H1252,"")</f>
        <v/>
      </c>
    </row>
    <row r="1253">
      <c r="A1253" s="4" t="inlineStr">
        <is>
          <t>302</t>
        </is>
      </c>
      <c r="B1253" s="4" t="n">
        <v>3</v>
      </c>
      <c r="C1253" s="4" t="inlineStr">
        <is>
          <t>mule deer</t>
        </is>
      </c>
      <c r="D1253" s="4" t="n">
        <v>2023</v>
      </c>
      <c r="E1253" s="13" t="inlineStr">
        <is>
          <t>General</t>
        </is>
      </c>
      <c r="F1253" s="5" t="n">
        <v>764</v>
      </c>
      <c r="G1253" s="5" t="n">
        <v>4757</v>
      </c>
      <c r="H1253" s="5" t="n">
        <v>140</v>
      </c>
      <c r="I1253" s="5" t="n">
        <v>108</v>
      </c>
      <c r="J1253" s="5" t="n">
        <v>28</v>
      </c>
      <c r="K1253" s="10">
        <f>IF(F1253&gt;0,H1253/F1253,"")</f>
        <v/>
      </c>
      <c r="L1253" s="16">
        <f>IF(AND(G1253&gt;0,H1253&gt;0),G1253/H1253,"")</f>
        <v/>
      </c>
    </row>
    <row r="1254">
      <c r="A1254" s="4" t="inlineStr">
        <is>
          <t>302</t>
        </is>
      </c>
      <c r="B1254" s="4" t="n">
        <v>3</v>
      </c>
      <c r="C1254" s="4" t="inlineStr">
        <is>
          <t>mule deer</t>
        </is>
      </c>
      <c r="D1254" s="4" t="n">
        <v>2024</v>
      </c>
      <c r="E1254" s="13" t="inlineStr">
        <is>
          <t>General</t>
        </is>
      </c>
      <c r="F1254" s="5" t="n"/>
      <c r="G1254" s="5" t="n"/>
      <c r="H1254" s="5" t="n">
        <v>194</v>
      </c>
      <c r="I1254" s="5" t="n">
        <v>128</v>
      </c>
      <c r="J1254" s="5" t="n">
        <v>66</v>
      </c>
      <c r="K1254" s="10">
        <f>IF(F1254&gt;0,H1254/F1254,"")</f>
        <v/>
      </c>
      <c r="L1254" s="16">
        <f>IF(AND(G1254&gt;0,H1254&gt;0),G1254/H1254,"")</f>
        <v/>
      </c>
    </row>
    <row r="1255">
      <c r="A1255" s="4" t="inlineStr">
        <is>
          <t>302</t>
        </is>
      </c>
      <c r="B1255" s="4" t="n">
        <v>3</v>
      </c>
      <c r="C1255" s="4" t="inlineStr">
        <is>
          <t>mule deer</t>
        </is>
      </c>
      <c r="D1255" s="4" t="n">
        <v>2025</v>
      </c>
      <c r="E1255" s="13" t="inlineStr">
        <is>
          <t>General</t>
        </is>
      </c>
      <c r="F1255" s="5" t="n">
        <v>960</v>
      </c>
      <c r="G1255" s="5" t="n">
        <v>7112</v>
      </c>
      <c r="H1255" s="5" t="n">
        <v>232</v>
      </c>
      <c r="I1255" s="5" t="n">
        <v>172</v>
      </c>
      <c r="J1255" s="5" t="n">
        <v>56</v>
      </c>
      <c r="K1255" s="10">
        <f>IF(F1255&gt;0,H1255/F1255,"")</f>
        <v/>
      </c>
      <c r="L1255" s="16">
        <f>IF(AND(G1255&gt;0,H1255&gt;0),G1255/H1255,"")</f>
        <v/>
      </c>
    </row>
    <row r="1256">
      <c r="A1256" s="4" t="inlineStr">
        <is>
          <t>303</t>
        </is>
      </c>
      <c r="B1256" s="4" t="n">
        <v>3</v>
      </c>
      <c r="C1256" s="4" t="inlineStr">
        <is>
          <t>mule deer</t>
        </is>
      </c>
      <c r="D1256" s="4" t="n">
        <v>2022</v>
      </c>
      <c r="E1256" s="15" t="inlineStr">
        <is>
          <t>Draw</t>
        </is>
      </c>
      <c r="F1256" s="5" t="n"/>
      <c r="G1256" s="5" t="n"/>
      <c r="H1256" s="5" t="n">
        <v>68</v>
      </c>
      <c r="I1256" s="5" t="n">
        <v>34</v>
      </c>
      <c r="J1256" s="5" t="n">
        <v>34</v>
      </c>
      <c r="K1256" s="10">
        <f>IF(F1256&gt;0,H1256/F1256,"")</f>
        <v/>
      </c>
      <c r="L1256" s="16">
        <f>IF(AND(G1256&gt;0,H1256&gt;0),G1256/H1256,"")</f>
        <v/>
      </c>
    </row>
    <row r="1257">
      <c r="A1257" s="4" t="inlineStr">
        <is>
          <t>303</t>
        </is>
      </c>
      <c r="B1257" s="4" t="n">
        <v>3</v>
      </c>
      <c r="C1257" s="4" t="inlineStr">
        <is>
          <t>mule deer</t>
        </is>
      </c>
      <c r="D1257" s="4" t="n">
        <v>2023</v>
      </c>
      <c r="E1257" s="15" t="inlineStr">
        <is>
          <t>Draw</t>
        </is>
      </c>
      <c r="F1257" s="5" t="n">
        <v>327</v>
      </c>
      <c r="G1257" s="5" t="n">
        <v>2125</v>
      </c>
      <c r="H1257" s="5" t="n">
        <v>78</v>
      </c>
      <c r="I1257" s="5" t="n">
        <v>52</v>
      </c>
      <c r="J1257" s="5" t="n">
        <v>25</v>
      </c>
      <c r="K1257" s="10">
        <f>IF(F1257&gt;0,H1257/F1257,"")</f>
        <v/>
      </c>
      <c r="L1257" s="16">
        <f>IF(AND(G1257&gt;0,H1257&gt;0),G1257/H1257,"")</f>
        <v/>
      </c>
    </row>
    <row r="1258">
      <c r="A1258" s="4" t="inlineStr">
        <is>
          <t>303</t>
        </is>
      </c>
      <c r="B1258" s="4" t="n">
        <v>3</v>
      </c>
      <c r="C1258" s="4" t="inlineStr">
        <is>
          <t>mule deer</t>
        </is>
      </c>
      <c r="D1258" s="4" t="n">
        <v>2024</v>
      </c>
      <c r="E1258" s="15" t="inlineStr">
        <is>
          <t>Draw</t>
        </is>
      </c>
      <c r="F1258" s="5" t="n"/>
      <c r="G1258" s="5" t="n"/>
      <c r="H1258" s="5" t="n">
        <v>50</v>
      </c>
      <c r="I1258" s="5" t="n">
        <v>26</v>
      </c>
      <c r="J1258" s="5" t="n">
        <v>24</v>
      </c>
      <c r="K1258" s="10">
        <f>IF(F1258&gt;0,H1258/F1258,"")</f>
        <v/>
      </c>
      <c r="L1258" s="16">
        <f>IF(AND(G1258&gt;0,H1258&gt;0),G1258/H1258,"")</f>
        <v/>
      </c>
    </row>
    <row r="1259">
      <c r="A1259" s="4" t="inlineStr">
        <is>
          <t>303</t>
        </is>
      </c>
      <c r="B1259" s="4" t="n">
        <v>3</v>
      </c>
      <c r="C1259" s="4" t="inlineStr">
        <is>
          <t>mule deer</t>
        </is>
      </c>
      <c r="D1259" s="4" t="n">
        <v>2025</v>
      </c>
      <c r="E1259" s="15" t="inlineStr">
        <is>
          <t>Draw</t>
        </is>
      </c>
      <c r="F1259" s="5" t="n">
        <v>348</v>
      </c>
      <c r="G1259" s="5" t="n">
        <v>2477</v>
      </c>
      <c r="H1259" s="5" t="n">
        <v>47</v>
      </c>
      <c r="I1259" s="5" t="n">
        <v>31</v>
      </c>
      <c r="J1259" s="5" t="n">
        <v>16</v>
      </c>
      <c r="K1259" s="10">
        <f>IF(F1259&gt;0,H1259/F1259,"")</f>
        <v/>
      </c>
      <c r="L1259" s="16">
        <f>IF(AND(G1259&gt;0,H1259&gt;0),G1259/H1259,"")</f>
        <v/>
      </c>
    </row>
    <row r="1260">
      <c r="A1260" s="4" t="inlineStr">
        <is>
          <t>304</t>
        </is>
      </c>
      <c r="B1260" s="4" t="n">
        <v>3</v>
      </c>
      <c r="C1260" s="4" t="inlineStr">
        <is>
          <t>mule deer</t>
        </is>
      </c>
      <c r="D1260" s="4" t="n">
        <v>2022</v>
      </c>
      <c r="E1260" s="13" t="inlineStr">
        <is>
          <t>General</t>
        </is>
      </c>
      <c r="F1260" s="5" t="n"/>
      <c r="G1260" s="5" t="n"/>
      <c r="H1260" s="5" t="n">
        <v>108</v>
      </c>
      <c r="I1260" s="5" t="n">
        <v>103</v>
      </c>
      <c r="J1260" s="5" t="n">
        <v>6</v>
      </c>
      <c r="K1260" s="10">
        <f>IF(F1260&gt;0,H1260/F1260,"")</f>
        <v/>
      </c>
      <c r="L1260" s="16">
        <f>IF(AND(G1260&gt;0,H1260&gt;0),G1260/H1260,"")</f>
        <v/>
      </c>
    </row>
    <row r="1261">
      <c r="A1261" s="4" t="inlineStr">
        <is>
          <t>304</t>
        </is>
      </c>
      <c r="B1261" s="4" t="n">
        <v>3</v>
      </c>
      <c r="C1261" s="4" t="inlineStr">
        <is>
          <t>mule deer</t>
        </is>
      </c>
      <c r="D1261" s="4" t="n">
        <v>2023</v>
      </c>
      <c r="E1261" s="13" t="inlineStr">
        <is>
          <t>General</t>
        </is>
      </c>
      <c r="F1261" s="5" t="n">
        <v>490</v>
      </c>
      <c r="G1261" s="5" t="n">
        <v>2685</v>
      </c>
      <c r="H1261" s="5" t="n">
        <v>63</v>
      </c>
      <c r="I1261" s="5" t="n">
        <v>57</v>
      </c>
      <c r="J1261" s="5" t="n">
        <v>6</v>
      </c>
      <c r="K1261" s="10">
        <f>IF(F1261&gt;0,H1261/F1261,"")</f>
        <v/>
      </c>
      <c r="L1261" s="16">
        <f>IF(AND(G1261&gt;0,H1261&gt;0),G1261/H1261,"")</f>
        <v/>
      </c>
    </row>
    <row r="1262">
      <c r="A1262" s="4" t="inlineStr">
        <is>
          <t>304</t>
        </is>
      </c>
      <c r="B1262" s="4" t="n">
        <v>3</v>
      </c>
      <c r="C1262" s="4" t="inlineStr">
        <is>
          <t>mule deer</t>
        </is>
      </c>
      <c r="D1262" s="4" t="n">
        <v>2024</v>
      </c>
      <c r="E1262" s="13" t="inlineStr">
        <is>
          <t>General</t>
        </is>
      </c>
      <c r="F1262" s="5" t="n"/>
      <c r="G1262" s="5" t="n"/>
      <c r="H1262" s="5" t="n">
        <v>103</v>
      </c>
      <c r="I1262" s="5" t="n">
        <v>94</v>
      </c>
      <c r="J1262" s="5" t="n">
        <v>9</v>
      </c>
      <c r="K1262" s="10">
        <f>IF(F1262&gt;0,H1262/F1262,"")</f>
        <v/>
      </c>
      <c r="L1262" s="16">
        <f>IF(AND(G1262&gt;0,H1262&gt;0),G1262/H1262,"")</f>
        <v/>
      </c>
    </row>
    <row r="1263">
      <c r="A1263" s="4" t="inlineStr">
        <is>
          <t>304</t>
        </is>
      </c>
      <c r="B1263" s="4" t="n">
        <v>3</v>
      </c>
      <c r="C1263" s="4" t="inlineStr">
        <is>
          <t>mule deer</t>
        </is>
      </c>
      <c r="D1263" s="4" t="n">
        <v>2025</v>
      </c>
      <c r="E1263" s="13" t="inlineStr">
        <is>
          <t>General</t>
        </is>
      </c>
      <c r="F1263" s="5" t="n">
        <v>462</v>
      </c>
      <c r="G1263" s="5" t="n">
        <v>2772</v>
      </c>
      <c r="H1263" s="5" t="n">
        <v>74</v>
      </c>
      <c r="I1263" s="5" t="n">
        <v>65</v>
      </c>
      <c r="J1263" s="5" t="n">
        <v>10</v>
      </c>
      <c r="K1263" s="10">
        <f>IF(F1263&gt;0,H1263/F1263,"")</f>
        <v/>
      </c>
      <c r="L1263" s="16">
        <f>IF(AND(G1263&gt;0,H1263&gt;0),G1263/H1263,"")</f>
        <v/>
      </c>
    </row>
    <row r="1264">
      <c r="A1264" s="4" t="inlineStr">
        <is>
          <t>309</t>
        </is>
      </c>
      <c r="B1264" s="4" t="n">
        <v>3</v>
      </c>
      <c r="C1264" s="4" t="inlineStr">
        <is>
          <t>mule deer</t>
        </is>
      </c>
      <c r="D1264" s="4" t="n">
        <v>2021</v>
      </c>
      <c r="E1264" s="13" t="inlineStr">
        <is>
          <t>General</t>
        </is>
      </c>
      <c r="F1264" s="5" t="n">
        <v>764</v>
      </c>
      <c r="G1264" s="5" t="n">
        <v>4932</v>
      </c>
      <c r="H1264" s="5" t="n">
        <v>21</v>
      </c>
      <c r="I1264" s="5" t="n">
        <v>12</v>
      </c>
      <c r="J1264" s="5" t="n">
        <v>9</v>
      </c>
      <c r="K1264" s="10">
        <f>IF(F1264&gt;0,H1264/F1264,"")</f>
        <v/>
      </c>
      <c r="L1264" s="16">
        <f>IF(AND(G1264&gt;0,H1264&gt;0),G1264/H1264,"")</f>
        <v/>
      </c>
    </row>
    <row r="1265">
      <c r="A1265" s="4" t="inlineStr">
        <is>
          <t>309</t>
        </is>
      </c>
      <c r="B1265" s="4" t="n">
        <v>3</v>
      </c>
      <c r="C1265" s="4" t="inlineStr">
        <is>
          <t>mule deer</t>
        </is>
      </c>
      <c r="D1265" s="4" t="n">
        <v>2022</v>
      </c>
      <c r="E1265" s="13" t="inlineStr">
        <is>
          <t>General</t>
        </is>
      </c>
      <c r="F1265" s="5" t="n"/>
      <c r="G1265" s="5" t="n"/>
      <c r="H1265" s="5" t="n">
        <v>33</v>
      </c>
      <c r="I1265" s="5" t="n">
        <v>27</v>
      </c>
      <c r="J1265" s="5" t="n">
        <v>7</v>
      </c>
      <c r="K1265" s="10">
        <f>IF(F1265&gt;0,H1265/F1265,"")</f>
        <v/>
      </c>
      <c r="L1265" s="16">
        <f>IF(AND(G1265&gt;0,H1265&gt;0),G1265/H1265,"")</f>
        <v/>
      </c>
    </row>
    <row r="1266">
      <c r="A1266" s="4" t="inlineStr">
        <is>
          <t>309</t>
        </is>
      </c>
      <c r="B1266" s="4" t="n">
        <v>3</v>
      </c>
      <c r="C1266" s="4" t="inlineStr">
        <is>
          <t>mule deer</t>
        </is>
      </c>
      <c r="D1266" s="4" t="n">
        <v>2023</v>
      </c>
      <c r="E1266" s="13" t="inlineStr">
        <is>
          <t>General</t>
        </is>
      </c>
      <c r="F1266" s="5" t="n">
        <v>627</v>
      </c>
      <c r="G1266" s="5" t="n">
        <v>4167</v>
      </c>
      <c r="H1266" s="5" t="n">
        <v>23</v>
      </c>
      <c r="I1266" s="5" t="n">
        <v>23</v>
      </c>
      <c r="J1266" s="5" t="n">
        <v>0</v>
      </c>
      <c r="K1266" s="10">
        <f>IF(F1266&gt;0,H1266/F1266,"")</f>
        <v/>
      </c>
      <c r="L1266" s="16">
        <f>IF(AND(G1266&gt;0,H1266&gt;0),G1266/H1266,"")</f>
        <v/>
      </c>
    </row>
    <row r="1267">
      <c r="A1267" s="4" t="inlineStr">
        <is>
          <t>309</t>
        </is>
      </c>
      <c r="B1267" s="4" t="n">
        <v>3</v>
      </c>
      <c r="C1267" s="4" t="inlineStr">
        <is>
          <t>mule deer</t>
        </is>
      </c>
      <c r="D1267" s="4" t="n">
        <v>2024</v>
      </c>
      <c r="E1267" s="13" t="inlineStr">
        <is>
          <t>General</t>
        </is>
      </c>
      <c r="F1267" s="5" t="n"/>
      <c r="G1267" s="5" t="n"/>
      <c r="H1267" s="5" t="n">
        <v>40</v>
      </c>
      <c r="I1267" s="5" t="n">
        <v>40</v>
      </c>
      <c r="J1267" s="5" t="n">
        <v>0</v>
      </c>
      <c r="K1267" s="10">
        <f>IF(F1267&gt;0,H1267/F1267,"")</f>
        <v/>
      </c>
      <c r="L1267" s="16">
        <f>IF(AND(G1267&gt;0,H1267&gt;0),G1267/H1267,"")</f>
        <v/>
      </c>
    </row>
    <row r="1268">
      <c r="A1268" s="4" t="inlineStr">
        <is>
          <t>309</t>
        </is>
      </c>
      <c r="B1268" s="4" t="n">
        <v>3</v>
      </c>
      <c r="C1268" s="4" t="inlineStr">
        <is>
          <t>mule deer</t>
        </is>
      </c>
      <c r="D1268" s="4" t="n">
        <v>2025</v>
      </c>
      <c r="E1268" s="13" t="inlineStr">
        <is>
          <t>General</t>
        </is>
      </c>
      <c r="F1268" s="5" t="n">
        <v>802</v>
      </c>
      <c r="G1268" s="5" t="n">
        <v>5389</v>
      </c>
      <c r="H1268" s="5" t="n">
        <v>68</v>
      </c>
      <c r="I1268" s="5" t="n">
        <v>68</v>
      </c>
      <c r="J1268" s="5" t="n">
        <v>0</v>
      </c>
      <c r="K1268" s="10">
        <f>IF(F1268&gt;0,H1268/F1268,"")</f>
        <v/>
      </c>
      <c r="L1268" s="16">
        <f>IF(AND(G1268&gt;0,H1268&gt;0),G1268/H1268,"")</f>
        <v/>
      </c>
    </row>
    <row r="1269">
      <c r="A1269" s="4" t="inlineStr">
        <is>
          <t>310</t>
        </is>
      </c>
      <c r="B1269" s="4" t="n">
        <v>3</v>
      </c>
      <c r="C1269" s="4" t="inlineStr">
        <is>
          <t>mule deer</t>
        </is>
      </c>
      <c r="D1269" s="4" t="n">
        <v>2021</v>
      </c>
      <c r="E1269" s="13" t="inlineStr">
        <is>
          <t>General</t>
        </is>
      </c>
      <c r="F1269" s="5" t="n">
        <v>295</v>
      </c>
      <c r="G1269" s="5" t="n">
        <v>1884</v>
      </c>
      <c r="H1269" s="5" t="n">
        <v>31</v>
      </c>
      <c r="I1269" s="5" t="n">
        <v>19</v>
      </c>
      <c r="J1269" s="5" t="n">
        <v>13</v>
      </c>
      <c r="K1269" s="10">
        <f>IF(F1269&gt;0,H1269/F1269,"")</f>
        <v/>
      </c>
      <c r="L1269" s="16">
        <f>IF(AND(G1269&gt;0,H1269&gt;0),G1269/H1269,"")</f>
        <v/>
      </c>
    </row>
    <row r="1270">
      <c r="A1270" s="4" t="inlineStr">
        <is>
          <t>310</t>
        </is>
      </c>
      <c r="B1270" s="4" t="n">
        <v>3</v>
      </c>
      <c r="C1270" s="4" t="inlineStr">
        <is>
          <t>mule deer</t>
        </is>
      </c>
      <c r="D1270" s="4" t="n">
        <v>2022</v>
      </c>
      <c r="E1270" s="13" t="inlineStr">
        <is>
          <t>General</t>
        </is>
      </c>
      <c r="F1270" s="5" t="n"/>
      <c r="G1270" s="5" t="n"/>
      <c r="H1270" s="5" t="n">
        <v>32</v>
      </c>
      <c r="I1270" s="5" t="n">
        <v>32</v>
      </c>
      <c r="J1270" s="5" t="n">
        <v>0</v>
      </c>
      <c r="K1270" s="10">
        <f>IF(F1270&gt;0,H1270/F1270,"")</f>
        <v/>
      </c>
      <c r="L1270" s="16">
        <f>IF(AND(G1270&gt;0,H1270&gt;0),G1270/H1270,"")</f>
        <v/>
      </c>
    </row>
    <row r="1271">
      <c r="A1271" s="4" t="inlineStr">
        <is>
          <t>310</t>
        </is>
      </c>
      <c r="B1271" s="4" t="n">
        <v>3</v>
      </c>
      <c r="C1271" s="4" t="inlineStr">
        <is>
          <t>mule deer</t>
        </is>
      </c>
      <c r="D1271" s="4" t="n">
        <v>2023</v>
      </c>
      <c r="E1271" s="13" t="inlineStr">
        <is>
          <t>General</t>
        </is>
      </c>
      <c r="F1271" s="5" t="n">
        <v>504</v>
      </c>
      <c r="G1271" s="5" t="n">
        <v>3778</v>
      </c>
      <c r="H1271" s="5" t="n">
        <v>55</v>
      </c>
      <c r="I1271" s="5" t="n">
        <v>52</v>
      </c>
      <c r="J1271" s="5" t="n">
        <v>3</v>
      </c>
      <c r="K1271" s="10">
        <f>IF(F1271&gt;0,H1271/F1271,"")</f>
        <v/>
      </c>
      <c r="L1271" s="16">
        <f>IF(AND(G1271&gt;0,H1271&gt;0),G1271/H1271,"")</f>
        <v/>
      </c>
    </row>
    <row r="1272">
      <c r="A1272" s="4" t="inlineStr">
        <is>
          <t>310</t>
        </is>
      </c>
      <c r="B1272" s="4" t="n">
        <v>3</v>
      </c>
      <c r="C1272" s="4" t="inlineStr">
        <is>
          <t>mule deer</t>
        </is>
      </c>
      <c r="D1272" s="4" t="n">
        <v>2024</v>
      </c>
      <c r="E1272" s="13" t="inlineStr">
        <is>
          <t>General</t>
        </is>
      </c>
      <c r="F1272" s="5" t="n"/>
      <c r="G1272" s="5" t="n"/>
      <c r="H1272" s="5" t="n">
        <v>39</v>
      </c>
      <c r="I1272" s="5" t="n">
        <v>30</v>
      </c>
      <c r="J1272" s="5" t="n">
        <v>6</v>
      </c>
      <c r="K1272" s="10">
        <f>IF(F1272&gt;0,H1272/F1272,"")</f>
        <v/>
      </c>
      <c r="L1272" s="16">
        <f>IF(AND(G1272&gt;0,H1272&gt;0),G1272/H1272,"")</f>
        <v/>
      </c>
    </row>
    <row r="1273">
      <c r="A1273" s="4" t="inlineStr">
        <is>
          <t>310</t>
        </is>
      </c>
      <c r="B1273" s="4" t="n">
        <v>3</v>
      </c>
      <c r="C1273" s="4" t="inlineStr">
        <is>
          <t>mule deer</t>
        </is>
      </c>
      <c r="D1273" s="4" t="n">
        <v>2025</v>
      </c>
      <c r="E1273" s="13" t="inlineStr">
        <is>
          <t>General</t>
        </is>
      </c>
      <c r="F1273" s="5" t="n">
        <v>527</v>
      </c>
      <c r="G1273" s="5" t="n">
        <v>3514</v>
      </c>
      <c r="H1273" s="5" t="n">
        <v>37</v>
      </c>
      <c r="I1273" s="5" t="n">
        <v>37</v>
      </c>
      <c r="J1273" s="5" t="n">
        <v>0</v>
      </c>
      <c r="K1273" s="10">
        <f>IF(F1273&gt;0,H1273/F1273,"")</f>
        <v/>
      </c>
      <c r="L1273" s="16">
        <f>IF(AND(G1273&gt;0,H1273&gt;0),G1273/H1273,"")</f>
        <v/>
      </c>
    </row>
    <row r="1274">
      <c r="A1274" s="4" t="inlineStr">
        <is>
          <t>311</t>
        </is>
      </c>
      <c r="B1274" s="4" t="n">
        <v>3</v>
      </c>
      <c r="C1274" s="4" t="inlineStr">
        <is>
          <t>mule deer</t>
        </is>
      </c>
      <c r="D1274" s="4" t="n">
        <v>2021</v>
      </c>
      <c r="E1274" s="13" t="inlineStr">
        <is>
          <t>General</t>
        </is>
      </c>
      <c r="F1274" s="5" t="n">
        <v>1928</v>
      </c>
      <c r="G1274" s="5" t="n">
        <v>12380</v>
      </c>
      <c r="H1274" s="5" t="n">
        <v>413</v>
      </c>
      <c r="I1274" s="5" t="n">
        <v>303</v>
      </c>
      <c r="J1274" s="5" t="n">
        <v>105</v>
      </c>
      <c r="K1274" s="10">
        <f>IF(F1274&gt;0,H1274/F1274,"")</f>
        <v/>
      </c>
      <c r="L1274" s="16">
        <f>IF(AND(G1274&gt;0,H1274&gt;0),G1274/H1274,"")</f>
        <v/>
      </c>
    </row>
    <row r="1275">
      <c r="A1275" s="4" t="inlineStr">
        <is>
          <t>311</t>
        </is>
      </c>
      <c r="B1275" s="4" t="n">
        <v>3</v>
      </c>
      <c r="C1275" s="4" t="inlineStr">
        <is>
          <t>mule deer</t>
        </is>
      </c>
      <c r="D1275" s="4" t="n">
        <v>2022</v>
      </c>
      <c r="E1275" s="13" t="inlineStr">
        <is>
          <t>General</t>
        </is>
      </c>
      <c r="F1275" s="5" t="n"/>
      <c r="G1275" s="5" t="n"/>
      <c r="H1275" s="5" t="n">
        <v>306</v>
      </c>
      <c r="I1275" s="5" t="n">
        <v>240</v>
      </c>
      <c r="J1275" s="5" t="n">
        <v>64</v>
      </c>
      <c r="K1275" s="10">
        <f>IF(F1275&gt;0,H1275/F1275,"")</f>
        <v/>
      </c>
      <c r="L1275" s="16">
        <f>IF(AND(G1275&gt;0,H1275&gt;0),G1275/H1275,"")</f>
        <v/>
      </c>
    </row>
    <row r="1276">
      <c r="A1276" s="4" t="inlineStr">
        <is>
          <t>311</t>
        </is>
      </c>
      <c r="B1276" s="4" t="n">
        <v>3</v>
      </c>
      <c r="C1276" s="4" t="inlineStr">
        <is>
          <t>mule deer</t>
        </is>
      </c>
      <c r="D1276" s="4" t="n">
        <v>2023</v>
      </c>
      <c r="E1276" s="13" t="inlineStr">
        <is>
          <t>General</t>
        </is>
      </c>
      <c r="F1276" s="5" t="n">
        <v>1596</v>
      </c>
      <c r="G1276" s="5" t="n">
        <v>9556</v>
      </c>
      <c r="H1276" s="5" t="n">
        <v>320</v>
      </c>
      <c r="I1276" s="5" t="n">
        <v>266</v>
      </c>
      <c r="J1276" s="5" t="n">
        <v>52</v>
      </c>
      <c r="K1276" s="10">
        <f>IF(F1276&gt;0,H1276/F1276,"")</f>
        <v/>
      </c>
      <c r="L1276" s="16">
        <f>IF(AND(G1276&gt;0,H1276&gt;0),G1276/H1276,"")</f>
        <v/>
      </c>
    </row>
    <row r="1277">
      <c r="A1277" s="4" t="inlineStr">
        <is>
          <t>311</t>
        </is>
      </c>
      <c r="B1277" s="4" t="n">
        <v>3</v>
      </c>
      <c r="C1277" s="4" t="inlineStr">
        <is>
          <t>mule deer</t>
        </is>
      </c>
      <c r="D1277" s="4" t="n">
        <v>2024</v>
      </c>
      <c r="E1277" s="13" t="inlineStr">
        <is>
          <t>General</t>
        </is>
      </c>
      <c r="F1277" s="5" t="n"/>
      <c r="G1277" s="5" t="n"/>
      <c r="H1277" s="5" t="n">
        <v>395</v>
      </c>
      <c r="I1277" s="5" t="n">
        <v>328</v>
      </c>
      <c r="J1277" s="5" t="n">
        <v>66</v>
      </c>
      <c r="K1277" s="10">
        <f>IF(F1277&gt;0,H1277/F1277,"")</f>
        <v/>
      </c>
      <c r="L1277" s="16">
        <f>IF(AND(G1277&gt;0,H1277&gt;0),G1277/H1277,"")</f>
        <v/>
      </c>
    </row>
    <row r="1278">
      <c r="A1278" s="4" t="inlineStr">
        <is>
          <t>311</t>
        </is>
      </c>
      <c r="B1278" s="4" t="n">
        <v>3</v>
      </c>
      <c r="C1278" s="4" t="inlineStr">
        <is>
          <t>mule deer</t>
        </is>
      </c>
      <c r="D1278" s="4" t="n">
        <v>2025</v>
      </c>
      <c r="E1278" s="13" t="inlineStr">
        <is>
          <t>General</t>
        </is>
      </c>
      <c r="F1278" s="5" t="n">
        <v>1633</v>
      </c>
      <c r="G1278" s="5" t="n">
        <v>9458</v>
      </c>
      <c r="H1278" s="5" t="n">
        <v>295</v>
      </c>
      <c r="I1278" s="5" t="n">
        <v>236</v>
      </c>
      <c r="J1278" s="5" t="n">
        <v>59</v>
      </c>
      <c r="K1278" s="10">
        <f>IF(F1278&gt;0,H1278/F1278,"")</f>
        <v/>
      </c>
      <c r="L1278" s="16">
        <f>IF(AND(G1278&gt;0,H1278&gt;0),G1278/H1278,"")</f>
        <v/>
      </c>
    </row>
    <row r="1279">
      <c r="A1279" s="4" t="inlineStr">
        <is>
          <t>312</t>
        </is>
      </c>
      <c r="B1279" s="4" t="n">
        <v>3</v>
      </c>
      <c r="C1279" s="4" t="inlineStr">
        <is>
          <t>mule deer</t>
        </is>
      </c>
      <c r="D1279" s="4" t="n">
        <v>2021</v>
      </c>
      <c r="E1279" s="13" t="inlineStr">
        <is>
          <t>General</t>
        </is>
      </c>
      <c r="F1279" s="5" t="n">
        <v>1341</v>
      </c>
      <c r="G1279" s="5" t="n">
        <v>7253</v>
      </c>
      <c r="H1279" s="5" t="n">
        <v>194</v>
      </c>
      <c r="I1279" s="5" t="n">
        <v>160</v>
      </c>
      <c r="J1279" s="5" t="n">
        <v>34</v>
      </c>
      <c r="K1279" s="10">
        <f>IF(F1279&gt;0,H1279/F1279,"")</f>
        <v/>
      </c>
      <c r="L1279" s="16">
        <f>IF(AND(G1279&gt;0,H1279&gt;0),G1279/H1279,"")</f>
        <v/>
      </c>
    </row>
    <row r="1280">
      <c r="A1280" s="4" t="inlineStr">
        <is>
          <t>312</t>
        </is>
      </c>
      <c r="B1280" s="4" t="n">
        <v>3</v>
      </c>
      <c r="C1280" s="4" t="inlineStr">
        <is>
          <t>mule deer</t>
        </is>
      </c>
      <c r="D1280" s="4" t="n">
        <v>2022</v>
      </c>
      <c r="E1280" s="13" t="inlineStr">
        <is>
          <t>General</t>
        </is>
      </c>
      <c r="F1280" s="5" t="n"/>
      <c r="G1280" s="5" t="n"/>
      <c r="H1280" s="5" t="n">
        <v>191</v>
      </c>
      <c r="I1280" s="5" t="n">
        <v>163</v>
      </c>
      <c r="J1280" s="5" t="n">
        <v>28</v>
      </c>
      <c r="K1280" s="10">
        <f>IF(F1280&gt;0,H1280/F1280,"")</f>
        <v/>
      </c>
      <c r="L1280" s="16">
        <f>IF(AND(G1280&gt;0,H1280&gt;0),G1280/H1280,"")</f>
        <v/>
      </c>
    </row>
    <row r="1281">
      <c r="A1281" s="4" t="inlineStr">
        <is>
          <t>312</t>
        </is>
      </c>
      <c r="B1281" s="4" t="n">
        <v>3</v>
      </c>
      <c r="C1281" s="4" t="inlineStr">
        <is>
          <t>mule deer</t>
        </is>
      </c>
      <c r="D1281" s="4" t="n">
        <v>2023</v>
      </c>
      <c r="E1281" s="13" t="inlineStr">
        <is>
          <t>General</t>
        </is>
      </c>
      <c r="F1281" s="5" t="n">
        <v>1471</v>
      </c>
      <c r="G1281" s="5" t="n">
        <v>8723</v>
      </c>
      <c r="H1281" s="5" t="n">
        <v>189</v>
      </c>
      <c r="I1281" s="5" t="n">
        <v>168</v>
      </c>
      <c r="J1281" s="5" t="n">
        <v>17</v>
      </c>
      <c r="K1281" s="10">
        <f>IF(F1281&gt;0,H1281/F1281,"")</f>
        <v/>
      </c>
      <c r="L1281" s="16">
        <f>IF(AND(G1281&gt;0,H1281&gt;0),G1281/H1281,"")</f>
        <v/>
      </c>
    </row>
    <row r="1282">
      <c r="A1282" s="4" t="inlineStr">
        <is>
          <t>312</t>
        </is>
      </c>
      <c r="B1282" s="4" t="n">
        <v>3</v>
      </c>
      <c r="C1282" s="4" t="inlineStr">
        <is>
          <t>mule deer</t>
        </is>
      </c>
      <c r="D1282" s="4" t="n">
        <v>2024</v>
      </c>
      <c r="E1282" s="13" t="inlineStr">
        <is>
          <t>General</t>
        </is>
      </c>
      <c r="F1282" s="5" t="n"/>
      <c r="G1282" s="5" t="n"/>
      <c r="H1282" s="5" t="n">
        <v>171</v>
      </c>
      <c r="I1282" s="5" t="n">
        <v>152</v>
      </c>
      <c r="J1282" s="5" t="n">
        <v>19</v>
      </c>
      <c r="K1282" s="10">
        <f>IF(F1282&gt;0,H1282/F1282,"")</f>
        <v/>
      </c>
      <c r="L1282" s="16">
        <f>IF(AND(G1282&gt;0,H1282&gt;0),G1282/H1282,"")</f>
        <v/>
      </c>
    </row>
    <row r="1283">
      <c r="A1283" s="4" t="inlineStr">
        <is>
          <t>312</t>
        </is>
      </c>
      <c r="B1283" s="4" t="n">
        <v>3</v>
      </c>
      <c r="C1283" s="4" t="inlineStr">
        <is>
          <t>mule deer</t>
        </is>
      </c>
      <c r="D1283" s="4" t="n">
        <v>2025</v>
      </c>
      <c r="E1283" s="13" t="inlineStr">
        <is>
          <t>General</t>
        </is>
      </c>
      <c r="F1283" s="5" t="n">
        <v>1459</v>
      </c>
      <c r="G1283" s="5" t="n">
        <v>8909</v>
      </c>
      <c r="H1283" s="5" t="n">
        <v>178</v>
      </c>
      <c r="I1283" s="5" t="n">
        <v>161</v>
      </c>
      <c r="J1283" s="5" t="n">
        <v>17</v>
      </c>
      <c r="K1283" s="10">
        <f>IF(F1283&gt;0,H1283/F1283,"")</f>
        <v/>
      </c>
      <c r="L1283" s="16">
        <f>IF(AND(G1283&gt;0,H1283&gt;0),G1283/H1283,"")</f>
        <v/>
      </c>
    </row>
    <row r="1284">
      <c r="A1284" s="4" t="inlineStr">
        <is>
          <t>313</t>
        </is>
      </c>
      <c r="B1284" s="4" t="n">
        <v>3</v>
      </c>
      <c r="C1284" s="4" t="inlineStr">
        <is>
          <t>mule deer</t>
        </is>
      </c>
      <c r="D1284" s="4" t="n">
        <v>2021</v>
      </c>
      <c r="E1284" s="13" t="inlineStr">
        <is>
          <t>General</t>
        </is>
      </c>
      <c r="F1284" s="5" t="n">
        <v>733</v>
      </c>
      <c r="G1284" s="5" t="n">
        <v>4594</v>
      </c>
      <c r="H1284" s="5" t="n">
        <v>164</v>
      </c>
      <c r="I1284" s="5" t="n">
        <v>140</v>
      </c>
      <c r="J1284" s="5" t="n">
        <v>25</v>
      </c>
      <c r="K1284" s="10">
        <f>IF(F1284&gt;0,H1284/F1284,"")</f>
        <v/>
      </c>
      <c r="L1284" s="16">
        <f>IF(AND(G1284&gt;0,H1284&gt;0),G1284/H1284,"")</f>
        <v/>
      </c>
    </row>
    <row r="1285">
      <c r="A1285" s="4" t="inlineStr">
        <is>
          <t>313</t>
        </is>
      </c>
      <c r="B1285" s="4" t="n">
        <v>3</v>
      </c>
      <c r="C1285" s="4" t="inlineStr">
        <is>
          <t>mule deer</t>
        </is>
      </c>
      <c r="D1285" s="4" t="n">
        <v>2022</v>
      </c>
      <c r="E1285" s="13" t="inlineStr">
        <is>
          <t>General</t>
        </is>
      </c>
      <c r="F1285" s="5" t="n"/>
      <c r="G1285" s="5" t="n"/>
      <c r="H1285" s="5" t="n">
        <v>189</v>
      </c>
      <c r="I1285" s="5" t="n">
        <v>151</v>
      </c>
      <c r="J1285" s="5" t="n">
        <v>38</v>
      </c>
      <c r="K1285" s="10">
        <f>IF(F1285&gt;0,H1285/F1285,"")</f>
        <v/>
      </c>
      <c r="L1285" s="16">
        <f>IF(AND(G1285&gt;0,H1285&gt;0),G1285/H1285,"")</f>
        <v/>
      </c>
    </row>
    <row r="1286">
      <c r="A1286" s="4" t="inlineStr">
        <is>
          <t>313</t>
        </is>
      </c>
      <c r="B1286" s="4" t="n">
        <v>3</v>
      </c>
      <c r="C1286" s="4" t="inlineStr">
        <is>
          <t>mule deer</t>
        </is>
      </c>
      <c r="D1286" s="4" t="n">
        <v>2023</v>
      </c>
      <c r="E1286" s="13" t="inlineStr">
        <is>
          <t>General</t>
        </is>
      </c>
      <c r="F1286" s="5" t="n">
        <v>633</v>
      </c>
      <c r="G1286" s="5" t="n">
        <v>4776</v>
      </c>
      <c r="H1286" s="5" t="n">
        <v>156</v>
      </c>
      <c r="I1286" s="5" t="n">
        <v>147</v>
      </c>
      <c r="J1286" s="5" t="n">
        <v>9</v>
      </c>
      <c r="K1286" s="10">
        <f>IF(F1286&gt;0,H1286/F1286,"")</f>
        <v/>
      </c>
      <c r="L1286" s="16">
        <f>IF(AND(G1286&gt;0,H1286&gt;0),G1286/H1286,"")</f>
        <v/>
      </c>
    </row>
    <row r="1287">
      <c r="A1287" s="4" t="inlineStr">
        <is>
          <t>313</t>
        </is>
      </c>
      <c r="B1287" s="4" t="n">
        <v>3</v>
      </c>
      <c r="C1287" s="4" t="inlineStr">
        <is>
          <t>mule deer</t>
        </is>
      </c>
      <c r="D1287" s="4" t="n">
        <v>2024</v>
      </c>
      <c r="E1287" s="13" t="inlineStr">
        <is>
          <t>General</t>
        </is>
      </c>
      <c r="F1287" s="5" t="n"/>
      <c r="G1287" s="5" t="n"/>
      <c r="H1287" s="5" t="n">
        <v>233</v>
      </c>
      <c r="I1287" s="5" t="n">
        <v>225</v>
      </c>
      <c r="J1287" s="5" t="n">
        <v>9</v>
      </c>
      <c r="K1287" s="10">
        <f>IF(F1287&gt;0,H1287/F1287,"")</f>
        <v/>
      </c>
      <c r="L1287" s="16">
        <f>IF(AND(G1287&gt;0,H1287&gt;0),G1287/H1287,"")</f>
        <v/>
      </c>
    </row>
    <row r="1288">
      <c r="A1288" s="4" t="inlineStr">
        <is>
          <t>313</t>
        </is>
      </c>
      <c r="B1288" s="4" t="n">
        <v>3</v>
      </c>
      <c r="C1288" s="4" t="inlineStr">
        <is>
          <t>mule deer</t>
        </is>
      </c>
      <c r="D1288" s="4" t="n">
        <v>2025</v>
      </c>
      <c r="E1288" s="13" t="inlineStr">
        <is>
          <t>General</t>
        </is>
      </c>
      <c r="F1288" s="5" t="n">
        <v>810</v>
      </c>
      <c r="G1288" s="5" t="n">
        <v>5205</v>
      </c>
      <c r="H1288" s="5" t="n">
        <v>198</v>
      </c>
      <c r="I1288" s="5" t="n">
        <v>187</v>
      </c>
      <c r="J1288" s="5" t="n">
        <v>11</v>
      </c>
      <c r="K1288" s="10">
        <f>IF(F1288&gt;0,H1288/F1288,"")</f>
        <v/>
      </c>
      <c r="L1288" s="16">
        <f>IF(AND(G1288&gt;0,H1288&gt;0),G1288/H1288,"")</f>
        <v/>
      </c>
    </row>
    <row r="1289">
      <c r="A1289" s="4" t="inlineStr">
        <is>
          <t>314</t>
        </is>
      </c>
      <c r="B1289" s="4" t="n">
        <v>3</v>
      </c>
      <c r="C1289" s="4" t="inlineStr">
        <is>
          <t>mule deer</t>
        </is>
      </c>
      <c r="D1289" s="4" t="n">
        <v>2021</v>
      </c>
      <c r="E1289" s="13" t="inlineStr">
        <is>
          <t>General</t>
        </is>
      </c>
      <c r="F1289" s="5" t="n">
        <v>1456</v>
      </c>
      <c r="G1289" s="5" t="n">
        <v>9056</v>
      </c>
      <c r="H1289" s="5" t="n">
        <v>233</v>
      </c>
      <c r="I1289" s="5" t="n">
        <v>208</v>
      </c>
      <c r="J1289" s="5" t="n">
        <v>24</v>
      </c>
      <c r="K1289" s="10">
        <f>IF(F1289&gt;0,H1289/F1289,"")</f>
        <v/>
      </c>
      <c r="L1289" s="16">
        <f>IF(AND(G1289&gt;0,H1289&gt;0),G1289/H1289,"")</f>
        <v/>
      </c>
    </row>
    <row r="1290">
      <c r="A1290" s="4" t="inlineStr">
        <is>
          <t>314</t>
        </is>
      </c>
      <c r="B1290" s="4" t="n">
        <v>3</v>
      </c>
      <c r="C1290" s="4" t="inlineStr">
        <is>
          <t>mule deer</t>
        </is>
      </c>
      <c r="D1290" s="4" t="n">
        <v>2022</v>
      </c>
      <c r="E1290" s="13" t="inlineStr">
        <is>
          <t>General</t>
        </is>
      </c>
      <c r="F1290" s="5" t="n"/>
      <c r="G1290" s="5" t="n"/>
      <c r="H1290" s="5" t="n">
        <v>236</v>
      </c>
      <c r="I1290" s="5" t="n">
        <v>223</v>
      </c>
      <c r="J1290" s="5" t="n">
        <v>13</v>
      </c>
      <c r="K1290" s="10">
        <f>IF(F1290&gt;0,H1290/F1290,"")</f>
        <v/>
      </c>
      <c r="L1290" s="16">
        <f>IF(AND(G1290&gt;0,H1290&gt;0),G1290/H1290,"")</f>
        <v/>
      </c>
    </row>
    <row r="1291">
      <c r="A1291" s="4" t="inlineStr">
        <is>
          <t>314</t>
        </is>
      </c>
      <c r="B1291" s="4" t="n">
        <v>3</v>
      </c>
      <c r="C1291" s="4" t="inlineStr">
        <is>
          <t>mule deer</t>
        </is>
      </c>
      <c r="D1291" s="4" t="n">
        <v>2023</v>
      </c>
      <c r="E1291" s="13" t="inlineStr">
        <is>
          <t>General</t>
        </is>
      </c>
      <c r="F1291" s="5" t="n">
        <v>1382</v>
      </c>
      <c r="G1291" s="5" t="n">
        <v>8934</v>
      </c>
      <c r="H1291" s="5" t="n">
        <v>235</v>
      </c>
      <c r="I1291" s="5" t="n">
        <v>212</v>
      </c>
      <c r="J1291" s="5" t="n">
        <v>23</v>
      </c>
      <c r="K1291" s="10">
        <f>IF(F1291&gt;0,H1291/F1291,"")</f>
        <v/>
      </c>
      <c r="L1291" s="16">
        <f>IF(AND(G1291&gt;0,H1291&gt;0),G1291/H1291,"")</f>
        <v/>
      </c>
    </row>
    <row r="1292">
      <c r="A1292" s="4" t="inlineStr">
        <is>
          <t>314</t>
        </is>
      </c>
      <c r="B1292" s="4" t="n">
        <v>3</v>
      </c>
      <c r="C1292" s="4" t="inlineStr">
        <is>
          <t>mule deer</t>
        </is>
      </c>
      <c r="D1292" s="4" t="n">
        <v>2024</v>
      </c>
      <c r="E1292" s="13" t="inlineStr">
        <is>
          <t>General</t>
        </is>
      </c>
      <c r="F1292" s="5" t="n"/>
      <c r="G1292" s="5" t="n"/>
      <c r="H1292" s="5" t="n">
        <v>335</v>
      </c>
      <c r="I1292" s="5" t="n">
        <v>308</v>
      </c>
      <c r="J1292" s="5" t="n">
        <v>27</v>
      </c>
      <c r="K1292" s="10">
        <f>IF(F1292&gt;0,H1292/F1292,"")</f>
        <v/>
      </c>
      <c r="L1292" s="16">
        <f>IF(AND(G1292&gt;0,H1292&gt;0),G1292/H1292,"")</f>
        <v/>
      </c>
    </row>
    <row r="1293">
      <c r="A1293" s="4" t="inlineStr">
        <is>
          <t>314</t>
        </is>
      </c>
      <c r="B1293" s="4" t="n">
        <v>3</v>
      </c>
      <c r="C1293" s="4" t="inlineStr">
        <is>
          <t>mule deer</t>
        </is>
      </c>
      <c r="D1293" s="4" t="n">
        <v>2025</v>
      </c>
      <c r="E1293" s="13" t="inlineStr">
        <is>
          <t>General</t>
        </is>
      </c>
      <c r="F1293" s="5" t="n">
        <v>1401</v>
      </c>
      <c r="G1293" s="5" t="n">
        <v>8661</v>
      </c>
      <c r="H1293" s="5" t="n">
        <v>307</v>
      </c>
      <c r="I1293" s="5" t="n">
        <v>280</v>
      </c>
      <c r="J1293" s="5" t="n">
        <v>27</v>
      </c>
      <c r="K1293" s="10">
        <f>IF(F1293&gt;0,H1293/F1293,"")</f>
        <v/>
      </c>
      <c r="L1293" s="16">
        <f>IF(AND(G1293&gt;0,H1293&gt;0),G1293/H1293,"")</f>
        <v/>
      </c>
    </row>
    <row r="1294">
      <c r="A1294" s="4" t="inlineStr">
        <is>
          <t>315</t>
        </is>
      </c>
      <c r="B1294" s="4" t="n">
        <v>3</v>
      </c>
      <c r="C1294" s="4" t="inlineStr">
        <is>
          <t>mule deer</t>
        </is>
      </c>
      <c r="D1294" s="4" t="n">
        <v>2021</v>
      </c>
      <c r="E1294" s="13" t="inlineStr">
        <is>
          <t>General</t>
        </is>
      </c>
      <c r="F1294" s="5" t="n">
        <v>1338</v>
      </c>
      <c r="G1294" s="5" t="n">
        <v>8170</v>
      </c>
      <c r="H1294" s="5" t="n">
        <v>197</v>
      </c>
      <c r="I1294" s="5" t="n">
        <v>177</v>
      </c>
      <c r="J1294" s="5" t="n">
        <v>20</v>
      </c>
      <c r="K1294" s="10">
        <f>IF(F1294&gt;0,H1294/F1294,"")</f>
        <v/>
      </c>
      <c r="L1294" s="16">
        <f>IF(AND(G1294&gt;0,H1294&gt;0),G1294/H1294,"")</f>
        <v/>
      </c>
    </row>
    <row r="1295">
      <c r="A1295" s="4" t="inlineStr">
        <is>
          <t>315</t>
        </is>
      </c>
      <c r="B1295" s="4" t="n">
        <v>3</v>
      </c>
      <c r="C1295" s="4" t="inlineStr">
        <is>
          <t>mule deer</t>
        </is>
      </c>
      <c r="D1295" s="4" t="n">
        <v>2022</v>
      </c>
      <c r="E1295" s="13" t="inlineStr">
        <is>
          <t>General</t>
        </is>
      </c>
      <c r="F1295" s="5" t="n"/>
      <c r="G1295" s="5" t="n"/>
      <c r="H1295" s="5" t="n">
        <v>293</v>
      </c>
      <c r="I1295" s="5" t="n">
        <v>260</v>
      </c>
      <c r="J1295" s="5" t="n">
        <v>31</v>
      </c>
      <c r="K1295" s="10">
        <f>IF(F1295&gt;0,H1295/F1295,"")</f>
        <v/>
      </c>
      <c r="L1295" s="16">
        <f>IF(AND(G1295&gt;0,H1295&gt;0),G1295/H1295,"")</f>
        <v/>
      </c>
    </row>
    <row r="1296">
      <c r="A1296" s="4" t="inlineStr">
        <is>
          <t>315</t>
        </is>
      </c>
      <c r="B1296" s="4" t="n">
        <v>3</v>
      </c>
      <c r="C1296" s="4" t="inlineStr">
        <is>
          <t>mule deer</t>
        </is>
      </c>
      <c r="D1296" s="4" t="n">
        <v>2023</v>
      </c>
      <c r="E1296" s="13" t="inlineStr">
        <is>
          <t>General</t>
        </is>
      </c>
      <c r="F1296" s="5" t="n">
        <v>1482</v>
      </c>
      <c r="G1296" s="5" t="n">
        <v>8395</v>
      </c>
      <c r="H1296" s="5" t="n">
        <v>253</v>
      </c>
      <c r="I1296" s="5" t="n">
        <v>208</v>
      </c>
      <c r="J1296" s="5" t="n">
        <v>45</v>
      </c>
      <c r="K1296" s="10">
        <f>IF(F1296&gt;0,H1296/F1296,"")</f>
        <v/>
      </c>
      <c r="L1296" s="16">
        <f>IF(AND(G1296&gt;0,H1296&gt;0),G1296/H1296,"")</f>
        <v/>
      </c>
    </row>
    <row r="1297">
      <c r="A1297" s="4" t="inlineStr">
        <is>
          <t>315</t>
        </is>
      </c>
      <c r="B1297" s="4" t="n">
        <v>3</v>
      </c>
      <c r="C1297" s="4" t="inlineStr">
        <is>
          <t>mule deer</t>
        </is>
      </c>
      <c r="D1297" s="4" t="n">
        <v>2024</v>
      </c>
      <c r="E1297" s="13" t="inlineStr">
        <is>
          <t>General</t>
        </is>
      </c>
      <c r="F1297" s="5" t="n"/>
      <c r="G1297" s="5" t="n"/>
      <c r="H1297" s="5" t="n">
        <v>321</v>
      </c>
      <c r="I1297" s="5" t="n">
        <v>272</v>
      </c>
      <c r="J1297" s="5" t="n">
        <v>49</v>
      </c>
      <c r="K1297" s="10">
        <f>IF(F1297&gt;0,H1297/F1297,"")</f>
        <v/>
      </c>
      <c r="L1297" s="16">
        <f>IF(AND(G1297&gt;0,H1297&gt;0),G1297/H1297,"")</f>
        <v/>
      </c>
    </row>
    <row r="1298">
      <c r="A1298" s="4" t="inlineStr">
        <is>
          <t>315</t>
        </is>
      </c>
      <c r="B1298" s="4" t="n">
        <v>3</v>
      </c>
      <c r="C1298" s="4" t="inlineStr">
        <is>
          <t>mule deer</t>
        </is>
      </c>
      <c r="D1298" s="4" t="n">
        <v>2025</v>
      </c>
      <c r="E1298" s="13" t="inlineStr">
        <is>
          <t>General</t>
        </is>
      </c>
      <c r="F1298" s="5" t="n">
        <v>1587</v>
      </c>
      <c r="G1298" s="5" t="n">
        <v>10277</v>
      </c>
      <c r="H1298" s="5" t="n">
        <v>316</v>
      </c>
      <c r="I1298" s="5" t="n">
        <v>275</v>
      </c>
      <c r="J1298" s="5" t="n">
        <v>41</v>
      </c>
      <c r="K1298" s="10">
        <f>IF(F1298&gt;0,H1298/F1298,"")</f>
        <v/>
      </c>
      <c r="L1298" s="16">
        <f>IF(AND(G1298&gt;0,H1298&gt;0),G1298/H1298,"")</f>
        <v/>
      </c>
    </row>
    <row r="1299">
      <c r="A1299" s="4" t="inlineStr">
        <is>
          <t>316</t>
        </is>
      </c>
      <c r="B1299" s="4" t="n">
        <v>3</v>
      </c>
      <c r="C1299" s="4" t="inlineStr">
        <is>
          <t>mule deer</t>
        </is>
      </c>
      <c r="D1299" s="4" t="n">
        <v>2021</v>
      </c>
      <c r="E1299" s="13" t="inlineStr">
        <is>
          <t>General</t>
        </is>
      </c>
      <c r="F1299" s="5" t="n">
        <v>79</v>
      </c>
      <c r="G1299" s="5" t="n">
        <v>640</v>
      </c>
      <c r="H1299" s="5" t="n">
        <v>11</v>
      </c>
      <c r="I1299" s="5" t="n">
        <v>11</v>
      </c>
      <c r="J1299" s="5" t="n">
        <v>0</v>
      </c>
      <c r="K1299" s="10">
        <f>IF(F1299&gt;0,H1299/F1299,"")</f>
        <v/>
      </c>
      <c r="L1299" s="16">
        <f>IF(AND(G1299&gt;0,H1299&gt;0),G1299/H1299,"")</f>
        <v/>
      </c>
    </row>
    <row r="1300">
      <c r="A1300" s="4" t="inlineStr">
        <is>
          <t>316</t>
        </is>
      </c>
      <c r="B1300" s="4" t="n">
        <v>3</v>
      </c>
      <c r="C1300" s="4" t="inlineStr">
        <is>
          <t>mule deer</t>
        </is>
      </c>
      <c r="D1300" s="4" t="n">
        <v>2022</v>
      </c>
      <c r="E1300" s="13" t="inlineStr">
        <is>
          <t>General</t>
        </is>
      </c>
      <c r="F1300" s="5" t="n"/>
      <c r="G1300" s="5" t="n"/>
      <c r="H1300" s="5" t="n">
        <v>17</v>
      </c>
      <c r="I1300" s="5" t="n">
        <v>17</v>
      </c>
      <c r="J1300" s="5" t="n">
        <v>0</v>
      </c>
      <c r="K1300" s="10">
        <f>IF(F1300&gt;0,H1300/F1300,"")</f>
        <v/>
      </c>
      <c r="L1300" s="16">
        <f>IF(AND(G1300&gt;0,H1300&gt;0),G1300/H1300,"")</f>
        <v/>
      </c>
    </row>
    <row r="1301">
      <c r="A1301" s="4" t="inlineStr">
        <is>
          <t>316</t>
        </is>
      </c>
      <c r="B1301" s="4" t="n">
        <v>3</v>
      </c>
      <c r="C1301" s="4" t="inlineStr">
        <is>
          <t>mule deer</t>
        </is>
      </c>
      <c r="D1301" s="4" t="n">
        <v>2023</v>
      </c>
      <c r="E1301" s="13" t="inlineStr">
        <is>
          <t>General</t>
        </is>
      </c>
      <c r="F1301" s="5" t="n">
        <v>143</v>
      </c>
      <c r="G1301" s="5" t="n">
        <v>857</v>
      </c>
      <c r="H1301" s="5" t="n">
        <v>23</v>
      </c>
      <c r="I1301" s="5" t="n">
        <v>23</v>
      </c>
      <c r="J1301" s="5" t="n">
        <v>0</v>
      </c>
      <c r="K1301" s="10">
        <f>IF(F1301&gt;0,H1301/F1301,"")</f>
        <v/>
      </c>
      <c r="L1301" s="16">
        <f>IF(AND(G1301&gt;0,H1301&gt;0),G1301/H1301,"")</f>
        <v/>
      </c>
    </row>
    <row r="1302">
      <c r="A1302" s="4" t="inlineStr">
        <is>
          <t>316</t>
        </is>
      </c>
      <c r="B1302" s="4" t="n">
        <v>3</v>
      </c>
      <c r="C1302" s="4" t="inlineStr">
        <is>
          <t>mule deer</t>
        </is>
      </c>
      <c r="D1302" s="4" t="n">
        <v>2024</v>
      </c>
      <c r="E1302" s="13" t="inlineStr">
        <is>
          <t>General</t>
        </is>
      </c>
      <c r="F1302" s="5" t="n"/>
      <c r="G1302" s="5" t="n"/>
      <c r="H1302" s="5" t="n">
        <v>42</v>
      </c>
      <c r="I1302" s="5" t="n">
        <v>39</v>
      </c>
      <c r="J1302" s="5" t="n">
        <v>3</v>
      </c>
      <c r="K1302" s="10">
        <f>IF(F1302&gt;0,H1302/F1302,"")</f>
        <v/>
      </c>
      <c r="L1302" s="16">
        <f>IF(AND(G1302&gt;0,H1302&gt;0),G1302/H1302,"")</f>
        <v/>
      </c>
    </row>
    <row r="1303">
      <c r="A1303" s="4" t="inlineStr">
        <is>
          <t>316</t>
        </is>
      </c>
      <c r="B1303" s="4" t="n">
        <v>3</v>
      </c>
      <c r="C1303" s="4" t="inlineStr">
        <is>
          <t>mule deer</t>
        </is>
      </c>
      <c r="D1303" s="4" t="n">
        <v>2025</v>
      </c>
      <c r="E1303" s="13" t="inlineStr">
        <is>
          <t>General</t>
        </is>
      </c>
      <c r="F1303" s="5" t="n">
        <v>185</v>
      </c>
      <c r="G1303" s="5" t="n">
        <v>1102</v>
      </c>
      <c r="H1303" s="5" t="n">
        <v>72</v>
      </c>
      <c r="I1303" s="5" t="n">
        <v>69</v>
      </c>
      <c r="J1303" s="5" t="n">
        <v>4</v>
      </c>
      <c r="K1303" s="10">
        <f>IF(F1303&gt;0,H1303/F1303,"")</f>
        <v/>
      </c>
      <c r="L1303" s="16">
        <f>IF(AND(G1303&gt;0,H1303&gt;0),G1303/H1303,"")</f>
        <v/>
      </c>
    </row>
    <row r="1304">
      <c r="A1304" s="4" t="inlineStr">
        <is>
          <t>317</t>
        </is>
      </c>
      <c r="B1304" s="4" t="n">
        <v>3</v>
      </c>
      <c r="C1304" s="4" t="inlineStr">
        <is>
          <t>mule deer</t>
        </is>
      </c>
      <c r="D1304" s="4" t="n">
        <v>2021</v>
      </c>
      <c r="E1304" s="13" t="inlineStr">
        <is>
          <t>General</t>
        </is>
      </c>
      <c r="F1304" s="5" t="n">
        <v>1278</v>
      </c>
      <c r="G1304" s="5" t="n">
        <v>7779</v>
      </c>
      <c r="H1304" s="5" t="n">
        <v>217</v>
      </c>
      <c r="I1304" s="5" t="n">
        <v>185</v>
      </c>
      <c r="J1304" s="5" t="n">
        <v>32</v>
      </c>
      <c r="K1304" s="10">
        <f>IF(F1304&gt;0,H1304/F1304,"")</f>
        <v/>
      </c>
      <c r="L1304" s="16">
        <f>IF(AND(G1304&gt;0,H1304&gt;0),G1304/H1304,"")</f>
        <v/>
      </c>
    </row>
    <row r="1305">
      <c r="A1305" s="4" t="inlineStr">
        <is>
          <t>317</t>
        </is>
      </c>
      <c r="B1305" s="4" t="n">
        <v>3</v>
      </c>
      <c r="C1305" s="4" t="inlineStr">
        <is>
          <t>mule deer</t>
        </is>
      </c>
      <c r="D1305" s="4" t="n">
        <v>2022</v>
      </c>
      <c r="E1305" s="13" t="inlineStr">
        <is>
          <t>General</t>
        </is>
      </c>
      <c r="F1305" s="5" t="n"/>
      <c r="G1305" s="5" t="n"/>
      <c r="H1305" s="5" t="n">
        <v>298</v>
      </c>
      <c r="I1305" s="5" t="n">
        <v>255</v>
      </c>
      <c r="J1305" s="5" t="n">
        <v>42</v>
      </c>
      <c r="K1305" s="10">
        <f>IF(F1305&gt;0,H1305/F1305,"")</f>
        <v/>
      </c>
      <c r="L1305" s="16">
        <f>IF(AND(G1305&gt;0,H1305&gt;0),G1305/H1305,"")</f>
        <v/>
      </c>
    </row>
    <row r="1306">
      <c r="A1306" s="4" t="inlineStr">
        <is>
          <t>317</t>
        </is>
      </c>
      <c r="B1306" s="4" t="n">
        <v>3</v>
      </c>
      <c r="C1306" s="4" t="inlineStr">
        <is>
          <t>mule deer</t>
        </is>
      </c>
      <c r="D1306" s="4" t="n">
        <v>2023</v>
      </c>
      <c r="E1306" s="13" t="inlineStr">
        <is>
          <t>General</t>
        </is>
      </c>
      <c r="F1306" s="5" t="n">
        <v>1271</v>
      </c>
      <c r="G1306" s="5" t="n">
        <v>7606</v>
      </c>
      <c r="H1306" s="5" t="n">
        <v>241</v>
      </c>
      <c r="I1306" s="5" t="n">
        <v>218</v>
      </c>
      <c r="J1306" s="5" t="n">
        <v>22</v>
      </c>
      <c r="K1306" s="10">
        <f>IF(F1306&gt;0,H1306/F1306,"")</f>
        <v/>
      </c>
      <c r="L1306" s="16">
        <f>IF(AND(G1306&gt;0,H1306&gt;0),G1306/H1306,"")</f>
        <v/>
      </c>
    </row>
    <row r="1307">
      <c r="A1307" s="4" t="inlineStr">
        <is>
          <t>317</t>
        </is>
      </c>
      <c r="B1307" s="4" t="n">
        <v>3</v>
      </c>
      <c r="C1307" s="4" t="inlineStr">
        <is>
          <t>mule deer</t>
        </is>
      </c>
      <c r="D1307" s="4" t="n">
        <v>2024</v>
      </c>
      <c r="E1307" s="13" t="inlineStr">
        <is>
          <t>General</t>
        </is>
      </c>
      <c r="F1307" s="5" t="n"/>
      <c r="G1307" s="5" t="n"/>
      <c r="H1307" s="5" t="n">
        <v>184</v>
      </c>
      <c r="I1307" s="5" t="n">
        <v>155</v>
      </c>
      <c r="J1307" s="5" t="n">
        <v>29</v>
      </c>
      <c r="K1307" s="10">
        <f>IF(F1307&gt;0,H1307/F1307,"")</f>
        <v/>
      </c>
      <c r="L1307" s="16">
        <f>IF(AND(G1307&gt;0,H1307&gt;0),G1307/H1307,"")</f>
        <v/>
      </c>
    </row>
    <row r="1308">
      <c r="A1308" s="4" t="inlineStr">
        <is>
          <t>317</t>
        </is>
      </c>
      <c r="B1308" s="4" t="n">
        <v>3</v>
      </c>
      <c r="C1308" s="4" t="inlineStr">
        <is>
          <t>mule deer</t>
        </is>
      </c>
      <c r="D1308" s="4" t="n">
        <v>2025</v>
      </c>
      <c r="E1308" s="13" t="inlineStr">
        <is>
          <t>General</t>
        </is>
      </c>
      <c r="F1308" s="5" t="n">
        <v>1116</v>
      </c>
      <c r="G1308" s="5" t="n">
        <v>7569</v>
      </c>
      <c r="H1308" s="5" t="n">
        <v>205</v>
      </c>
      <c r="I1308" s="5" t="n">
        <v>179</v>
      </c>
      <c r="J1308" s="5" t="n">
        <v>25</v>
      </c>
      <c r="K1308" s="10">
        <f>IF(F1308&gt;0,H1308/F1308,"")</f>
        <v/>
      </c>
      <c r="L1308" s="16">
        <f>IF(AND(G1308&gt;0,H1308&gt;0),G1308/H1308,"")</f>
        <v/>
      </c>
    </row>
    <row r="1309">
      <c r="A1309" s="4" t="inlineStr">
        <is>
          <t>318</t>
        </is>
      </c>
      <c r="B1309" s="4" t="n">
        <v>3</v>
      </c>
      <c r="C1309" s="4" t="inlineStr">
        <is>
          <t>mule deer</t>
        </is>
      </c>
      <c r="D1309" s="4" t="n">
        <v>2021</v>
      </c>
      <c r="E1309" s="13" t="inlineStr">
        <is>
          <t>General</t>
        </is>
      </c>
      <c r="F1309" s="5" t="n">
        <v>597</v>
      </c>
      <c r="G1309" s="5" t="n">
        <v>5217</v>
      </c>
      <c r="H1309" s="5" t="n">
        <v>91</v>
      </c>
      <c r="I1309" s="5" t="n">
        <v>80</v>
      </c>
      <c r="J1309" s="5" t="n">
        <v>11</v>
      </c>
      <c r="K1309" s="10">
        <f>IF(F1309&gt;0,H1309/F1309,"")</f>
        <v/>
      </c>
      <c r="L1309" s="16">
        <f>IF(AND(G1309&gt;0,H1309&gt;0),G1309/H1309,"")</f>
        <v/>
      </c>
    </row>
    <row r="1310">
      <c r="A1310" s="4" t="inlineStr">
        <is>
          <t>318</t>
        </is>
      </c>
      <c r="B1310" s="4" t="n">
        <v>3</v>
      </c>
      <c r="C1310" s="4" t="inlineStr">
        <is>
          <t>mule deer</t>
        </is>
      </c>
      <c r="D1310" s="4" t="n">
        <v>2022</v>
      </c>
      <c r="E1310" s="13" t="inlineStr">
        <is>
          <t>General</t>
        </is>
      </c>
      <c r="F1310" s="5" t="n"/>
      <c r="G1310" s="5" t="n"/>
      <c r="H1310" s="5" t="n">
        <v>93</v>
      </c>
      <c r="I1310" s="5" t="n">
        <v>86</v>
      </c>
      <c r="J1310" s="5" t="n">
        <v>7</v>
      </c>
      <c r="K1310" s="10">
        <f>IF(F1310&gt;0,H1310/F1310,"")</f>
        <v/>
      </c>
      <c r="L1310" s="16">
        <f>IF(AND(G1310&gt;0,H1310&gt;0),G1310/H1310,"")</f>
        <v/>
      </c>
    </row>
    <row r="1311">
      <c r="A1311" s="4" t="inlineStr">
        <is>
          <t>318</t>
        </is>
      </c>
      <c r="B1311" s="4" t="n">
        <v>3</v>
      </c>
      <c r="C1311" s="4" t="inlineStr">
        <is>
          <t>mule deer</t>
        </is>
      </c>
      <c r="D1311" s="4" t="n">
        <v>2023</v>
      </c>
      <c r="E1311" s="13" t="inlineStr">
        <is>
          <t>General</t>
        </is>
      </c>
      <c r="F1311" s="5" t="n">
        <v>654</v>
      </c>
      <c r="G1311" s="5" t="n">
        <v>4896</v>
      </c>
      <c r="H1311" s="5" t="n">
        <v>101</v>
      </c>
      <c r="I1311" s="5" t="n">
        <v>94</v>
      </c>
      <c r="J1311" s="5" t="n">
        <v>3</v>
      </c>
      <c r="K1311" s="10">
        <f>IF(F1311&gt;0,H1311/F1311,"")</f>
        <v/>
      </c>
      <c r="L1311" s="16">
        <f>IF(AND(G1311&gt;0,H1311&gt;0),G1311/H1311,"")</f>
        <v/>
      </c>
    </row>
    <row r="1312">
      <c r="A1312" s="4" t="inlineStr">
        <is>
          <t>318</t>
        </is>
      </c>
      <c r="B1312" s="4" t="n">
        <v>3</v>
      </c>
      <c r="C1312" s="4" t="inlineStr">
        <is>
          <t>mule deer</t>
        </is>
      </c>
      <c r="D1312" s="4" t="n">
        <v>2024</v>
      </c>
      <c r="E1312" s="13" t="inlineStr">
        <is>
          <t>General</t>
        </is>
      </c>
      <c r="F1312" s="5" t="n"/>
      <c r="G1312" s="5" t="n"/>
      <c r="H1312" s="5" t="n">
        <v>151</v>
      </c>
      <c r="I1312" s="5" t="n">
        <v>134</v>
      </c>
      <c r="J1312" s="5" t="n">
        <v>17</v>
      </c>
      <c r="K1312" s="10">
        <f>IF(F1312&gt;0,H1312/F1312,"")</f>
        <v/>
      </c>
      <c r="L1312" s="16">
        <f>IF(AND(G1312&gt;0,H1312&gt;0),G1312/H1312,"")</f>
        <v/>
      </c>
    </row>
    <row r="1313">
      <c r="A1313" s="4" t="inlineStr">
        <is>
          <t>318</t>
        </is>
      </c>
      <c r="B1313" s="4" t="n">
        <v>3</v>
      </c>
      <c r="C1313" s="4" t="inlineStr">
        <is>
          <t>mule deer</t>
        </is>
      </c>
      <c r="D1313" s="4" t="n">
        <v>2025</v>
      </c>
      <c r="E1313" s="13" t="inlineStr">
        <is>
          <t>General</t>
        </is>
      </c>
      <c r="F1313" s="5" t="n">
        <v>696</v>
      </c>
      <c r="G1313" s="5" t="n">
        <v>7052</v>
      </c>
      <c r="H1313" s="5" t="n">
        <v>78</v>
      </c>
      <c r="I1313" s="5" t="n">
        <v>69</v>
      </c>
      <c r="J1313" s="5" t="n">
        <v>10</v>
      </c>
      <c r="K1313" s="10">
        <f>IF(F1313&gt;0,H1313/F1313,"")</f>
        <v/>
      </c>
      <c r="L1313" s="16">
        <f>IF(AND(G1313&gt;0,H1313&gt;0),G1313/H1313,"")</f>
        <v/>
      </c>
    </row>
    <row r="1314">
      <c r="A1314" s="4" t="inlineStr">
        <is>
          <t>319</t>
        </is>
      </c>
      <c r="B1314" s="4" t="n">
        <v>3</v>
      </c>
      <c r="C1314" s="4" t="inlineStr">
        <is>
          <t>mule deer</t>
        </is>
      </c>
      <c r="D1314" s="4" t="n">
        <v>2021</v>
      </c>
      <c r="E1314" s="15" t="inlineStr">
        <is>
          <t>Draw</t>
        </is>
      </c>
      <c r="F1314" s="5" t="n">
        <v>379</v>
      </c>
      <c r="G1314" s="5" t="n">
        <v>2971</v>
      </c>
      <c r="H1314" s="5" t="n">
        <v>57</v>
      </c>
      <c r="I1314" s="5" t="n">
        <v>41</v>
      </c>
      <c r="J1314" s="5" t="n">
        <v>16</v>
      </c>
      <c r="K1314" s="10">
        <f>IF(F1314&gt;0,H1314/F1314,"")</f>
        <v/>
      </c>
      <c r="L1314" s="16">
        <f>IF(AND(G1314&gt;0,H1314&gt;0),G1314/H1314,"")</f>
        <v/>
      </c>
    </row>
    <row r="1315">
      <c r="A1315" s="4" t="inlineStr">
        <is>
          <t>319</t>
        </is>
      </c>
      <c r="B1315" s="4" t="n">
        <v>3</v>
      </c>
      <c r="C1315" s="4" t="inlineStr">
        <is>
          <t>mule deer</t>
        </is>
      </c>
      <c r="D1315" s="4" t="n">
        <v>2022</v>
      </c>
      <c r="E1315" s="15" t="inlineStr">
        <is>
          <t>Draw</t>
        </is>
      </c>
      <c r="F1315" s="5" t="n"/>
      <c r="G1315" s="5" t="n"/>
      <c r="H1315" s="5" t="n">
        <v>106</v>
      </c>
      <c r="I1315" s="5" t="n">
        <v>79</v>
      </c>
      <c r="J1315" s="5" t="n">
        <v>27</v>
      </c>
      <c r="K1315" s="10">
        <f>IF(F1315&gt;0,H1315/F1315,"")</f>
        <v/>
      </c>
      <c r="L1315" s="16">
        <f>IF(AND(G1315&gt;0,H1315&gt;0),G1315/H1315,"")</f>
        <v/>
      </c>
    </row>
    <row r="1316">
      <c r="A1316" s="4" t="inlineStr">
        <is>
          <t>319</t>
        </is>
      </c>
      <c r="B1316" s="4" t="n">
        <v>3</v>
      </c>
      <c r="C1316" s="4" t="inlineStr">
        <is>
          <t>mule deer</t>
        </is>
      </c>
      <c r="D1316" s="4" t="n">
        <v>2023</v>
      </c>
      <c r="E1316" s="15" t="inlineStr">
        <is>
          <t>Draw</t>
        </is>
      </c>
      <c r="F1316" s="5" t="n">
        <v>694</v>
      </c>
      <c r="G1316" s="5" t="n">
        <v>5272</v>
      </c>
      <c r="H1316" s="5" t="n">
        <v>67</v>
      </c>
      <c r="I1316" s="5" t="n">
        <v>40</v>
      </c>
      <c r="J1316" s="5" t="n">
        <v>27</v>
      </c>
      <c r="K1316" s="10">
        <f>IF(F1316&gt;0,H1316/F1316,"")</f>
        <v/>
      </c>
      <c r="L1316" s="16">
        <f>IF(AND(G1316&gt;0,H1316&gt;0),G1316/H1316,"")</f>
        <v/>
      </c>
    </row>
    <row r="1317">
      <c r="A1317" s="4" t="inlineStr">
        <is>
          <t>319</t>
        </is>
      </c>
      <c r="B1317" s="4" t="n">
        <v>3</v>
      </c>
      <c r="C1317" s="4" t="inlineStr">
        <is>
          <t>mule deer</t>
        </is>
      </c>
      <c r="D1317" s="4" t="n">
        <v>2024</v>
      </c>
      <c r="E1317" s="15" t="inlineStr">
        <is>
          <t>Draw</t>
        </is>
      </c>
      <c r="F1317" s="5" t="n"/>
      <c r="G1317" s="5" t="n"/>
      <c r="H1317" s="5" t="n">
        <v>94</v>
      </c>
      <c r="I1317" s="5" t="n">
        <v>82</v>
      </c>
      <c r="J1317" s="5" t="n">
        <v>12</v>
      </c>
      <c r="K1317" s="10">
        <f>IF(F1317&gt;0,H1317/F1317,"")</f>
        <v/>
      </c>
      <c r="L1317" s="16">
        <f>IF(AND(G1317&gt;0,H1317&gt;0),G1317/H1317,"")</f>
        <v/>
      </c>
    </row>
    <row r="1318">
      <c r="A1318" s="4" t="inlineStr">
        <is>
          <t>319</t>
        </is>
      </c>
      <c r="B1318" s="4" t="n">
        <v>3</v>
      </c>
      <c r="C1318" s="4" t="inlineStr">
        <is>
          <t>mule deer</t>
        </is>
      </c>
      <c r="D1318" s="4" t="n">
        <v>2025</v>
      </c>
      <c r="E1318" s="15" t="inlineStr">
        <is>
          <t>Draw</t>
        </is>
      </c>
      <c r="F1318" s="5" t="n">
        <v>772</v>
      </c>
      <c r="G1318" s="5" t="n">
        <v>5960</v>
      </c>
      <c r="H1318" s="5" t="n">
        <v>89</v>
      </c>
      <c r="I1318" s="5" t="n">
        <v>56</v>
      </c>
      <c r="J1318" s="5" t="n">
        <v>34</v>
      </c>
      <c r="K1318" s="10">
        <f>IF(F1318&gt;0,H1318/F1318,"")</f>
        <v/>
      </c>
      <c r="L1318" s="16">
        <f>IF(AND(G1318&gt;0,H1318&gt;0),G1318/H1318,"")</f>
        <v/>
      </c>
    </row>
    <row r="1319">
      <c r="A1319" s="4" t="inlineStr">
        <is>
          <t>320</t>
        </is>
      </c>
      <c r="B1319" s="4" t="n">
        <v>3</v>
      </c>
      <c r="C1319" s="4" t="inlineStr">
        <is>
          <t>mule deer</t>
        </is>
      </c>
      <c r="D1319" s="4" t="n">
        <v>2021</v>
      </c>
      <c r="E1319" s="13" t="inlineStr">
        <is>
          <t>General</t>
        </is>
      </c>
      <c r="F1319" s="5" t="n">
        <v>1490</v>
      </c>
      <c r="G1319" s="5" t="n">
        <v>8870</v>
      </c>
      <c r="H1319" s="5" t="n">
        <v>263</v>
      </c>
      <c r="I1319" s="5" t="n">
        <v>183</v>
      </c>
      <c r="J1319" s="5" t="n">
        <v>80</v>
      </c>
      <c r="K1319" s="10">
        <f>IF(F1319&gt;0,H1319/F1319,"")</f>
        <v/>
      </c>
      <c r="L1319" s="16">
        <f>IF(AND(G1319&gt;0,H1319&gt;0),G1319/H1319,"")</f>
        <v/>
      </c>
    </row>
    <row r="1320">
      <c r="A1320" s="4" t="inlineStr">
        <is>
          <t>320</t>
        </is>
      </c>
      <c r="B1320" s="4" t="n">
        <v>3</v>
      </c>
      <c r="C1320" s="4" t="inlineStr">
        <is>
          <t>mule deer</t>
        </is>
      </c>
      <c r="D1320" s="4" t="n">
        <v>2022</v>
      </c>
      <c r="E1320" s="13" t="inlineStr">
        <is>
          <t>General</t>
        </is>
      </c>
      <c r="F1320" s="5" t="n"/>
      <c r="G1320" s="5" t="n"/>
      <c r="H1320" s="5" t="n">
        <v>434</v>
      </c>
      <c r="I1320" s="5" t="n">
        <v>325</v>
      </c>
      <c r="J1320" s="5" t="n">
        <v>106</v>
      </c>
      <c r="K1320" s="10">
        <f>IF(F1320&gt;0,H1320/F1320,"")</f>
        <v/>
      </c>
      <c r="L1320" s="16">
        <f>IF(AND(G1320&gt;0,H1320&gt;0),G1320/H1320,"")</f>
        <v/>
      </c>
    </row>
    <row r="1321">
      <c r="A1321" s="4" t="inlineStr">
        <is>
          <t>320</t>
        </is>
      </c>
      <c r="B1321" s="4" t="n">
        <v>3</v>
      </c>
      <c r="C1321" s="4" t="inlineStr">
        <is>
          <t>mule deer</t>
        </is>
      </c>
      <c r="D1321" s="4" t="n">
        <v>2023</v>
      </c>
      <c r="E1321" s="13" t="inlineStr">
        <is>
          <t>General</t>
        </is>
      </c>
      <c r="F1321" s="5" t="n">
        <v>2647</v>
      </c>
      <c r="G1321" s="5" t="n">
        <v>17361</v>
      </c>
      <c r="H1321" s="5" t="n">
        <v>393</v>
      </c>
      <c r="I1321" s="5" t="n">
        <v>264</v>
      </c>
      <c r="J1321" s="5" t="n">
        <v>123</v>
      </c>
      <c r="K1321" s="10">
        <f>IF(F1321&gt;0,H1321/F1321,"")</f>
        <v/>
      </c>
      <c r="L1321" s="16">
        <f>IF(AND(G1321&gt;0,H1321&gt;0),G1321/H1321,"")</f>
        <v/>
      </c>
    </row>
    <row r="1322">
      <c r="A1322" s="4" t="inlineStr">
        <is>
          <t>320</t>
        </is>
      </c>
      <c r="B1322" s="4" t="n">
        <v>3</v>
      </c>
      <c r="C1322" s="4" t="inlineStr">
        <is>
          <t>mule deer</t>
        </is>
      </c>
      <c r="D1322" s="4" t="n">
        <v>2024</v>
      </c>
      <c r="E1322" s="13" t="inlineStr">
        <is>
          <t>General</t>
        </is>
      </c>
      <c r="F1322" s="5" t="n"/>
      <c r="G1322" s="5" t="n"/>
      <c r="H1322" s="5" t="n">
        <v>381</v>
      </c>
      <c r="I1322" s="5" t="n">
        <v>303</v>
      </c>
      <c r="J1322" s="5" t="n">
        <v>78</v>
      </c>
      <c r="K1322" s="10">
        <f>IF(F1322&gt;0,H1322/F1322,"")</f>
        <v/>
      </c>
      <c r="L1322" s="16">
        <f>IF(AND(G1322&gt;0,H1322&gt;0),G1322/H1322,"")</f>
        <v/>
      </c>
    </row>
    <row r="1323">
      <c r="A1323" s="4" t="inlineStr">
        <is>
          <t>320</t>
        </is>
      </c>
      <c r="B1323" s="4" t="n">
        <v>3</v>
      </c>
      <c r="C1323" s="4" t="inlineStr">
        <is>
          <t>mule deer</t>
        </is>
      </c>
      <c r="D1323" s="4" t="n">
        <v>2025</v>
      </c>
      <c r="E1323" s="13" t="inlineStr">
        <is>
          <t>General</t>
        </is>
      </c>
      <c r="F1323" s="5" t="n">
        <v>2611</v>
      </c>
      <c r="G1323" s="5" t="n">
        <v>16728</v>
      </c>
      <c r="H1323" s="5" t="n">
        <v>396</v>
      </c>
      <c r="I1323" s="5" t="n">
        <v>308</v>
      </c>
      <c r="J1323" s="5" t="n">
        <v>88</v>
      </c>
      <c r="K1323" s="10">
        <f>IF(F1323&gt;0,H1323/F1323,"")</f>
        <v/>
      </c>
      <c r="L1323" s="16">
        <f>IF(AND(G1323&gt;0,H1323&gt;0),G1323/H1323,"")</f>
        <v/>
      </c>
    </row>
    <row r="1324">
      <c r="A1324" s="4" t="inlineStr">
        <is>
          <t>321</t>
        </is>
      </c>
      <c r="B1324" s="4" t="n">
        <v>3</v>
      </c>
      <c r="C1324" s="4" t="inlineStr">
        <is>
          <t>mule deer</t>
        </is>
      </c>
      <c r="D1324" s="4" t="n">
        <v>2021</v>
      </c>
      <c r="E1324" s="13" t="inlineStr">
        <is>
          <t>General</t>
        </is>
      </c>
      <c r="F1324" s="5" t="n">
        <v>502</v>
      </c>
      <c r="G1324" s="5" t="n">
        <v>3264</v>
      </c>
      <c r="H1324" s="5" t="n">
        <v>30</v>
      </c>
      <c r="I1324" s="5" t="n">
        <v>19</v>
      </c>
      <c r="J1324" s="5" t="n">
        <v>11</v>
      </c>
      <c r="K1324" s="10">
        <f>IF(F1324&gt;0,H1324/F1324,"")</f>
        <v/>
      </c>
      <c r="L1324" s="16">
        <f>IF(AND(G1324&gt;0,H1324&gt;0),G1324/H1324,"")</f>
        <v/>
      </c>
    </row>
    <row r="1325">
      <c r="A1325" s="4" t="inlineStr">
        <is>
          <t>321</t>
        </is>
      </c>
      <c r="B1325" s="4" t="n">
        <v>3</v>
      </c>
      <c r="C1325" s="4" t="inlineStr">
        <is>
          <t>mule deer</t>
        </is>
      </c>
      <c r="D1325" s="4" t="n">
        <v>2022</v>
      </c>
      <c r="E1325" s="13" t="inlineStr">
        <is>
          <t>General</t>
        </is>
      </c>
      <c r="F1325" s="5" t="n"/>
      <c r="G1325" s="5" t="n"/>
      <c r="H1325" s="5" t="n">
        <v>54</v>
      </c>
      <c r="I1325" s="5" t="n">
        <v>36</v>
      </c>
      <c r="J1325" s="5" t="n">
        <v>19</v>
      </c>
      <c r="K1325" s="10">
        <f>IF(F1325&gt;0,H1325/F1325,"")</f>
        <v/>
      </c>
      <c r="L1325" s="16">
        <f>IF(AND(G1325&gt;0,H1325&gt;0),G1325/H1325,"")</f>
        <v/>
      </c>
    </row>
    <row r="1326">
      <c r="A1326" s="4" t="inlineStr">
        <is>
          <t>321</t>
        </is>
      </c>
      <c r="B1326" s="4" t="n">
        <v>3</v>
      </c>
      <c r="C1326" s="4" t="inlineStr">
        <is>
          <t>mule deer</t>
        </is>
      </c>
      <c r="D1326" s="4" t="n">
        <v>2023</v>
      </c>
      <c r="E1326" s="13" t="inlineStr">
        <is>
          <t>General</t>
        </is>
      </c>
      <c r="F1326" s="5" t="n">
        <v>1005</v>
      </c>
      <c r="G1326" s="5" t="n">
        <v>7465</v>
      </c>
      <c r="H1326" s="5" t="n">
        <v>93</v>
      </c>
      <c r="I1326" s="5" t="n">
        <v>67</v>
      </c>
      <c r="J1326" s="5" t="n">
        <v>27</v>
      </c>
      <c r="K1326" s="10">
        <f>IF(F1326&gt;0,H1326/F1326,"")</f>
        <v/>
      </c>
      <c r="L1326" s="16">
        <f>IF(AND(G1326&gt;0,H1326&gt;0),G1326/H1326,"")</f>
        <v/>
      </c>
    </row>
    <row r="1327">
      <c r="A1327" s="4" t="inlineStr">
        <is>
          <t>321</t>
        </is>
      </c>
      <c r="B1327" s="4" t="n">
        <v>3</v>
      </c>
      <c r="C1327" s="4" t="inlineStr">
        <is>
          <t>mule deer</t>
        </is>
      </c>
      <c r="D1327" s="4" t="n">
        <v>2024</v>
      </c>
      <c r="E1327" s="13" t="inlineStr">
        <is>
          <t>General</t>
        </is>
      </c>
      <c r="F1327" s="5" t="n"/>
      <c r="G1327" s="5" t="n"/>
      <c r="H1327" s="5" t="n">
        <v>65</v>
      </c>
      <c r="I1327" s="5" t="n">
        <v>47</v>
      </c>
      <c r="J1327" s="5" t="n">
        <v>19</v>
      </c>
      <c r="K1327" s="10">
        <f>IF(F1327&gt;0,H1327/F1327,"")</f>
        <v/>
      </c>
      <c r="L1327" s="16">
        <f>IF(AND(G1327&gt;0,H1327&gt;0),G1327/H1327,"")</f>
        <v/>
      </c>
    </row>
    <row r="1328">
      <c r="A1328" s="4" t="inlineStr">
        <is>
          <t>321</t>
        </is>
      </c>
      <c r="B1328" s="4" t="n">
        <v>3</v>
      </c>
      <c r="C1328" s="4" t="inlineStr">
        <is>
          <t>mule deer</t>
        </is>
      </c>
      <c r="D1328" s="4" t="n">
        <v>2025</v>
      </c>
      <c r="E1328" s="13" t="inlineStr">
        <is>
          <t>General</t>
        </is>
      </c>
      <c r="F1328" s="5" t="n">
        <v>1088</v>
      </c>
      <c r="G1328" s="5" t="n">
        <v>7254</v>
      </c>
      <c r="H1328" s="5" t="n">
        <v>85</v>
      </c>
      <c r="I1328" s="5" t="n">
        <v>85</v>
      </c>
      <c r="J1328" s="5" t="n">
        <v>0</v>
      </c>
      <c r="K1328" s="10">
        <f>IF(F1328&gt;0,H1328/F1328,"")</f>
        <v/>
      </c>
      <c r="L1328" s="16">
        <f>IF(AND(G1328&gt;0,H1328&gt;0),G1328/H1328,"")</f>
        <v/>
      </c>
    </row>
    <row r="1329">
      <c r="A1329" s="4" t="inlineStr">
        <is>
          <t>322</t>
        </is>
      </c>
      <c r="B1329" s="4" t="n">
        <v>3</v>
      </c>
      <c r="C1329" s="4" t="inlineStr">
        <is>
          <t>mule deer</t>
        </is>
      </c>
      <c r="D1329" s="4" t="n">
        <v>2021</v>
      </c>
      <c r="E1329" s="13" t="inlineStr">
        <is>
          <t>General</t>
        </is>
      </c>
      <c r="F1329" s="5" t="n">
        <v>1354</v>
      </c>
      <c r="G1329" s="5" t="n">
        <v>6729</v>
      </c>
      <c r="H1329" s="5" t="n">
        <v>239</v>
      </c>
      <c r="I1329" s="5" t="n">
        <v>184</v>
      </c>
      <c r="J1329" s="5" t="n">
        <v>56</v>
      </c>
      <c r="K1329" s="10">
        <f>IF(F1329&gt;0,H1329/F1329,"")</f>
        <v/>
      </c>
      <c r="L1329" s="16">
        <f>IF(AND(G1329&gt;0,H1329&gt;0),G1329/H1329,"")</f>
        <v/>
      </c>
    </row>
    <row r="1330">
      <c r="A1330" s="4" t="inlineStr">
        <is>
          <t>322</t>
        </is>
      </c>
      <c r="B1330" s="4" t="n">
        <v>3</v>
      </c>
      <c r="C1330" s="4" t="inlineStr">
        <is>
          <t>mule deer</t>
        </is>
      </c>
      <c r="D1330" s="4" t="n">
        <v>2022</v>
      </c>
      <c r="E1330" s="13" t="inlineStr">
        <is>
          <t>General</t>
        </is>
      </c>
      <c r="F1330" s="5" t="n"/>
      <c r="G1330" s="5" t="n"/>
      <c r="H1330" s="5" t="n">
        <v>1304</v>
      </c>
      <c r="I1330" s="5" t="n">
        <v>996</v>
      </c>
      <c r="J1330" s="5" t="n">
        <v>299</v>
      </c>
      <c r="K1330" s="10">
        <f>IF(F1330&gt;0,H1330/F1330,"")</f>
        <v/>
      </c>
      <c r="L1330" s="16">
        <f>IF(AND(G1330&gt;0,H1330&gt;0),G1330/H1330,"")</f>
        <v/>
      </c>
    </row>
    <row r="1331">
      <c r="A1331" s="4" t="inlineStr">
        <is>
          <t>322</t>
        </is>
      </c>
      <c r="B1331" s="4" t="n">
        <v>3</v>
      </c>
      <c r="C1331" s="4" t="inlineStr">
        <is>
          <t>mule deer</t>
        </is>
      </c>
      <c r="D1331" s="4" t="n">
        <v>2023</v>
      </c>
      <c r="E1331" s="13" t="inlineStr">
        <is>
          <t>General</t>
        </is>
      </c>
      <c r="F1331" s="5" t="n">
        <v>6176</v>
      </c>
      <c r="G1331" s="5" t="n">
        <v>42243</v>
      </c>
      <c r="H1331" s="5" t="n">
        <v>1248</v>
      </c>
      <c r="I1331" s="5" t="n">
        <v>854</v>
      </c>
      <c r="J1331" s="5" t="n">
        <v>380</v>
      </c>
      <c r="K1331" s="10">
        <f>IF(F1331&gt;0,H1331/F1331,"")</f>
        <v/>
      </c>
      <c r="L1331" s="16">
        <f>IF(AND(G1331&gt;0,H1331&gt;0),G1331/H1331,"")</f>
        <v/>
      </c>
    </row>
    <row r="1332">
      <c r="A1332" s="4" t="inlineStr">
        <is>
          <t>322</t>
        </is>
      </c>
      <c r="B1332" s="4" t="n">
        <v>3</v>
      </c>
      <c r="C1332" s="4" t="inlineStr">
        <is>
          <t>mule deer</t>
        </is>
      </c>
      <c r="D1332" s="4" t="n">
        <v>2024</v>
      </c>
      <c r="E1332" s="13" t="inlineStr">
        <is>
          <t>General</t>
        </is>
      </c>
      <c r="F1332" s="5" t="n"/>
      <c r="G1332" s="5" t="n"/>
      <c r="H1332" s="5" t="n">
        <v>338</v>
      </c>
      <c r="I1332" s="5" t="n">
        <v>223</v>
      </c>
      <c r="J1332" s="5" t="n">
        <v>112</v>
      </c>
      <c r="K1332" s="10">
        <f>IF(F1332&gt;0,H1332/F1332,"")</f>
        <v/>
      </c>
      <c r="L1332" s="16">
        <f>IF(AND(G1332&gt;0,H1332&gt;0),G1332/H1332,"")</f>
        <v/>
      </c>
    </row>
    <row r="1333">
      <c r="A1333" s="4" t="inlineStr">
        <is>
          <t>322</t>
        </is>
      </c>
      <c r="B1333" s="4" t="n">
        <v>3</v>
      </c>
      <c r="C1333" s="4" t="inlineStr">
        <is>
          <t>mule deer</t>
        </is>
      </c>
      <c r="D1333" s="4" t="n">
        <v>2025</v>
      </c>
      <c r="E1333" s="13" t="inlineStr">
        <is>
          <t>General</t>
        </is>
      </c>
      <c r="F1333" s="5" t="n">
        <v>1599</v>
      </c>
      <c r="G1333" s="5" t="n">
        <v>10598</v>
      </c>
      <c r="H1333" s="5" t="n">
        <v>261</v>
      </c>
      <c r="I1333" s="5" t="n">
        <v>190</v>
      </c>
      <c r="J1333" s="5" t="n">
        <v>71</v>
      </c>
      <c r="K1333" s="10">
        <f>IF(F1333&gt;0,H1333/F1333,"")</f>
        <v/>
      </c>
      <c r="L1333" s="16">
        <f>IF(AND(G1333&gt;0,H1333&gt;0),G1333/H1333,"")</f>
        <v/>
      </c>
    </row>
    <row r="1334">
      <c r="A1334" s="4" t="inlineStr">
        <is>
          <t>323</t>
        </is>
      </c>
      <c r="B1334" s="4" t="n">
        <v>3</v>
      </c>
      <c r="C1334" s="4" t="inlineStr">
        <is>
          <t>mule deer</t>
        </is>
      </c>
      <c r="D1334" s="4" t="n">
        <v>2021</v>
      </c>
      <c r="E1334" s="13" t="inlineStr">
        <is>
          <t>General</t>
        </is>
      </c>
      <c r="F1334" s="5" t="n">
        <v>461</v>
      </c>
      <c r="G1334" s="5" t="n">
        <v>3090</v>
      </c>
      <c r="H1334" s="5" t="n">
        <v>56</v>
      </c>
      <c r="I1334" s="5" t="n">
        <v>52</v>
      </c>
      <c r="J1334" s="5" t="n">
        <v>4</v>
      </c>
      <c r="K1334" s="10">
        <f>IF(F1334&gt;0,H1334/F1334,"")</f>
        <v/>
      </c>
      <c r="L1334" s="16">
        <f>IF(AND(G1334&gt;0,H1334&gt;0),G1334/H1334,"")</f>
        <v/>
      </c>
    </row>
    <row r="1335">
      <c r="A1335" s="4" t="inlineStr">
        <is>
          <t>323</t>
        </is>
      </c>
      <c r="B1335" s="4" t="n">
        <v>3</v>
      </c>
      <c r="C1335" s="4" t="inlineStr">
        <is>
          <t>mule deer</t>
        </is>
      </c>
      <c r="D1335" s="4" t="n">
        <v>2024</v>
      </c>
      <c r="E1335" s="13" t="inlineStr">
        <is>
          <t>General</t>
        </is>
      </c>
      <c r="F1335" s="5" t="n"/>
      <c r="G1335" s="5" t="n"/>
      <c r="H1335" s="5" t="n">
        <v>474</v>
      </c>
      <c r="I1335" s="5" t="n">
        <v>333</v>
      </c>
      <c r="J1335" s="5" t="n">
        <v>141</v>
      </c>
      <c r="K1335" s="10">
        <f>IF(F1335&gt;0,H1335/F1335,"")</f>
        <v/>
      </c>
      <c r="L1335" s="16">
        <f>IF(AND(G1335&gt;0,H1335&gt;0),G1335/H1335,"")</f>
        <v/>
      </c>
    </row>
    <row r="1336">
      <c r="A1336" s="4" t="inlineStr">
        <is>
          <t>323</t>
        </is>
      </c>
      <c r="B1336" s="4" t="n">
        <v>3</v>
      </c>
      <c r="C1336" s="4" t="inlineStr">
        <is>
          <t>mule deer</t>
        </is>
      </c>
      <c r="D1336" s="4" t="n">
        <v>2025</v>
      </c>
      <c r="E1336" s="13" t="inlineStr">
        <is>
          <t>General</t>
        </is>
      </c>
      <c r="F1336" s="5" t="n">
        <v>2639</v>
      </c>
      <c r="G1336" s="5" t="n">
        <v>17036</v>
      </c>
      <c r="H1336" s="5" t="n">
        <v>400</v>
      </c>
      <c r="I1336" s="5" t="n">
        <v>306</v>
      </c>
      <c r="J1336" s="5" t="n">
        <v>94</v>
      </c>
      <c r="K1336" s="10">
        <f>IF(F1336&gt;0,H1336/F1336,"")</f>
        <v/>
      </c>
      <c r="L1336" s="16">
        <f>IF(AND(G1336&gt;0,H1336&gt;0),G1336/H1336,"")</f>
        <v/>
      </c>
    </row>
    <row r="1337">
      <c r="A1337" s="4" t="inlineStr">
        <is>
          <t>324</t>
        </is>
      </c>
      <c r="B1337" s="4" t="n">
        <v>3</v>
      </c>
      <c r="C1337" s="4" t="inlineStr">
        <is>
          <t>mule deer</t>
        </is>
      </c>
      <c r="D1337" s="4" t="n">
        <v>2021</v>
      </c>
      <c r="E1337" s="13" t="inlineStr">
        <is>
          <t>General</t>
        </is>
      </c>
      <c r="F1337" s="5" t="n">
        <v>532</v>
      </c>
      <c r="G1337" s="5" t="n">
        <v>3545</v>
      </c>
      <c r="H1337" s="5" t="n">
        <v>60</v>
      </c>
      <c r="I1337" s="5" t="n">
        <v>39</v>
      </c>
      <c r="J1337" s="5" t="n">
        <v>21</v>
      </c>
      <c r="K1337" s="10">
        <f>IF(F1337&gt;0,H1337/F1337,"")</f>
        <v/>
      </c>
      <c r="L1337" s="16">
        <f>IF(AND(G1337&gt;0,H1337&gt;0),G1337/H1337,"")</f>
        <v/>
      </c>
    </row>
    <row r="1338">
      <c r="A1338" s="4" t="inlineStr">
        <is>
          <t>324</t>
        </is>
      </c>
      <c r="B1338" s="4" t="n">
        <v>3</v>
      </c>
      <c r="C1338" s="4" t="inlineStr">
        <is>
          <t>mule deer</t>
        </is>
      </c>
      <c r="D1338" s="4" t="n">
        <v>2024</v>
      </c>
      <c r="E1338" s="13" t="inlineStr">
        <is>
          <t>General</t>
        </is>
      </c>
      <c r="F1338" s="5" t="n"/>
      <c r="G1338" s="5" t="n"/>
      <c r="H1338" s="5" t="n">
        <v>295</v>
      </c>
      <c r="I1338" s="5" t="n">
        <v>204</v>
      </c>
      <c r="J1338" s="5" t="n">
        <v>91</v>
      </c>
      <c r="K1338" s="10">
        <f>IF(F1338&gt;0,H1338/F1338,"")</f>
        <v/>
      </c>
      <c r="L1338" s="16">
        <f>IF(AND(G1338&gt;0,H1338&gt;0),G1338/H1338,"")</f>
        <v/>
      </c>
    </row>
    <row r="1339">
      <c r="A1339" s="4" t="inlineStr">
        <is>
          <t>324</t>
        </is>
      </c>
      <c r="B1339" s="4" t="n">
        <v>3</v>
      </c>
      <c r="C1339" s="4" t="inlineStr">
        <is>
          <t>mule deer</t>
        </is>
      </c>
      <c r="D1339" s="4" t="n">
        <v>2025</v>
      </c>
      <c r="E1339" s="13" t="inlineStr">
        <is>
          <t>General</t>
        </is>
      </c>
      <c r="F1339" s="5" t="n">
        <v>1535</v>
      </c>
      <c r="G1339" s="5" t="n">
        <v>9522</v>
      </c>
      <c r="H1339" s="5" t="n">
        <v>274</v>
      </c>
      <c r="I1339" s="5" t="n">
        <v>189</v>
      </c>
      <c r="J1339" s="5" t="n">
        <v>86</v>
      </c>
      <c r="K1339" s="10">
        <f>IF(F1339&gt;0,H1339/F1339,"")</f>
        <v/>
      </c>
      <c r="L1339" s="16">
        <f>IF(AND(G1339&gt;0,H1339&gt;0),G1339/H1339,"")</f>
        <v/>
      </c>
    </row>
    <row r="1340">
      <c r="A1340" s="4" t="inlineStr">
        <is>
          <t>325</t>
        </is>
      </c>
      <c r="B1340" s="4" t="n">
        <v>3</v>
      </c>
      <c r="C1340" s="4" t="inlineStr">
        <is>
          <t>mule deer</t>
        </is>
      </c>
      <c r="D1340" s="4" t="n">
        <v>2021</v>
      </c>
      <c r="E1340" s="4" t="inlineStr"/>
      <c r="F1340" s="5" t="n">
        <v>1647</v>
      </c>
      <c r="G1340" s="5" t="n">
        <v>9594</v>
      </c>
      <c r="H1340" s="5" t="n">
        <v>463</v>
      </c>
      <c r="I1340" s="5" t="n">
        <v>307</v>
      </c>
      <c r="J1340" s="5" t="n">
        <v>152</v>
      </c>
      <c r="K1340" s="10">
        <f>IF(F1340&gt;0,H1340/F1340,"")</f>
        <v/>
      </c>
      <c r="L1340" s="16">
        <f>IF(AND(G1340&gt;0,H1340&gt;0),G1340/H1340,"")</f>
        <v/>
      </c>
    </row>
    <row r="1341">
      <c r="A1341" s="4" t="inlineStr">
        <is>
          <t>326</t>
        </is>
      </c>
      <c r="B1341" s="4" t="n">
        <v>3</v>
      </c>
      <c r="C1341" s="4" t="inlineStr">
        <is>
          <t>mule deer</t>
        </is>
      </c>
      <c r="D1341" s="4" t="n">
        <v>2021</v>
      </c>
      <c r="E1341" s="4" t="inlineStr"/>
      <c r="F1341" s="5" t="n">
        <v>597</v>
      </c>
      <c r="G1341" s="5" t="n">
        <v>3199</v>
      </c>
      <c r="H1341" s="5" t="n">
        <v>150</v>
      </c>
      <c r="I1341" s="5" t="n">
        <v>99</v>
      </c>
      <c r="J1341" s="5" t="n">
        <v>51</v>
      </c>
      <c r="K1341" s="10">
        <f>IF(F1341&gt;0,H1341/F1341,"")</f>
        <v/>
      </c>
      <c r="L1341" s="16">
        <f>IF(AND(G1341&gt;0,H1341&gt;0),G1341/H1341,"")</f>
        <v/>
      </c>
    </row>
    <row r="1342">
      <c r="A1342" s="4" t="inlineStr">
        <is>
          <t>327</t>
        </is>
      </c>
      <c r="B1342" s="4" t="n">
        <v>3</v>
      </c>
      <c r="C1342" s="4" t="inlineStr">
        <is>
          <t>mule deer</t>
        </is>
      </c>
      <c r="D1342" s="4" t="n">
        <v>2021</v>
      </c>
      <c r="E1342" s="4" t="inlineStr"/>
      <c r="F1342" s="5" t="n">
        <v>546</v>
      </c>
      <c r="G1342" s="5" t="n">
        <v>3451</v>
      </c>
      <c r="H1342" s="5" t="n">
        <v>70</v>
      </c>
      <c r="I1342" s="5" t="n">
        <v>52</v>
      </c>
      <c r="J1342" s="5" t="n">
        <v>18</v>
      </c>
      <c r="K1342" s="10">
        <f>IF(F1342&gt;0,H1342/F1342,"")</f>
        <v/>
      </c>
      <c r="L1342" s="16">
        <f>IF(AND(G1342&gt;0,H1342&gt;0),G1342/H1342,"")</f>
        <v/>
      </c>
    </row>
    <row r="1343">
      <c r="A1343" s="4" t="inlineStr">
        <is>
          <t>328</t>
        </is>
      </c>
      <c r="B1343" s="4" t="n">
        <v>3</v>
      </c>
      <c r="C1343" s="4" t="inlineStr">
        <is>
          <t>mule deer</t>
        </is>
      </c>
      <c r="D1343" s="4" t="n">
        <v>2021</v>
      </c>
      <c r="E1343" s="4" t="inlineStr"/>
      <c r="F1343" s="5" t="n">
        <v>320</v>
      </c>
      <c r="G1343" s="5" t="n">
        <v>1581</v>
      </c>
      <c r="H1343" s="5" t="n">
        <v>57</v>
      </c>
      <c r="I1343" s="5" t="n">
        <v>42</v>
      </c>
      <c r="J1343" s="5" t="n">
        <v>15</v>
      </c>
      <c r="K1343" s="10">
        <f>IF(F1343&gt;0,H1343/F1343,"")</f>
        <v/>
      </c>
      <c r="L1343" s="16">
        <f>IF(AND(G1343&gt;0,H1343&gt;0),G1343/H1343,"")</f>
        <v/>
      </c>
    </row>
    <row r="1344">
      <c r="A1344" s="4" t="inlineStr">
        <is>
          <t>329</t>
        </is>
      </c>
      <c r="B1344" s="4" t="n">
        <v>3</v>
      </c>
      <c r="C1344" s="4" t="inlineStr">
        <is>
          <t>mule deer</t>
        </is>
      </c>
      <c r="D1344" s="4" t="n">
        <v>2021</v>
      </c>
      <c r="E1344" s="13" t="inlineStr">
        <is>
          <t>General</t>
        </is>
      </c>
      <c r="F1344" s="5" t="n">
        <v>839</v>
      </c>
      <c r="G1344" s="5" t="n">
        <v>5236</v>
      </c>
      <c r="H1344" s="5" t="n">
        <v>123</v>
      </c>
      <c r="I1344" s="5" t="n">
        <v>72</v>
      </c>
      <c r="J1344" s="5" t="n">
        <v>51</v>
      </c>
      <c r="K1344" s="10">
        <f>IF(F1344&gt;0,H1344/F1344,"")</f>
        <v/>
      </c>
      <c r="L1344" s="16">
        <f>IF(AND(G1344&gt;0,H1344&gt;0),G1344/H1344,"")</f>
        <v/>
      </c>
    </row>
    <row r="1345">
      <c r="A1345" s="4" t="inlineStr">
        <is>
          <t>329</t>
        </is>
      </c>
      <c r="B1345" s="4" t="n">
        <v>3</v>
      </c>
      <c r="C1345" s="4" t="inlineStr">
        <is>
          <t>mule deer</t>
        </is>
      </c>
      <c r="D1345" s="4" t="n">
        <v>2022</v>
      </c>
      <c r="E1345" s="13" t="inlineStr">
        <is>
          <t>General</t>
        </is>
      </c>
      <c r="F1345" s="5" t="n"/>
      <c r="G1345" s="5" t="n"/>
      <c r="H1345" s="5" t="n">
        <v>116</v>
      </c>
      <c r="I1345" s="5" t="n">
        <v>76</v>
      </c>
      <c r="J1345" s="5" t="n">
        <v>41</v>
      </c>
      <c r="K1345" s="10">
        <f>IF(F1345&gt;0,H1345/F1345,"")</f>
        <v/>
      </c>
      <c r="L1345" s="16">
        <f>IF(AND(G1345&gt;0,H1345&gt;0),G1345/H1345,"")</f>
        <v/>
      </c>
    </row>
    <row r="1346">
      <c r="A1346" s="4" t="inlineStr">
        <is>
          <t>329</t>
        </is>
      </c>
      <c r="B1346" s="4" t="n">
        <v>3</v>
      </c>
      <c r="C1346" s="4" t="inlineStr">
        <is>
          <t>mule deer</t>
        </is>
      </c>
      <c r="D1346" s="4" t="n">
        <v>2023</v>
      </c>
      <c r="E1346" s="13" t="inlineStr">
        <is>
          <t>General</t>
        </is>
      </c>
      <c r="F1346" s="5" t="n">
        <v>1025</v>
      </c>
      <c r="G1346" s="5" t="n">
        <v>6414</v>
      </c>
      <c r="H1346" s="5" t="n">
        <v>136</v>
      </c>
      <c r="I1346" s="5" t="n">
        <v>77</v>
      </c>
      <c r="J1346" s="5" t="n">
        <v>60</v>
      </c>
      <c r="K1346" s="10">
        <f>IF(F1346&gt;0,H1346/F1346,"")</f>
        <v/>
      </c>
      <c r="L1346" s="16">
        <f>IF(AND(G1346&gt;0,H1346&gt;0),G1346/H1346,"")</f>
        <v/>
      </c>
    </row>
    <row r="1347">
      <c r="A1347" s="4" t="inlineStr">
        <is>
          <t>329</t>
        </is>
      </c>
      <c r="B1347" s="4" t="n">
        <v>3</v>
      </c>
      <c r="C1347" s="4" t="inlineStr">
        <is>
          <t>mule deer</t>
        </is>
      </c>
      <c r="D1347" s="4" t="n">
        <v>2024</v>
      </c>
      <c r="E1347" s="13" t="inlineStr">
        <is>
          <t>General</t>
        </is>
      </c>
      <c r="F1347" s="5" t="n"/>
      <c r="G1347" s="5" t="n"/>
      <c r="H1347" s="5" t="n">
        <v>160</v>
      </c>
      <c r="I1347" s="5" t="n">
        <v>124</v>
      </c>
      <c r="J1347" s="5" t="n">
        <v>37</v>
      </c>
      <c r="K1347" s="10">
        <f>IF(F1347&gt;0,H1347/F1347,"")</f>
        <v/>
      </c>
      <c r="L1347" s="16">
        <f>IF(AND(G1347&gt;0,H1347&gt;0),G1347/H1347,"")</f>
        <v/>
      </c>
    </row>
    <row r="1348">
      <c r="A1348" s="4" t="inlineStr">
        <is>
          <t>329</t>
        </is>
      </c>
      <c r="B1348" s="4" t="n">
        <v>3</v>
      </c>
      <c r="C1348" s="4" t="inlineStr">
        <is>
          <t>mule deer</t>
        </is>
      </c>
      <c r="D1348" s="4" t="n">
        <v>2025</v>
      </c>
      <c r="E1348" s="13" t="inlineStr">
        <is>
          <t>General</t>
        </is>
      </c>
      <c r="F1348" s="5" t="n">
        <v>1184</v>
      </c>
      <c r="G1348" s="5" t="n">
        <v>7279</v>
      </c>
      <c r="H1348" s="5" t="n">
        <v>192</v>
      </c>
      <c r="I1348" s="5" t="n">
        <v>147</v>
      </c>
      <c r="J1348" s="5" t="n">
        <v>39</v>
      </c>
      <c r="K1348" s="10">
        <f>IF(F1348&gt;0,H1348/F1348,"")</f>
        <v/>
      </c>
      <c r="L1348" s="16">
        <f>IF(AND(G1348&gt;0,H1348&gt;0),G1348/H1348,"")</f>
        <v/>
      </c>
    </row>
    <row r="1349">
      <c r="A1349" s="4" t="inlineStr">
        <is>
          <t>330</t>
        </is>
      </c>
      <c r="B1349" s="4" t="n">
        <v>3</v>
      </c>
      <c r="C1349" s="4" t="inlineStr">
        <is>
          <t>mule deer</t>
        </is>
      </c>
      <c r="D1349" s="4" t="n">
        <v>2021</v>
      </c>
      <c r="E1349" s="4" t="inlineStr"/>
      <c r="F1349" s="5" t="n">
        <v>1008</v>
      </c>
      <c r="G1349" s="5" t="n">
        <v>6837</v>
      </c>
      <c r="H1349" s="5" t="n">
        <v>200</v>
      </c>
      <c r="I1349" s="5" t="n">
        <v>150</v>
      </c>
      <c r="J1349" s="5" t="n">
        <v>50</v>
      </c>
      <c r="K1349" s="10">
        <f>IF(F1349&gt;0,H1349/F1349,"")</f>
        <v/>
      </c>
      <c r="L1349" s="16">
        <f>IF(AND(G1349&gt;0,H1349&gt;0),G1349/H1349,"")</f>
        <v/>
      </c>
    </row>
    <row r="1350">
      <c r="A1350" s="4" t="inlineStr">
        <is>
          <t>331</t>
        </is>
      </c>
      <c r="B1350" s="4" t="n">
        <v>3</v>
      </c>
      <c r="C1350" s="4" t="inlineStr">
        <is>
          <t>mule deer</t>
        </is>
      </c>
      <c r="D1350" s="4" t="n">
        <v>2021</v>
      </c>
      <c r="E1350" s="13" t="inlineStr">
        <is>
          <t>General</t>
        </is>
      </c>
      <c r="F1350" s="5" t="n">
        <v>1485</v>
      </c>
      <c r="G1350" s="5" t="n">
        <v>10368</v>
      </c>
      <c r="H1350" s="5" t="n">
        <v>297</v>
      </c>
      <c r="I1350" s="5" t="n">
        <v>210</v>
      </c>
      <c r="J1350" s="5" t="n">
        <v>87</v>
      </c>
      <c r="K1350" s="10">
        <f>IF(F1350&gt;0,H1350/F1350,"")</f>
        <v/>
      </c>
      <c r="L1350" s="16">
        <f>IF(AND(G1350&gt;0,H1350&gt;0),G1350/H1350,"")</f>
        <v/>
      </c>
    </row>
    <row r="1351">
      <c r="A1351" s="4" t="inlineStr">
        <is>
          <t>331</t>
        </is>
      </c>
      <c r="B1351" s="4" t="n">
        <v>3</v>
      </c>
      <c r="C1351" s="4" t="inlineStr">
        <is>
          <t>mule deer</t>
        </is>
      </c>
      <c r="D1351" s="4" t="n">
        <v>2022</v>
      </c>
      <c r="E1351" s="13" t="inlineStr">
        <is>
          <t>General</t>
        </is>
      </c>
      <c r="F1351" s="5" t="n"/>
      <c r="G1351" s="5" t="n"/>
      <c r="H1351" s="5" t="n">
        <v>345</v>
      </c>
      <c r="I1351" s="5" t="n">
        <v>224</v>
      </c>
      <c r="J1351" s="5" t="n">
        <v>118</v>
      </c>
      <c r="K1351" s="10">
        <f>IF(F1351&gt;0,H1351/F1351,"")</f>
        <v/>
      </c>
      <c r="L1351" s="16">
        <f>IF(AND(G1351&gt;0,H1351&gt;0),G1351/H1351,"")</f>
        <v/>
      </c>
    </row>
    <row r="1352">
      <c r="A1352" s="4" t="inlineStr">
        <is>
          <t>331</t>
        </is>
      </c>
      <c r="B1352" s="4" t="n">
        <v>3</v>
      </c>
      <c r="C1352" s="4" t="inlineStr">
        <is>
          <t>mule deer</t>
        </is>
      </c>
      <c r="D1352" s="4" t="n">
        <v>2023</v>
      </c>
      <c r="E1352" s="13" t="inlineStr">
        <is>
          <t>General</t>
        </is>
      </c>
      <c r="F1352" s="5" t="n">
        <v>2009</v>
      </c>
      <c r="G1352" s="5" t="n">
        <v>14147</v>
      </c>
      <c r="H1352" s="5" t="n">
        <v>310</v>
      </c>
      <c r="I1352" s="5" t="n">
        <v>243</v>
      </c>
      <c r="J1352" s="5" t="n">
        <v>66</v>
      </c>
      <c r="K1352" s="10">
        <f>IF(F1352&gt;0,H1352/F1352,"")</f>
        <v/>
      </c>
      <c r="L1352" s="16">
        <f>IF(AND(G1352&gt;0,H1352&gt;0),G1352/H1352,"")</f>
        <v/>
      </c>
    </row>
    <row r="1353">
      <c r="A1353" s="4" t="inlineStr">
        <is>
          <t>331</t>
        </is>
      </c>
      <c r="B1353" s="4" t="n">
        <v>3</v>
      </c>
      <c r="C1353" s="4" t="inlineStr">
        <is>
          <t>mule deer</t>
        </is>
      </c>
      <c r="D1353" s="4" t="n">
        <v>2024</v>
      </c>
      <c r="E1353" s="13" t="inlineStr">
        <is>
          <t>General</t>
        </is>
      </c>
      <c r="F1353" s="5" t="n"/>
      <c r="G1353" s="5" t="n"/>
      <c r="H1353" s="5" t="n">
        <v>481</v>
      </c>
      <c r="I1353" s="5" t="n">
        <v>359</v>
      </c>
      <c r="J1353" s="5" t="n">
        <v>109</v>
      </c>
      <c r="K1353" s="10">
        <f>IF(F1353&gt;0,H1353/F1353,"")</f>
        <v/>
      </c>
      <c r="L1353" s="16">
        <f>IF(AND(G1353&gt;0,H1353&gt;0),G1353/H1353,"")</f>
        <v/>
      </c>
    </row>
    <row r="1354">
      <c r="A1354" s="4" t="inlineStr">
        <is>
          <t>331</t>
        </is>
      </c>
      <c r="B1354" s="4" t="n">
        <v>3</v>
      </c>
      <c r="C1354" s="4" t="inlineStr">
        <is>
          <t>mule deer</t>
        </is>
      </c>
      <c r="D1354" s="4" t="n">
        <v>2025</v>
      </c>
      <c r="E1354" s="13" t="inlineStr">
        <is>
          <t>General</t>
        </is>
      </c>
      <c r="F1354" s="5" t="n">
        <v>2606</v>
      </c>
      <c r="G1354" s="5" t="n">
        <v>20916</v>
      </c>
      <c r="H1354" s="5" t="n">
        <v>415</v>
      </c>
      <c r="I1354" s="5" t="n">
        <v>290</v>
      </c>
      <c r="J1354" s="5" t="n">
        <v>115</v>
      </c>
      <c r="K1354" s="10">
        <f>IF(F1354&gt;0,H1354/F1354,"")</f>
        <v/>
      </c>
      <c r="L1354" s="16">
        <f>IF(AND(G1354&gt;0,H1354&gt;0),G1354/H1354,"")</f>
        <v/>
      </c>
    </row>
    <row r="1355">
      <c r="A1355" s="4" t="inlineStr">
        <is>
          <t>332</t>
        </is>
      </c>
      <c r="B1355" s="4" t="n">
        <v>3</v>
      </c>
      <c r="C1355" s="4" t="inlineStr">
        <is>
          <t>mule deer</t>
        </is>
      </c>
      <c r="D1355" s="4" t="n">
        <v>2021</v>
      </c>
      <c r="E1355" s="4" t="inlineStr"/>
      <c r="F1355" s="5" t="n">
        <v>478</v>
      </c>
      <c r="G1355" s="5" t="n">
        <v>3115</v>
      </c>
      <c r="H1355" s="5" t="n">
        <v>49</v>
      </c>
      <c r="I1355" s="5" t="n">
        <v>34</v>
      </c>
      <c r="J1355" s="5" t="n">
        <v>15</v>
      </c>
      <c r="K1355" s="10">
        <f>IF(F1355&gt;0,H1355/F1355,"")</f>
        <v/>
      </c>
      <c r="L1355" s="16">
        <f>IF(AND(G1355&gt;0,H1355&gt;0),G1355/H1355,"")</f>
        <v/>
      </c>
    </row>
    <row r="1356">
      <c r="A1356" s="4" t="inlineStr">
        <is>
          <t>333</t>
        </is>
      </c>
      <c r="B1356" s="4" t="n">
        <v>3</v>
      </c>
      <c r="C1356" s="4" t="inlineStr">
        <is>
          <t>mule deer</t>
        </is>
      </c>
      <c r="D1356" s="4" t="n">
        <v>2021</v>
      </c>
      <c r="E1356" s="4" t="inlineStr"/>
      <c r="F1356" s="5" t="n">
        <v>1452</v>
      </c>
      <c r="G1356" s="5" t="n">
        <v>9148</v>
      </c>
      <c r="H1356" s="5" t="n">
        <v>259</v>
      </c>
      <c r="I1356" s="5" t="n">
        <v>219</v>
      </c>
      <c r="J1356" s="5" t="n">
        <v>40</v>
      </c>
      <c r="K1356" s="10">
        <f>IF(F1356&gt;0,H1356/F1356,"")</f>
        <v/>
      </c>
      <c r="L1356" s="16">
        <f>IF(AND(G1356&gt;0,H1356&gt;0),G1356/H1356,"")</f>
        <v/>
      </c>
    </row>
    <row r="1357">
      <c r="A1357" s="4" t="inlineStr">
        <is>
          <t>334</t>
        </is>
      </c>
      <c r="B1357" s="4" t="n">
        <v>3</v>
      </c>
      <c r="C1357" s="4" t="inlineStr">
        <is>
          <t>mule deer</t>
        </is>
      </c>
      <c r="D1357" s="4" t="n">
        <v>2021</v>
      </c>
      <c r="E1357" s="4" t="inlineStr"/>
      <c r="F1357" s="5" t="n">
        <v>238</v>
      </c>
      <c r="G1357" s="5" t="n">
        <v>1505</v>
      </c>
      <c r="H1357" s="5" t="n">
        <v>20</v>
      </c>
      <c r="I1357" s="5" t="n">
        <v>15</v>
      </c>
      <c r="J1357" s="5" t="n">
        <v>5</v>
      </c>
      <c r="K1357" s="10">
        <f>IF(F1357&gt;0,H1357/F1357,"")</f>
        <v/>
      </c>
      <c r="L1357" s="16">
        <f>IF(AND(G1357&gt;0,H1357&gt;0),G1357/H1357,"")</f>
        <v/>
      </c>
    </row>
    <row r="1358">
      <c r="A1358" s="4" t="inlineStr">
        <is>
          <t>335</t>
        </is>
      </c>
      <c r="B1358" s="4" t="n">
        <v>3</v>
      </c>
      <c r="C1358" s="4" t="inlineStr">
        <is>
          <t>mule deer</t>
        </is>
      </c>
      <c r="D1358" s="4" t="n">
        <v>2021</v>
      </c>
      <c r="E1358" s="13" t="inlineStr">
        <is>
          <t>General</t>
        </is>
      </c>
      <c r="F1358" s="5" t="n">
        <v>875</v>
      </c>
      <c r="G1358" s="5" t="n">
        <v>6923</v>
      </c>
      <c r="H1358" s="5" t="n">
        <v>206</v>
      </c>
      <c r="I1358" s="5" t="n">
        <v>183</v>
      </c>
      <c r="J1358" s="5" t="n">
        <v>19</v>
      </c>
      <c r="K1358" s="10">
        <f>IF(F1358&gt;0,H1358/F1358,"")</f>
        <v/>
      </c>
      <c r="L1358" s="16">
        <f>IF(AND(G1358&gt;0,H1358&gt;0),G1358/H1358,"")</f>
        <v/>
      </c>
    </row>
    <row r="1359">
      <c r="A1359" s="4" t="inlineStr">
        <is>
          <t>335</t>
        </is>
      </c>
      <c r="B1359" s="4" t="n">
        <v>3</v>
      </c>
      <c r="C1359" s="4" t="inlineStr">
        <is>
          <t>mule deer</t>
        </is>
      </c>
      <c r="D1359" s="4" t="n">
        <v>2022</v>
      </c>
      <c r="E1359" s="13" t="inlineStr">
        <is>
          <t>General</t>
        </is>
      </c>
      <c r="F1359" s="5" t="n"/>
      <c r="G1359" s="5" t="n"/>
      <c r="H1359" s="5" t="n">
        <v>249</v>
      </c>
      <c r="I1359" s="5" t="n">
        <v>229</v>
      </c>
      <c r="J1359" s="5" t="n">
        <v>20</v>
      </c>
      <c r="K1359" s="10">
        <f>IF(F1359&gt;0,H1359/F1359,"")</f>
        <v/>
      </c>
      <c r="L1359" s="16">
        <f>IF(AND(G1359&gt;0,H1359&gt;0),G1359/H1359,"")</f>
        <v/>
      </c>
    </row>
    <row r="1360">
      <c r="A1360" s="4" t="inlineStr">
        <is>
          <t>335</t>
        </is>
      </c>
      <c r="B1360" s="4" t="n">
        <v>3</v>
      </c>
      <c r="C1360" s="4" t="inlineStr">
        <is>
          <t>mule deer</t>
        </is>
      </c>
      <c r="D1360" s="4" t="n">
        <v>2023</v>
      </c>
      <c r="E1360" s="13" t="inlineStr">
        <is>
          <t>General</t>
        </is>
      </c>
      <c r="F1360" s="5" t="n">
        <v>1100</v>
      </c>
      <c r="G1360" s="5" t="n">
        <v>9091</v>
      </c>
      <c r="H1360" s="5" t="n">
        <v>245</v>
      </c>
      <c r="I1360" s="5" t="n">
        <v>228</v>
      </c>
      <c r="J1360" s="5" t="n">
        <v>17</v>
      </c>
      <c r="K1360" s="10">
        <f>IF(F1360&gt;0,H1360/F1360,"")</f>
        <v/>
      </c>
      <c r="L1360" s="16">
        <f>IF(AND(G1360&gt;0,H1360&gt;0),G1360/H1360,"")</f>
        <v/>
      </c>
    </row>
    <row r="1361">
      <c r="A1361" s="4" t="inlineStr">
        <is>
          <t>335</t>
        </is>
      </c>
      <c r="B1361" s="4" t="n">
        <v>3</v>
      </c>
      <c r="C1361" s="4" t="inlineStr">
        <is>
          <t>mule deer</t>
        </is>
      </c>
      <c r="D1361" s="4" t="n">
        <v>2024</v>
      </c>
      <c r="E1361" s="13" t="inlineStr">
        <is>
          <t>General</t>
        </is>
      </c>
      <c r="F1361" s="5" t="n"/>
      <c r="G1361" s="5" t="n"/>
      <c r="H1361" s="5" t="n">
        <v>244</v>
      </c>
      <c r="I1361" s="5" t="n">
        <v>226</v>
      </c>
      <c r="J1361" s="5" t="n">
        <v>18</v>
      </c>
      <c r="K1361" s="10">
        <f>IF(F1361&gt;0,H1361/F1361,"")</f>
        <v/>
      </c>
      <c r="L1361" s="16">
        <f>IF(AND(G1361&gt;0,H1361&gt;0),G1361/H1361,"")</f>
        <v/>
      </c>
    </row>
    <row r="1362">
      <c r="A1362" s="4" t="inlineStr">
        <is>
          <t>335</t>
        </is>
      </c>
      <c r="B1362" s="4" t="n">
        <v>3</v>
      </c>
      <c r="C1362" s="4" t="inlineStr">
        <is>
          <t>mule deer</t>
        </is>
      </c>
      <c r="D1362" s="4" t="n">
        <v>2025</v>
      </c>
      <c r="E1362" s="13" t="inlineStr">
        <is>
          <t>General</t>
        </is>
      </c>
      <c r="F1362" s="5" t="n">
        <v>1194</v>
      </c>
      <c r="G1362" s="5" t="n">
        <v>8438</v>
      </c>
      <c r="H1362" s="5" t="n">
        <v>256</v>
      </c>
      <c r="I1362" s="5" t="n">
        <v>204</v>
      </c>
      <c r="J1362" s="5" t="n">
        <v>46</v>
      </c>
      <c r="K1362" s="10">
        <f>IF(F1362&gt;0,H1362/F1362,"")</f>
        <v/>
      </c>
      <c r="L1362" s="16">
        <f>IF(AND(G1362&gt;0,H1362&gt;0),G1362/H1362,"")</f>
        <v/>
      </c>
    </row>
    <row r="1363">
      <c r="A1363" s="4" t="inlineStr">
        <is>
          <t>339</t>
        </is>
      </c>
      <c r="B1363" s="4" t="n">
        <v>3</v>
      </c>
      <c r="C1363" s="4" t="inlineStr">
        <is>
          <t>mule deer</t>
        </is>
      </c>
      <c r="D1363" s="4" t="n">
        <v>2021</v>
      </c>
      <c r="E1363" s="13" t="inlineStr">
        <is>
          <t>General</t>
        </is>
      </c>
      <c r="F1363" s="5" t="n">
        <v>633</v>
      </c>
      <c r="G1363" s="5" t="n">
        <v>4031</v>
      </c>
      <c r="H1363" s="5" t="n">
        <v>105</v>
      </c>
      <c r="I1363" s="5" t="n">
        <v>99</v>
      </c>
      <c r="J1363" s="5" t="n">
        <v>6</v>
      </c>
      <c r="K1363" s="10">
        <f>IF(F1363&gt;0,H1363/F1363,"")</f>
        <v/>
      </c>
      <c r="L1363" s="16">
        <f>IF(AND(G1363&gt;0,H1363&gt;0),G1363/H1363,"")</f>
        <v/>
      </c>
    </row>
    <row r="1364">
      <c r="A1364" s="4" t="inlineStr">
        <is>
          <t>339</t>
        </is>
      </c>
      <c r="B1364" s="4" t="n">
        <v>3</v>
      </c>
      <c r="C1364" s="4" t="inlineStr">
        <is>
          <t>mule deer</t>
        </is>
      </c>
      <c r="D1364" s="4" t="n">
        <v>2022</v>
      </c>
      <c r="E1364" s="13" t="inlineStr">
        <is>
          <t>General</t>
        </is>
      </c>
      <c r="F1364" s="5" t="n"/>
      <c r="G1364" s="5" t="n"/>
      <c r="H1364" s="5" t="n">
        <v>110</v>
      </c>
      <c r="I1364" s="5" t="n">
        <v>102</v>
      </c>
      <c r="J1364" s="5" t="n">
        <v>9</v>
      </c>
      <c r="K1364" s="10">
        <f>IF(F1364&gt;0,H1364/F1364,"")</f>
        <v/>
      </c>
      <c r="L1364" s="16">
        <f>IF(AND(G1364&gt;0,H1364&gt;0),G1364/H1364,"")</f>
        <v/>
      </c>
    </row>
    <row r="1365">
      <c r="A1365" s="4" t="inlineStr">
        <is>
          <t>339</t>
        </is>
      </c>
      <c r="B1365" s="4" t="n">
        <v>3</v>
      </c>
      <c r="C1365" s="4" t="inlineStr">
        <is>
          <t>mule deer</t>
        </is>
      </c>
      <c r="D1365" s="4" t="n">
        <v>2023</v>
      </c>
      <c r="E1365" s="13" t="inlineStr">
        <is>
          <t>General</t>
        </is>
      </c>
      <c r="F1365" s="5" t="n">
        <v>653</v>
      </c>
      <c r="G1365" s="5" t="n">
        <v>4192</v>
      </c>
      <c r="H1365" s="5" t="n">
        <v>111</v>
      </c>
      <c r="I1365" s="5" t="n">
        <v>100</v>
      </c>
      <c r="J1365" s="5" t="n">
        <v>9</v>
      </c>
      <c r="K1365" s="10">
        <f>IF(F1365&gt;0,H1365/F1365,"")</f>
        <v/>
      </c>
      <c r="L1365" s="16">
        <f>IF(AND(G1365&gt;0,H1365&gt;0),G1365/H1365,"")</f>
        <v/>
      </c>
    </row>
    <row r="1366">
      <c r="A1366" s="4" t="inlineStr">
        <is>
          <t>339</t>
        </is>
      </c>
      <c r="B1366" s="4" t="n">
        <v>3</v>
      </c>
      <c r="C1366" s="4" t="inlineStr">
        <is>
          <t>mule deer</t>
        </is>
      </c>
      <c r="D1366" s="4" t="n">
        <v>2024</v>
      </c>
      <c r="E1366" s="13" t="inlineStr">
        <is>
          <t>General</t>
        </is>
      </c>
      <c r="F1366" s="5" t="n"/>
      <c r="G1366" s="5" t="n"/>
      <c r="H1366" s="5" t="n">
        <v>121</v>
      </c>
      <c r="I1366" s="5" t="n">
        <v>108</v>
      </c>
      <c r="J1366" s="5" t="n">
        <v>13</v>
      </c>
      <c r="K1366" s="10">
        <f>IF(F1366&gt;0,H1366/F1366,"")</f>
        <v/>
      </c>
      <c r="L1366" s="16">
        <f>IF(AND(G1366&gt;0,H1366&gt;0),G1366/H1366,"")</f>
        <v/>
      </c>
    </row>
    <row r="1367">
      <c r="A1367" s="4" t="inlineStr">
        <is>
          <t>339</t>
        </is>
      </c>
      <c r="B1367" s="4" t="n">
        <v>3</v>
      </c>
      <c r="C1367" s="4" t="inlineStr">
        <is>
          <t>mule deer</t>
        </is>
      </c>
      <c r="D1367" s="4" t="n">
        <v>2025</v>
      </c>
      <c r="E1367" s="13" t="inlineStr">
        <is>
          <t>General</t>
        </is>
      </c>
      <c r="F1367" s="5" t="n">
        <v>870</v>
      </c>
      <c r="G1367" s="5" t="n">
        <v>5989</v>
      </c>
      <c r="H1367" s="5" t="n">
        <v>132</v>
      </c>
      <c r="I1367" s="5" t="n">
        <v>126</v>
      </c>
      <c r="J1367" s="5" t="n">
        <v>6</v>
      </c>
      <c r="K1367" s="10">
        <f>IF(F1367&gt;0,H1367/F1367,"")</f>
        <v/>
      </c>
      <c r="L1367" s="16">
        <f>IF(AND(G1367&gt;0,H1367&gt;0),G1367/H1367,"")</f>
        <v/>
      </c>
    </row>
    <row r="1368">
      <c r="A1368" s="4" t="inlineStr">
        <is>
          <t>340</t>
        </is>
      </c>
      <c r="B1368" s="4" t="n">
        <v>3</v>
      </c>
      <c r="C1368" s="4" t="inlineStr">
        <is>
          <t>mule deer</t>
        </is>
      </c>
      <c r="D1368" s="4" t="n">
        <v>2021</v>
      </c>
      <c r="E1368" s="13" t="inlineStr">
        <is>
          <t>General</t>
        </is>
      </c>
      <c r="F1368" s="5" t="n">
        <v>2067</v>
      </c>
      <c r="G1368" s="5" t="n">
        <v>13242</v>
      </c>
      <c r="H1368" s="5" t="n">
        <v>355</v>
      </c>
      <c r="I1368" s="5" t="n">
        <v>261</v>
      </c>
      <c r="J1368" s="5" t="n">
        <v>94</v>
      </c>
      <c r="K1368" s="10">
        <f>IF(F1368&gt;0,H1368/F1368,"")</f>
        <v/>
      </c>
      <c r="L1368" s="16">
        <f>IF(AND(G1368&gt;0,H1368&gt;0),G1368/H1368,"")</f>
        <v/>
      </c>
    </row>
    <row r="1369">
      <c r="A1369" s="4" t="inlineStr">
        <is>
          <t>340</t>
        </is>
      </c>
      <c r="B1369" s="4" t="n">
        <v>3</v>
      </c>
      <c r="C1369" s="4" t="inlineStr">
        <is>
          <t>mule deer</t>
        </is>
      </c>
      <c r="D1369" s="4" t="n">
        <v>2022</v>
      </c>
      <c r="E1369" s="13" t="inlineStr">
        <is>
          <t>General</t>
        </is>
      </c>
      <c r="F1369" s="5" t="n"/>
      <c r="G1369" s="5" t="n"/>
      <c r="H1369" s="5" t="n">
        <v>187</v>
      </c>
      <c r="I1369" s="5" t="n">
        <v>149</v>
      </c>
      <c r="J1369" s="5" t="n">
        <v>38</v>
      </c>
      <c r="K1369" s="10">
        <f>IF(F1369&gt;0,H1369/F1369,"")</f>
        <v/>
      </c>
      <c r="L1369" s="16">
        <f>IF(AND(G1369&gt;0,H1369&gt;0),G1369/H1369,"")</f>
        <v/>
      </c>
    </row>
    <row r="1370">
      <c r="A1370" s="4" t="inlineStr">
        <is>
          <t>340</t>
        </is>
      </c>
      <c r="B1370" s="4" t="n">
        <v>3</v>
      </c>
      <c r="C1370" s="4" t="inlineStr">
        <is>
          <t>mule deer</t>
        </is>
      </c>
      <c r="D1370" s="4" t="n">
        <v>2023</v>
      </c>
      <c r="E1370" s="13" t="inlineStr">
        <is>
          <t>General</t>
        </is>
      </c>
      <c r="F1370" s="5" t="n">
        <v>1963</v>
      </c>
      <c r="G1370" s="5" t="n">
        <v>12717</v>
      </c>
      <c r="H1370" s="5" t="n">
        <v>221</v>
      </c>
      <c r="I1370" s="5" t="n">
        <v>185</v>
      </c>
      <c r="J1370" s="5" t="n">
        <v>35</v>
      </c>
      <c r="K1370" s="10">
        <f>IF(F1370&gt;0,H1370/F1370,"")</f>
        <v/>
      </c>
      <c r="L1370" s="16">
        <f>IF(AND(G1370&gt;0,H1370&gt;0),G1370/H1370,"")</f>
        <v/>
      </c>
    </row>
    <row r="1371">
      <c r="A1371" s="4" t="inlineStr">
        <is>
          <t>340</t>
        </is>
      </c>
      <c r="B1371" s="4" t="n">
        <v>3</v>
      </c>
      <c r="C1371" s="4" t="inlineStr">
        <is>
          <t>mule deer</t>
        </is>
      </c>
      <c r="D1371" s="4" t="n">
        <v>2024</v>
      </c>
      <c r="E1371" s="13" t="inlineStr">
        <is>
          <t>General</t>
        </is>
      </c>
      <c r="F1371" s="5" t="n"/>
      <c r="G1371" s="5" t="n"/>
      <c r="H1371" s="5" t="n">
        <v>307</v>
      </c>
      <c r="I1371" s="5" t="n">
        <v>243</v>
      </c>
      <c r="J1371" s="5" t="n">
        <v>64</v>
      </c>
      <c r="K1371" s="10">
        <f>IF(F1371&gt;0,H1371/F1371,"")</f>
        <v/>
      </c>
      <c r="L1371" s="16">
        <f>IF(AND(G1371&gt;0,H1371&gt;0),G1371/H1371,"")</f>
        <v/>
      </c>
    </row>
    <row r="1372">
      <c r="A1372" s="4" t="inlineStr">
        <is>
          <t>340</t>
        </is>
      </c>
      <c r="B1372" s="4" t="n">
        <v>3</v>
      </c>
      <c r="C1372" s="4" t="inlineStr">
        <is>
          <t>mule deer</t>
        </is>
      </c>
      <c r="D1372" s="4" t="n">
        <v>2025</v>
      </c>
      <c r="E1372" s="13" t="inlineStr">
        <is>
          <t>General</t>
        </is>
      </c>
      <c r="F1372" s="5" t="n">
        <v>1922</v>
      </c>
      <c r="G1372" s="5" t="n">
        <v>12825</v>
      </c>
      <c r="H1372" s="5" t="n">
        <v>273</v>
      </c>
      <c r="I1372" s="5" t="n">
        <v>206</v>
      </c>
      <c r="J1372" s="5" t="n">
        <v>67</v>
      </c>
      <c r="K1372" s="10">
        <f>IF(F1372&gt;0,H1372/F1372,"")</f>
        <v/>
      </c>
      <c r="L1372" s="16">
        <f>IF(AND(G1372&gt;0,H1372&gt;0),G1372/H1372,"")</f>
        <v/>
      </c>
    </row>
    <row r="1373">
      <c r="A1373" s="4" t="inlineStr">
        <is>
          <t>341</t>
        </is>
      </c>
      <c r="B1373" s="4" t="n">
        <v>3</v>
      </c>
      <c r="C1373" s="4" t="inlineStr">
        <is>
          <t>mule deer</t>
        </is>
      </c>
      <c r="D1373" s="4" t="n">
        <v>2021</v>
      </c>
      <c r="E1373" s="4" t="inlineStr"/>
      <c r="F1373" s="5" t="n">
        <v>525</v>
      </c>
      <c r="G1373" s="5" t="n">
        <v>3674</v>
      </c>
      <c r="H1373" s="5" t="n">
        <v>113</v>
      </c>
      <c r="I1373" s="5" t="n">
        <v>88</v>
      </c>
      <c r="J1373" s="5" t="n">
        <v>25</v>
      </c>
      <c r="K1373" s="10">
        <f>IF(F1373&gt;0,H1373/F1373,"")</f>
        <v/>
      </c>
      <c r="L1373" s="16">
        <f>IF(AND(G1373&gt;0,H1373&gt;0),G1373/H1373,"")</f>
        <v/>
      </c>
    </row>
    <row r="1374">
      <c r="A1374" s="4" t="inlineStr">
        <is>
          <t>343</t>
        </is>
      </c>
      <c r="B1374" s="4" t="n">
        <v>3</v>
      </c>
      <c r="C1374" s="4" t="inlineStr">
        <is>
          <t>mule deer</t>
        </is>
      </c>
      <c r="D1374" s="4" t="n">
        <v>2021</v>
      </c>
      <c r="E1374" s="13" t="inlineStr">
        <is>
          <t>General</t>
        </is>
      </c>
      <c r="F1374" s="5" t="n">
        <v>826</v>
      </c>
      <c r="G1374" s="5" t="n">
        <v>5774</v>
      </c>
      <c r="H1374" s="5" t="n">
        <v>107</v>
      </c>
      <c r="I1374" s="5" t="n">
        <v>102</v>
      </c>
      <c r="J1374" s="5" t="n">
        <v>5</v>
      </c>
      <c r="K1374" s="10">
        <f>IF(F1374&gt;0,H1374/F1374,"")</f>
        <v/>
      </c>
      <c r="L1374" s="16">
        <f>IF(AND(G1374&gt;0,H1374&gt;0),G1374/H1374,"")</f>
        <v/>
      </c>
    </row>
    <row r="1375">
      <c r="A1375" s="4" t="inlineStr">
        <is>
          <t>343</t>
        </is>
      </c>
      <c r="B1375" s="4" t="n">
        <v>3</v>
      </c>
      <c r="C1375" s="4" t="inlineStr">
        <is>
          <t>mule deer</t>
        </is>
      </c>
      <c r="D1375" s="4" t="n">
        <v>2022</v>
      </c>
      <c r="E1375" s="13" t="inlineStr">
        <is>
          <t>General</t>
        </is>
      </c>
      <c r="F1375" s="5" t="n"/>
      <c r="G1375" s="5" t="n"/>
      <c r="H1375" s="5" t="n">
        <v>104</v>
      </c>
      <c r="I1375" s="5" t="n">
        <v>101</v>
      </c>
      <c r="J1375" s="5" t="n">
        <v>4</v>
      </c>
      <c r="K1375" s="10">
        <f>IF(F1375&gt;0,H1375/F1375,"")</f>
        <v/>
      </c>
      <c r="L1375" s="16">
        <f>IF(AND(G1375&gt;0,H1375&gt;0),G1375/H1375,"")</f>
        <v/>
      </c>
    </row>
    <row r="1376">
      <c r="A1376" s="4" t="inlineStr">
        <is>
          <t>343</t>
        </is>
      </c>
      <c r="B1376" s="4" t="n">
        <v>3</v>
      </c>
      <c r="C1376" s="4" t="inlineStr">
        <is>
          <t>mule deer</t>
        </is>
      </c>
      <c r="D1376" s="4" t="n">
        <v>2023</v>
      </c>
      <c r="E1376" s="13" t="inlineStr">
        <is>
          <t>General</t>
        </is>
      </c>
      <c r="F1376" s="5" t="n">
        <v>949</v>
      </c>
      <c r="G1376" s="5" t="n">
        <v>6944</v>
      </c>
      <c r="H1376" s="5" t="n">
        <v>172</v>
      </c>
      <c r="I1376" s="5" t="n">
        <v>170</v>
      </c>
      <c r="J1376" s="5" t="n">
        <v>2</v>
      </c>
      <c r="K1376" s="10">
        <f>IF(F1376&gt;0,H1376/F1376,"")</f>
        <v/>
      </c>
      <c r="L1376" s="16">
        <f>IF(AND(G1376&gt;0,H1376&gt;0),G1376/H1376,"")</f>
        <v/>
      </c>
    </row>
    <row r="1377">
      <c r="A1377" s="4" t="inlineStr">
        <is>
          <t>343</t>
        </is>
      </c>
      <c r="B1377" s="4" t="n">
        <v>3</v>
      </c>
      <c r="C1377" s="4" t="inlineStr">
        <is>
          <t>mule deer</t>
        </is>
      </c>
      <c r="D1377" s="4" t="n">
        <v>2024</v>
      </c>
      <c r="E1377" s="13" t="inlineStr">
        <is>
          <t>General</t>
        </is>
      </c>
      <c r="F1377" s="5" t="n"/>
      <c r="G1377" s="5" t="n"/>
      <c r="H1377" s="5" t="n">
        <v>201</v>
      </c>
      <c r="I1377" s="5" t="n">
        <v>196</v>
      </c>
      <c r="J1377" s="5" t="n">
        <v>6</v>
      </c>
      <c r="K1377" s="10">
        <f>IF(F1377&gt;0,H1377/F1377,"")</f>
        <v/>
      </c>
      <c r="L1377" s="16">
        <f>IF(AND(G1377&gt;0,H1377&gt;0),G1377/H1377,"")</f>
        <v/>
      </c>
    </row>
    <row r="1378">
      <c r="A1378" s="4" t="inlineStr">
        <is>
          <t>343</t>
        </is>
      </c>
      <c r="B1378" s="4" t="n">
        <v>3</v>
      </c>
      <c r="C1378" s="4" t="inlineStr">
        <is>
          <t>mule deer</t>
        </is>
      </c>
      <c r="D1378" s="4" t="n">
        <v>2025</v>
      </c>
      <c r="E1378" s="13" t="inlineStr">
        <is>
          <t>General</t>
        </is>
      </c>
      <c r="F1378" s="5" t="n">
        <v>1112</v>
      </c>
      <c r="G1378" s="5" t="n">
        <v>7733</v>
      </c>
      <c r="H1378" s="5" t="n">
        <v>190</v>
      </c>
      <c r="I1378" s="5" t="n">
        <v>176</v>
      </c>
      <c r="J1378" s="5" t="n">
        <v>14</v>
      </c>
      <c r="K1378" s="10">
        <f>IF(F1378&gt;0,H1378/F1378,"")</f>
        <v/>
      </c>
      <c r="L1378" s="16">
        <f>IF(AND(G1378&gt;0,H1378&gt;0),G1378/H1378,"")</f>
        <v/>
      </c>
    </row>
    <row r="1379">
      <c r="A1379" s="4" t="inlineStr">
        <is>
          <t>350</t>
        </is>
      </c>
      <c r="B1379" s="4" t="n">
        <v>3</v>
      </c>
      <c r="C1379" s="4" t="inlineStr">
        <is>
          <t>mule deer</t>
        </is>
      </c>
      <c r="D1379" s="4" t="n">
        <v>2021</v>
      </c>
      <c r="E1379" s="13" t="inlineStr">
        <is>
          <t>General</t>
        </is>
      </c>
      <c r="F1379" s="5" t="n">
        <v>586</v>
      </c>
      <c r="G1379" s="5" t="n">
        <v>4076</v>
      </c>
      <c r="H1379" s="5" t="n">
        <v>56</v>
      </c>
      <c r="I1379" s="5" t="n">
        <v>43</v>
      </c>
      <c r="J1379" s="5" t="n">
        <v>13</v>
      </c>
      <c r="K1379" s="10">
        <f>IF(F1379&gt;0,H1379/F1379,"")</f>
        <v/>
      </c>
      <c r="L1379" s="16">
        <f>IF(AND(G1379&gt;0,H1379&gt;0),G1379/H1379,"")</f>
        <v/>
      </c>
    </row>
    <row r="1380">
      <c r="A1380" s="4" t="inlineStr">
        <is>
          <t>350</t>
        </is>
      </c>
      <c r="B1380" s="4" t="n">
        <v>3</v>
      </c>
      <c r="C1380" s="4" t="inlineStr">
        <is>
          <t>mule deer</t>
        </is>
      </c>
      <c r="D1380" s="4" t="n">
        <v>2022</v>
      </c>
      <c r="E1380" s="13" t="inlineStr">
        <is>
          <t>General</t>
        </is>
      </c>
      <c r="F1380" s="5" t="n"/>
      <c r="G1380" s="5" t="n"/>
      <c r="H1380" s="5" t="n">
        <v>122</v>
      </c>
      <c r="I1380" s="5" t="n">
        <v>105</v>
      </c>
      <c r="J1380" s="5" t="n">
        <v>17</v>
      </c>
      <c r="K1380" s="10">
        <f>IF(F1380&gt;0,H1380/F1380,"")</f>
        <v/>
      </c>
      <c r="L1380" s="16">
        <f>IF(AND(G1380&gt;0,H1380&gt;0),G1380/H1380,"")</f>
        <v/>
      </c>
    </row>
    <row r="1381">
      <c r="A1381" s="4" t="inlineStr">
        <is>
          <t>350</t>
        </is>
      </c>
      <c r="B1381" s="4" t="n">
        <v>3</v>
      </c>
      <c r="C1381" s="4" t="inlineStr">
        <is>
          <t>mule deer</t>
        </is>
      </c>
      <c r="D1381" s="4" t="n">
        <v>2023</v>
      </c>
      <c r="E1381" s="13" t="inlineStr">
        <is>
          <t>General</t>
        </is>
      </c>
      <c r="F1381" s="5" t="n">
        <v>717</v>
      </c>
      <c r="G1381" s="5" t="n">
        <v>5179</v>
      </c>
      <c r="H1381" s="5" t="n">
        <v>111</v>
      </c>
      <c r="I1381" s="5" t="n">
        <v>101</v>
      </c>
      <c r="J1381" s="5" t="n">
        <v>10</v>
      </c>
      <c r="K1381" s="10">
        <f>IF(F1381&gt;0,H1381/F1381,"")</f>
        <v/>
      </c>
      <c r="L1381" s="16">
        <f>IF(AND(G1381&gt;0,H1381&gt;0),G1381/H1381,"")</f>
        <v/>
      </c>
    </row>
    <row r="1382">
      <c r="A1382" s="4" t="inlineStr">
        <is>
          <t>350</t>
        </is>
      </c>
      <c r="B1382" s="4" t="n">
        <v>3</v>
      </c>
      <c r="C1382" s="4" t="inlineStr">
        <is>
          <t>mule deer</t>
        </is>
      </c>
      <c r="D1382" s="4" t="n">
        <v>2024</v>
      </c>
      <c r="E1382" s="13" t="inlineStr">
        <is>
          <t>General</t>
        </is>
      </c>
      <c r="F1382" s="5" t="n"/>
      <c r="G1382" s="5" t="n"/>
      <c r="H1382" s="5" t="n">
        <v>125</v>
      </c>
      <c r="I1382" s="5" t="n">
        <v>109</v>
      </c>
      <c r="J1382" s="5" t="n">
        <v>16</v>
      </c>
      <c r="K1382" s="10">
        <f>IF(F1382&gt;0,H1382/F1382,"")</f>
        <v/>
      </c>
      <c r="L1382" s="16">
        <f>IF(AND(G1382&gt;0,H1382&gt;0),G1382/H1382,"")</f>
        <v/>
      </c>
    </row>
    <row r="1383">
      <c r="A1383" s="4" t="inlineStr">
        <is>
          <t>350</t>
        </is>
      </c>
      <c r="B1383" s="4" t="n">
        <v>3</v>
      </c>
      <c r="C1383" s="4" t="inlineStr">
        <is>
          <t>mule deer</t>
        </is>
      </c>
      <c r="D1383" s="4" t="n">
        <v>2025</v>
      </c>
      <c r="E1383" s="13" t="inlineStr">
        <is>
          <t>General</t>
        </is>
      </c>
      <c r="F1383" s="5" t="n">
        <v>768</v>
      </c>
      <c r="G1383" s="5" t="n">
        <v>5373</v>
      </c>
      <c r="H1383" s="5" t="n">
        <v>134</v>
      </c>
      <c r="I1383" s="5" t="n">
        <v>101</v>
      </c>
      <c r="J1383" s="5" t="n">
        <v>33</v>
      </c>
      <c r="K1383" s="10">
        <f>IF(F1383&gt;0,H1383/F1383,"")</f>
        <v/>
      </c>
      <c r="L1383" s="16">
        <f>IF(AND(G1383&gt;0,H1383&gt;0),G1383/H1383,"")</f>
        <v/>
      </c>
    </row>
    <row r="1384">
      <c r="A1384" s="4" t="inlineStr">
        <is>
          <t>360</t>
        </is>
      </c>
      <c r="B1384" s="4" t="n">
        <v>3</v>
      </c>
      <c r="C1384" s="4" t="inlineStr">
        <is>
          <t>mule deer</t>
        </is>
      </c>
      <c r="D1384" s="4" t="n">
        <v>2021</v>
      </c>
      <c r="E1384" s="13" t="inlineStr">
        <is>
          <t>General</t>
        </is>
      </c>
      <c r="F1384" s="5" t="n">
        <v>1139</v>
      </c>
      <c r="G1384" s="5" t="n">
        <v>7573</v>
      </c>
      <c r="H1384" s="5" t="n">
        <v>141</v>
      </c>
      <c r="I1384" s="5" t="n">
        <v>134</v>
      </c>
      <c r="J1384" s="5" t="n">
        <v>7</v>
      </c>
      <c r="K1384" s="10">
        <f>IF(F1384&gt;0,H1384/F1384,"")</f>
        <v/>
      </c>
      <c r="L1384" s="16">
        <f>IF(AND(G1384&gt;0,H1384&gt;0),G1384/H1384,"")</f>
        <v/>
      </c>
    </row>
    <row r="1385">
      <c r="A1385" s="4" t="inlineStr">
        <is>
          <t>360</t>
        </is>
      </c>
      <c r="B1385" s="4" t="n">
        <v>3</v>
      </c>
      <c r="C1385" s="4" t="inlineStr">
        <is>
          <t>mule deer</t>
        </is>
      </c>
      <c r="D1385" s="4" t="n">
        <v>2022</v>
      </c>
      <c r="E1385" s="13" t="inlineStr">
        <is>
          <t>General</t>
        </is>
      </c>
      <c r="F1385" s="5" t="n"/>
      <c r="G1385" s="5" t="n"/>
      <c r="H1385" s="5" t="n">
        <v>198</v>
      </c>
      <c r="I1385" s="5" t="n">
        <v>184</v>
      </c>
      <c r="J1385" s="5" t="n">
        <v>14</v>
      </c>
      <c r="K1385" s="10">
        <f>IF(F1385&gt;0,H1385/F1385,"")</f>
        <v/>
      </c>
      <c r="L1385" s="16">
        <f>IF(AND(G1385&gt;0,H1385&gt;0),G1385/H1385,"")</f>
        <v/>
      </c>
    </row>
    <row r="1386">
      <c r="A1386" s="4" t="inlineStr">
        <is>
          <t>360</t>
        </is>
      </c>
      <c r="B1386" s="4" t="n">
        <v>3</v>
      </c>
      <c r="C1386" s="4" t="inlineStr">
        <is>
          <t>mule deer</t>
        </is>
      </c>
      <c r="D1386" s="4" t="n">
        <v>2023</v>
      </c>
      <c r="E1386" s="13" t="inlineStr">
        <is>
          <t>General</t>
        </is>
      </c>
      <c r="F1386" s="5" t="n">
        <v>1484</v>
      </c>
      <c r="G1386" s="5" t="n">
        <v>10206</v>
      </c>
      <c r="H1386" s="5" t="n">
        <v>182</v>
      </c>
      <c r="I1386" s="5" t="n">
        <v>163</v>
      </c>
      <c r="J1386" s="5" t="n">
        <v>16</v>
      </c>
      <c r="K1386" s="10">
        <f>IF(F1386&gt;0,H1386/F1386,"")</f>
        <v/>
      </c>
      <c r="L1386" s="16">
        <f>IF(AND(G1386&gt;0,H1386&gt;0),G1386/H1386,"")</f>
        <v/>
      </c>
    </row>
    <row r="1387">
      <c r="A1387" s="4" t="inlineStr">
        <is>
          <t>360</t>
        </is>
      </c>
      <c r="B1387" s="4" t="n">
        <v>3</v>
      </c>
      <c r="C1387" s="4" t="inlineStr">
        <is>
          <t>mule deer</t>
        </is>
      </c>
      <c r="D1387" s="4" t="n">
        <v>2024</v>
      </c>
      <c r="E1387" s="13" t="inlineStr">
        <is>
          <t>General</t>
        </is>
      </c>
      <c r="F1387" s="5" t="n"/>
      <c r="G1387" s="5" t="n"/>
      <c r="H1387" s="5" t="n">
        <v>221</v>
      </c>
      <c r="I1387" s="5" t="n">
        <v>208</v>
      </c>
      <c r="J1387" s="5" t="n">
        <v>9</v>
      </c>
      <c r="K1387" s="10">
        <f>IF(F1387&gt;0,H1387/F1387,"")</f>
        <v/>
      </c>
      <c r="L1387" s="16">
        <f>IF(AND(G1387&gt;0,H1387&gt;0),G1387/H1387,"")</f>
        <v/>
      </c>
    </row>
    <row r="1388">
      <c r="A1388" s="4" t="inlineStr">
        <is>
          <t>360</t>
        </is>
      </c>
      <c r="B1388" s="4" t="n">
        <v>3</v>
      </c>
      <c r="C1388" s="4" t="inlineStr">
        <is>
          <t>mule deer</t>
        </is>
      </c>
      <c r="D1388" s="4" t="n">
        <v>2025</v>
      </c>
      <c r="E1388" s="13" t="inlineStr">
        <is>
          <t>General</t>
        </is>
      </c>
      <c r="F1388" s="5" t="n">
        <v>1637</v>
      </c>
      <c r="G1388" s="5" t="n">
        <v>10661</v>
      </c>
      <c r="H1388" s="5" t="n">
        <v>221</v>
      </c>
      <c r="I1388" s="5" t="n">
        <v>202</v>
      </c>
      <c r="J1388" s="5" t="n">
        <v>20</v>
      </c>
      <c r="K1388" s="10">
        <f>IF(F1388&gt;0,H1388/F1388,"")</f>
        <v/>
      </c>
      <c r="L1388" s="16">
        <f>IF(AND(G1388&gt;0,H1388&gt;0),G1388/H1388,"")</f>
        <v/>
      </c>
    </row>
    <row r="1389">
      <c r="A1389" s="4" t="inlineStr">
        <is>
          <t>361</t>
        </is>
      </c>
      <c r="B1389" s="4" t="n">
        <v>3</v>
      </c>
      <c r="C1389" s="4" t="inlineStr">
        <is>
          <t>mule deer</t>
        </is>
      </c>
      <c r="D1389" s="4" t="n">
        <v>2021</v>
      </c>
      <c r="E1389" s="13" t="inlineStr">
        <is>
          <t>General</t>
        </is>
      </c>
      <c r="F1389" s="5" t="n">
        <v>231</v>
      </c>
      <c r="G1389" s="5" t="n">
        <v>1740</v>
      </c>
      <c r="H1389" s="5" t="n">
        <v>38</v>
      </c>
      <c r="I1389" s="5" t="n">
        <v>29</v>
      </c>
      <c r="J1389" s="5" t="n">
        <v>9</v>
      </c>
      <c r="K1389" s="10">
        <f>IF(F1389&gt;0,H1389/F1389,"")</f>
        <v/>
      </c>
      <c r="L1389" s="16">
        <f>IF(AND(G1389&gt;0,H1389&gt;0),G1389/H1389,"")</f>
        <v/>
      </c>
    </row>
    <row r="1390">
      <c r="A1390" s="4" t="inlineStr">
        <is>
          <t>361</t>
        </is>
      </c>
      <c r="B1390" s="4" t="n">
        <v>3</v>
      </c>
      <c r="C1390" s="4" t="inlineStr">
        <is>
          <t>mule deer</t>
        </is>
      </c>
      <c r="D1390" s="4" t="n">
        <v>2022</v>
      </c>
      <c r="E1390" s="13" t="inlineStr">
        <is>
          <t>General</t>
        </is>
      </c>
      <c r="F1390" s="5" t="n"/>
      <c r="G1390" s="5" t="n"/>
      <c r="H1390" s="5" t="n">
        <v>28</v>
      </c>
      <c r="I1390" s="5" t="n">
        <v>22</v>
      </c>
      <c r="J1390" s="5" t="n">
        <v>6</v>
      </c>
      <c r="K1390" s="10">
        <f>IF(F1390&gt;0,H1390/F1390,"")</f>
        <v/>
      </c>
      <c r="L1390" s="16">
        <f>IF(AND(G1390&gt;0,H1390&gt;0),G1390/H1390,"")</f>
        <v/>
      </c>
    </row>
    <row r="1391">
      <c r="A1391" s="4" t="inlineStr">
        <is>
          <t>361</t>
        </is>
      </c>
      <c r="B1391" s="4" t="n">
        <v>3</v>
      </c>
      <c r="C1391" s="4" t="inlineStr">
        <is>
          <t>mule deer</t>
        </is>
      </c>
      <c r="D1391" s="4" t="n">
        <v>2023</v>
      </c>
      <c r="E1391" s="13" t="inlineStr">
        <is>
          <t>General</t>
        </is>
      </c>
      <c r="F1391" s="5" t="n">
        <v>229</v>
      </c>
      <c r="G1391" s="5" t="n">
        <v>1672</v>
      </c>
      <c r="H1391" s="5" t="n">
        <v>17</v>
      </c>
      <c r="I1391" s="5" t="n">
        <v>17</v>
      </c>
      <c r="J1391" s="5" t="n">
        <v>0</v>
      </c>
      <c r="K1391" s="10">
        <f>IF(F1391&gt;0,H1391/F1391,"")</f>
        <v/>
      </c>
      <c r="L1391" s="16">
        <f>IF(AND(G1391&gt;0,H1391&gt;0),G1391/H1391,"")</f>
        <v/>
      </c>
    </row>
    <row r="1392">
      <c r="A1392" s="4" t="inlineStr">
        <is>
          <t>361</t>
        </is>
      </c>
      <c r="B1392" s="4" t="n">
        <v>3</v>
      </c>
      <c r="C1392" s="4" t="inlineStr">
        <is>
          <t>mule deer</t>
        </is>
      </c>
      <c r="D1392" s="4" t="n">
        <v>2024</v>
      </c>
      <c r="E1392" s="13" t="inlineStr">
        <is>
          <t>General</t>
        </is>
      </c>
      <c r="F1392" s="5" t="n"/>
      <c r="G1392" s="5" t="n"/>
      <c r="H1392" s="5" t="n">
        <v>29</v>
      </c>
      <c r="I1392" s="5" t="n">
        <v>29</v>
      </c>
      <c r="J1392" s="5" t="n">
        <v>0</v>
      </c>
      <c r="K1392" s="10">
        <f>IF(F1392&gt;0,H1392/F1392,"")</f>
        <v/>
      </c>
      <c r="L1392" s="16">
        <f>IF(AND(G1392&gt;0,H1392&gt;0),G1392/H1392,"")</f>
        <v/>
      </c>
    </row>
    <row r="1393">
      <c r="A1393" s="4" t="inlineStr">
        <is>
          <t>361</t>
        </is>
      </c>
      <c r="B1393" s="4" t="n">
        <v>3</v>
      </c>
      <c r="C1393" s="4" t="inlineStr">
        <is>
          <t>mule deer</t>
        </is>
      </c>
      <c r="D1393" s="4" t="n">
        <v>2025</v>
      </c>
      <c r="E1393" s="13" t="inlineStr">
        <is>
          <t>General</t>
        </is>
      </c>
      <c r="F1393" s="5" t="n">
        <v>308</v>
      </c>
      <c r="G1393" s="5" t="n">
        <v>2375</v>
      </c>
      <c r="H1393" s="5" t="n">
        <v>37</v>
      </c>
      <c r="I1393" s="5" t="n">
        <v>34</v>
      </c>
      <c r="J1393" s="5" t="n">
        <v>3</v>
      </c>
      <c r="K1393" s="10">
        <f>IF(F1393&gt;0,H1393/F1393,"")</f>
        <v/>
      </c>
      <c r="L1393" s="16">
        <f>IF(AND(G1393&gt;0,H1393&gt;0),G1393/H1393,"")</f>
        <v/>
      </c>
    </row>
    <row r="1394">
      <c r="A1394" s="4" t="inlineStr">
        <is>
          <t>362</t>
        </is>
      </c>
      <c r="B1394" s="4" t="n">
        <v>3</v>
      </c>
      <c r="C1394" s="4" t="inlineStr">
        <is>
          <t>mule deer</t>
        </is>
      </c>
      <c r="D1394" s="4" t="n">
        <v>2021</v>
      </c>
      <c r="E1394" s="4" t="inlineStr"/>
      <c r="F1394" s="5" t="n">
        <v>305</v>
      </c>
      <c r="G1394" s="5" t="n">
        <v>2102</v>
      </c>
      <c r="H1394" s="5" t="n">
        <v>37</v>
      </c>
      <c r="I1394" s="5" t="n">
        <v>33</v>
      </c>
      <c r="J1394" s="5" t="n">
        <v>4</v>
      </c>
      <c r="K1394" s="10">
        <f>IF(F1394&gt;0,H1394/F1394,"")</f>
        <v/>
      </c>
      <c r="L1394" s="16">
        <f>IF(AND(G1394&gt;0,H1394&gt;0),G1394/H1394,"")</f>
        <v/>
      </c>
    </row>
    <row r="1395">
      <c r="A1395" s="4" t="inlineStr">
        <is>
          <t>370</t>
        </is>
      </c>
      <c r="B1395" s="4" t="n">
        <v>3</v>
      </c>
      <c r="C1395" s="4" t="inlineStr">
        <is>
          <t>mule deer</t>
        </is>
      </c>
      <c r="D1395" s="4" t="n">
        <v>2021</v>
      </c>
      <c r="E1395" s="13" t="inlineStr">
        <is>
          <t>General</t>
        </is>
      </c>
      <c r="F1395" s="5" t="n">
        <v>490</v>
      </c>
      <c r="G1395" s="5" t="n">
        <v>2880</v>
      </c>
      <c r="H1395" s="5" t="n">
        <v>38</v>
      </c>
      <c r="I1395" s="5" t="n">
        <v>35</v>
      </c>
      <c r="J1395" s="5" t="n">
        <v>2</v>
      </c>
      <c r="K1395" s="10">
        <f>IF(F1395&gt;0,H1395/F1395,"")</f>
        <v/>
      </c>
      <c r="L1395" s="16">
        <f>IF(AND(G1395&gt;0,H1395&gt;0),G1395/H1395,"")</f>
        <v/>
      </c>
    </row>
    <row r="1396">
      <c r="A1396" s="4" t="inlineStr">
        <is>
          <t>370</t>
        </is>
      </c>
      <c r="B1396" s="4" t="n">
        <v>3</v>
      </c>
      <c r="C1396" s="4" t="inlineStr">
        <is>
          <t>mule deer</t>
        </is>
      </c>
      <c r="D1396" s="4" t="n">
        <v>2022</v>
      </c>
      <c r="E1396" s="13" t="inlineStr">
        <is>
          <t>General</t>
        </is>
      </c>
      <c r="F1396" s="5" t="n"/>
      <c r="G1396" s="5" t="n"/>
      <c r="H1396" s="5" t="n">
        <v>49</v>
      </c>
      <c r="I1396" s="5" t="n">
        <v>45</v>
      </c>
      <c r="J1396" s="5" t="n">
        <v>4</v>
      </c>
      <c r="K1396" s="10">
        <f>IF(F1396&gt;0,H1396/F1396,"")</f>
        <v/>
      </c>
      <c r="L1396" s="16">
        <f>IF(AND(G1396&gt;0,H1396&gt;0),G1396/H1396,"")</f>
        <v/>
      </c>
    </row>
    <row r="1397">
      <c r="A1397" s="4" t="inlineStr">
        <is>
          <t>370</t>
        </is>
      </c>
      <c r="B1397" s="4" t="n">
        <v>3</v>
      </c>
      <c r="C1397" s="4" t="inlineStr">
        <is>
          <t>mule deer</t>
        </is>
      </c>
      <c r="D1397" s="4" t="n">
        <v>2023</v>
      </c>
      <c r="E1397" s="13" t="inlineStr">
        <is>
          <t>General</t>
        </is>
      </c>
      <c r="F1397" s="5" t="n">
        <v>572</v>
      </c>
      <c r="G1397" s="5" t="n">
        <v>3536</v>
      </c>
      <c r="H1397" s="5" t="n">
        <v>78</v>
      </c>
      <c r="I1397" s="5" t="n">
        <v>67</v>
      </c>
      <c r="J1397" s="5" t="n">
        <v>11</v>
      </c>
      <c r="K1397" s="10">
        <f>IF(F1397&gt;0,H1397/F1397,"")</f>
        <v/>
      </c>
      <c r="L1397" s="16">
        <f>IF(AND(G1397&gt;0,H1397&gt;0),G1397/H1397,"")</f>
        <v/>
      </c>
    </row>
    <row r="1398">
      <c r="A1398" s="4" t="inlineStr">
        <is>
          <t>370</t>
        </is>
      </c>
      <c r="B1398" s="4" t="n">
        <v>3</v>
      </c>
      <c r="C1398" s="4" t="inlineStr">
        <is>
          <t>mule deer</t>
        </is>
      </c>
      <c r="D1398" s="4" t="n">
        <v>2024</v>
      </c>
      <c r="E1398" s="13" t="inlineStr">
        <is>
          <t>General</t>
        </is>
      </c>
      <c r="F1398" s="5" t="n"/>
      <c r="G1398" s="5" t="n"/>
      <c r="H1398" s="5" t="n">
        <v>81</v>
      </c>
      <c r="I1398" s="5" t="n">
        <v>66</v>
      </c>
      <c r="J1398" s="5" t="n">
        <v>15</v>
      </c>
      <c r="K1398" s="10">
        <f>IF(F1398&gt;0,H1398/F1398,"")</f>
        <v/>
      </c>
      <c r="L1398" s="16">
        <f>IF(AND(G1398&gt;0,H1398&gt;0),G1398/H1398,"")</f>
        <v/>
      </c>
    </row>
    <row r="1399">
      <c r="A1399" s="4" t="inlineStr">
        <is>
          <t>370</t>
        </is>
      </c>
      <c r="B1399" s="4" t="n">
        <v>3</v>
      </c>
      <c r="C1399" s="4" t="inlineStr">
        <is>
          <t>mule deer</t>
        </is>
      </c>
      <c r="D1399" s="4" t="n">
        <v>2025</v>
      </c>
      <c r="E1399" s="13" t="inlineStr">
        <is>
          <t>General</t>
        </is>
      </c>
      <c r="F1399" s="5" t="n">
        <v>515</v>
      </c>
      <c r="G1399" s="5" t="n">
        <v>3111</v>
      </c>
      <c r="H1399" s="5" t="n">
        <v>58</v>
      </c>
      <c r="I1399" s="5" t="n">
        <v>49</v>
      </c>
      <c r="J1399" s="5" t="n">
        <v>9</v>
      </c>
      <c r="K1399" s="10">
        <f>IF(F1399&gt;0,H1399/F1399,"")</f>
        <v/>
      </c>
      <c r="L1399" s="16">
        <f>IF(AND(G1399&gt;0,H1399&gt;0),G1399/H1399,"")</f>
        <v/>
      </c>
    </row>
    <row r="1400">
      <c r="A1400" s="4" t="inlineStr">
        <is>
          <t>380</t>
        </is>
      </c>
      <c r="B1400" s="4" t="n">
        <v>3</v>
      </c>
      <c r="C1400" s="4" t="inlineStr">
        <is>
          <t>mule deer</t>
        </is>
      </c>
      <c r="D1400" s="4" t="n">
        <v>2021</v>
      </c>
      <c r="E1400" s="15" t="inlineStr">
        <is>
          <t>Draw</t>
        </is>
      </c>
      <c r="F1400" s="5" t="n">
        <v>1817</v>
      </c>
      <c r="G1400" s="5" t="n">
        <v>12115</v>
      </c>
      <c r="H1400" s="5" t="n">
        <v>383</v>
      </c>
      <c r="I1400" s="5" t="n">
        <v>280</v>
      </c>
      <c r="J1400" s="5" t="n">
        <v>103</v>
      </c>
      <c r="K1400" s="10">
        <f>IF(F1400&gt;0,H1400/F1400,"")</f>
        <v/>
      </c>
      <c r="L1400" s="16">
        <f>IF(AND(G1400&gt;0,H1400&gt;0),G1400/H1400,"")</f>
        <v/>
      </c>
    </row>
    <row r="1401">
      <c r="A1401" s="4" t="inlineStr">
        <is>
          <t>380</t>
        </is>
      </c>
      <c r="B1401" s="4" t="n">
        <v>3</v>
      </c>
      <c r="C1401" s="4" t="inlineStr">
        <is>
          <t>mule deer</t>
        </is>
      </c>
      <c r="D1401" s="4" t="n">
        <v>2022</v>
      </c>
      <c r="E1401" s="15" t="inlineStr">
        <is>
          <t>Draw</t>
        </is>
      </c>
      <c r="F1401" s="5" t="n"/>
      <c r="G1401" s="5" t="n"/>
      <c r="H1401" s="5" t="n">
        <v>325</v>
      </c>
      <c r="I1401" s="5" t="n">
        <v>268</v>
      </c>
      <c r="J1401" s="5" t="n">
        <v>58</v>
      </c>
      <c r="K1401" s="10">
        <f>IF(F1401&gt;0,H1401/F1401,"")</f>
        <v/>
      </c>
      <c r="L1401" s="16">
        <f>IF(AND(G1401&gt;0,H1401&gt;0),G1401/H1401,"")</f>
        <v/>
      </c>
    </row>
    <row r="1402">
      <c r="A1402" s="4" t="inlineStr">
        <is>
          <t>380</t>
        </is>
      </c>
      <c r="B1402" s="4" t="n">
        <v>3</v>
      </c>
      <c r="C1402" s="4" t="inlineStr">
        <is>
          <t>mule deer</t>
        </is>
      </c>
      <c r="D1402" s="4" t="n">
        <v>2023</v>
      </c>
      <c r="E1402" s="15" t="inlineStr">
        <is>
          <t>Draw</t>
        </is>
      </c>
      <c r="F1402" s="5" t="n">
        <v>1770</v>
      </c>
      <c r="G1402" s="5" t="n">
        <v>12249</v>
      </c>
      <c r="H1402" s="5" t="n">
        <v>337</v>
      </c>
      <c r="I1402" s="5" t="n">
        <v>293</v>
      </c>
      <c r="J1402" s="5" t="n">
        <v>44</v>
      </c>
      <c r="K1402" s="10">
        <f>IF(F1402&gt;0,H1402/F1402,"")</f>
        <v/>
      </c>
      <c r="L1402" s="16">
        <f>IF(AND(G1402&gt;0,H1402&gt;0),G1402/H1402,"")</f>
        <v/>
      </c>
    </row>
    <row r="1403">
      <c r="A1403" s="4" t="inlineStr">
        <is>
          <t>380</t>
        </is>
      </c>
      <c r="B1403" s="4" t="n">
        <v>3</v>
      </c>
      <c r="C1403" s="4" t="inlineStr">
        <is>
          <t>mule deer</t>
        </is>
      </c>
      <c r="D1403" s="4" t="n">
        <v>2024</v>
      </c>
      <c r="E1403" s="15" t="inlineStr">
        <is>
          <t>Draw</t>
        </is>
      </c>
      <c r="F1403" s="5" t="n"/>
      <c r="G1403" s="5" t="n"/>
      <c r="H1403" s="5" t="n">
        <v>371</v>
      </c>
      <c r="I1403" s="5" t="n">
        <v>336</v>
      </c>
      <c r="J1403" s="5" t="n">
        <v>35</v>
      </c>
      <c r="K1403" s="10">
        <f>IF(F1403&gt;0,H1403/F1403,"")</f>
        <v/>
      </c>
      <c r="L1403" s="16">
        <f>IF(AND(G1403&gt;0,H1403&gt;0),G1403/H1403,"")</f>
        <v/>
      </c>
    </row>
    <row r="1404">
      <c r="A1404" s="4" t="inlineStr">
        <is>
          <t>380</t>
        </is>
      </c>
      <c r="B1404" s="4" t="n">
        <v>3</v>
      </c>
      <c r="C1404" s="4" t="inlineStr">
        <is>
          <t>mule deer</t>
        </is>
      </c>
      <c r="D1404" s="4" t="n">
        <v>2025</v>
      </c>
      <c r="E1404" s="15" t="inlineStr">
        <is>
          <t>Draw</t>
        </is>
      </c>
      <c r="F1404" s="5" t="n">
        <v>1915</v>
      </c>
      <c r="G1404" s="5" t="n">
        <v>12062</v>
      </c>
      <c r="H1404" s="5" t="n">
        <v>357</v>
      </c>
      <c r="I1404" s="5" t="n">
        <v>318</v>
      </c>
      <c r="J1404" s="5" t="n">
        <v>39</v>
      </c>
      <c r="K1404" s="10">
        <f>IF(F1404&gt;0,H1404/F1404,"")</f>
        <v/>
      </c>
      <c r="L1404" s="16">
        <f>IF(AND(G1404&gt;0,H1404&gt;0),G1404/H1404,"")</f>
        <v/>
      </c>
    </row>
    <row r="1405">
      <c r="A1405" s="4" t="inlineStr">
        <is>
          <t>388</t>
        </is>
      </c>
      <c r="B1405" s="4" t="n">
        <v>3</v>
      </c>
      <c r="C1405" s="4" t="inlineStr">
        <is>
          <t>mule deer</t>
        </is>
      </c>
      <c r="D1405" s="4" t="n">
        <v>2021</v>
      </c>
      <c r="E1405" s="13" t="inlineStr">
        <is>
          <t>General</t>
        </is>
      </c>
      <c r="F1405" s="5" t="n">
        <v>431</v>
      </c>
      <c r="G1405" s="5" t="n">
        <v>2635</v>
      </c>
      <c r="H1405" s="5" t="n">
        <v>79</v>
      </c>
      <c r="I1405" s="5" t="n">
        <v>56</v>
      </c>
      <c r="J1405" s="5" t="n">
        <v>23</v>
      </c>
      <c r="K1405" s="10">
        <f>IF(F1405&gt;0,H1405/F1405,"")</f>
        <v/>
      </c>
      <c r="L1405" s="16">
        <f>IF(AND(G1405&gt;0,H1405&gt;0),G1405/H1405,"")</f>
        <v/>
      </c>
    </row>
    <row r="1406">
      <c r="A1406" s="4" t="inlineStr">
        <is>
          <t>388</t>
        </is>
      </c>
      <c r="B1406" s="4" t="n">
        <v>3</v>
      </c>
      <c r="C1406" s="4" t="inlineStr">
        <is>
          <t>mule deer</t>
        </is>
      </c>
      <c r="D1406" s="4" t="n">
        <v>2022</v>
      </c>
      <c r="E1406" s="13" t="inlineStr">
        <is>
          <t>General</t>
        </is>
      </c>
      <c r="F1406" s="5" t="n"/>
      <c r="G1406" s="5" t="n"/>
      <c r="H1406" s="5" t="n">
        <v>97</v>
      </c>
      <c r="I1406" s="5" t="n">
        <v>61</v>
      </c>
      <c r="J1406" s="5" t="n">
        <v>36</v>
      </c>
      <c r="K1406" s="10">
        <f>IF(F1406&gt;0,H1406/F1406,"")</f>
        <v/>
      </c>
      <c r="L1406" s="16">
        <f>IF(AND(G1406&gt;0,H1406&gt;0),G1406/H1406,"")</f>
        <v/>
      </c>
    </row>
    <row r="1407">
      <c r="A1407" s="4" t="inlineStr">
        <is>
          <t>388</t>
        </is>
      </c>
      <c r="B1407" s="4" t="n">
        <v>3</v>
      </c>
      <c r="C1407" s="4" t="inlineStr">
        <is>
          <t>mule deer</t>
        </is>
      </c>
      <c r="D1407" s="4" t="n">
        <v>2023</v>
      </c>
      <c r="E1407" s="13" t="inlineStr">
        <is>
          <t>General</t>
        </is>
      </c>
      <c r="F1407" s="5" t="n">
        <v>562</v>
      </c>
      <c r="G1407" s="5" t="n">
        <v>3479</v>
      </c>
      <c r="H1407" s="5" t="n">
        <v>117</v>
      </c>
      <c r="I1407" s="5" t="n">
        <v>86</v>
      </c>
      <c r="J1407" s="5" t="n">
        <v>31</v>
      </c>
      <c r="K1407" s="10">
        <f>IF(F1407&gt;0,H1407/F1407,"")</f>
        <v/>
      </c>
      <c r="L1407" s="16">
        <f>IF(AND(G1407&gt;0,H1407&gt;0),G1407/H1407,"")</f>
        <v/>
      </c>
    </row>
    <row r="1408">
      <c r="A1408" s="4" t="inlineStr">
        <is>
          <t>388</t>
        </is>
      </c>
      <c r="B1408" s="4" t="n">
        <v>3</v>
      </c>
      <c r="C1408" s="4" t="inlineStr">
        <is>
          <t>mule deer</t>
        </is>
      </c>
      <c r="D1408" s="4" t="n">
        <v>2024</v>
      </c>
      <c r="E1408" s="13" t="inlineStr">
        <is>
          <t>General</t>
        </is>
      </c>
      <c r="F1408" s="5" t="n"/>
      <c r="G1408" s="5" t="n"/>
      <c r="H1408" s="5" t="n">
        <v>161</v>
      </c>
      <c r="I1408" s="5" t="n">
        <v>104</v>
      </c>
      <c r="J1408" s="5" t="n">
        <v>54</v>
      </c>
      <c r="K1408" s="10">
        <f>IF(F1408&gt;0,H1408/F1408,"")</f>
        <v/>
      </c>
      <c r="L1408" s="16">
        <f>IF(AND(G1408&gt;0,H1408&gt;0),G1408/H1408,"")</f>
        <v/>
      </c>
    </row>
    <row r="1409">
      <c r="A1409" s="4" t="inlineStr">
        <is>
          <t>388</t>
        </is>
      </c>
      <c r="B1409" s="4" t="n">
        <v>3</v>
      </c>
      <c r="C1409" s="4" t="inlineStr">
        <is>
          <t>mule deer</t>
        </is>
      </c>
      <c r="D1409" s="4" t="n">
        <v>2025</v>
      </c>
      <c r="E1409" s="13" t="inlineStr">
        <is>
          <t>General</t>
        </is>
      </c>
      <c r="F1409" s="5" t="n">
        <v>518</v>
      </c>
      <c r="G1409" s="5" t="n">
        <v>3176</v>
      </c>
      <c r="H1409" s="5" t="n">
        <v>88</v>
      </c>
      <c r="I1409" s="5" t="n">
        <v>47</v>
      </c>
      <c r="J1409" s="5" t="n">
        <v>40</v>
      </c>
      <c r="K1409" s="10">
        <f>IF(F1409&gt;0,H1409/F1409,"")</f>
        <v/>
      </c>
      <c r="L1409" s="16">
        <f>IF(AND(G1409&gt;0,H1409&gt;0),G1409/H1409,"")</f>
        <v/>
      </c>
    </row>
    <row r="1410">
      <c r="A1410" s="4" t="inlineStr">
        <is>
          <t>390</t>
        </is>
      </c>
      <c r="B1410" s="4" t="n">
        <v>3</v>
      </c>
      <c r="C1410" s="4" t="inlineStr">
        <is>
          <t>mule deer</t>
        </is>
      </c>
      <c r="D1410" s="4" t="n">
        <v>2021</v>
      </c>
      <c r="E1410" s="13" t="inlineStr">
        <is>
          <t>General</t>
        </is>
      </c>
      <c r="F1410" s="5" t="n">
        <v>584</v>
      </c>
      <c r="G1410" s="5" t="n">
        <v>3853</v>
      </c>
      <c r="H1410" s="5" t="n">
        <v>150</v>
      </c>
      <c r="I1410" s="5" t="n">
        <v>111</v>
      </c>
      <c r="J1410" s="5" t="n">
        <v>39</v>
      </c>
      <c r="K1410" s="10">
        <f>IF(F1410&gt;0,H1410/F1410,"")</f>
        <v/>
      </c>
      <c r="L1410" s="16">
        <f>IF(AND(G1410&gt;0,H1410&gt;0),G1410/H1410,"")</f>
        <v/>
      </c>
    </row>
    <row r="1411">
      <c r="A1411" s="4" t="inlineStr">
        <is>
          <t>390</t>
        </is>
      </c>
      <c r="B1411" s="4" t="n">
        <v>3</v>
      </c>
      <c r="C1411" s="4" t="inlineStr">
        <is>
          <t>mule deer</t>
        </is>
      </c>
      <c r="D1411" s="4" t="n">
        <v>2022</v>
      </c>
      <c r="E1411" s="13" t="inlineStr">
        <is>
          <t>General</t>
        </is>
      </c>
      <c r="F1411" s="5" t="n"/>
      <c r="G1411" s="5" t="n"/>
      <c r="H1411" s="5" t="n">
        <v>150</v>
      </c>
      <c r="I1411" s="5" t="n">
        <v>125</v>
      </c>
      <c r="J1411" s="5" t="n">
        <v>24</v>
      </c>
      <c r="K1411" s="10">
        <f>IF(F1411&gt;0,H1411/F1411,"")</f>
        <v/>
      </c>
      <c r="L1411" s="16">
        <f>IF(AND(G1411&gt;0,H1411&gt;0),G1411/H1411,"")</f>
        <v/>
      </c>
    </row>
    <row r="1412">
      <c r="A1412" s="4" t="inlineStr">
        <is>
          <t>390</t>
        </is>
      </c>
      <c r="B1412" s="4" t="n">
        <v>3</v>
      </c>
      <c r="C1412" s="4" t="inlineStr">
        <is>
          <t>mule deer</t>
        </is>
      </c>
      <c r="D1412" s="4" t="n">
        <v>2023</v>
      </c>
      <c r="E1412" s="13" t="inlineStr">
        <is>
          <t>General</t>
        </is>
      </c>
      <c r="F1412" s="5" t="n">
        <v>666</v>
      </c>
      <c r="G1412" s="5" t="n">
        <v>4513</v>
      </c>
      <c r="H1412" s="5" t="n">
        <v>150</v>
      </c>
      <c r="I1412" s="5" t="n">
        <v>141</v>
      </c>
      <c r="J1412" s="5" t="n">
        <v>9</v>
      </c>
      <c r="K1412" s="10">
        <f>IF(F1412&gt;0,H1412/F1412,"")</f>
        <v/>
      </c>
      <c r="L1412" s="16">
        <f>IF(AND(G1412&gt;0,H1412&gt;0),G1412/H1412,"")</f>
        <v/>
      </c>
    </row>
    <row r="1413">
      <c r="A1413" s="4" t="inlineStr">
        <is>
          <t>390</t>
        </is>
      </c>
      <c r="B1413" s="4" t="n">
        <v>3</v>
      </c>
      <c r="C1413" s="4" t="inlineStr">
        <is>
          <t>mule deer</t>
        </is>
      </c>
      <c r="D1413" s="4" t="n">
        <v>2024</v>
      </c>
      <c r="E1413" s="13" t="inlineStr">
        <is>
          <t>General</t>
        </is>
      </c>
      <c r="F1413" s="5" t="n"/>
      <c r="G1413" s="5" t="n"/>
      <c r="H1413" s="5" t="n">
        <v>147</v>
      </c>
      <c r="I1413" s="5" t="n">
        <v>128</v>
      </c>
      <c r="J1413" s="5" t="n">
        <v>19</v>
      </c>
      <c r="K1413" s="10">
        <f>IF(F1413&gt;0,H1413/F1413,"")</f>
        <v/>
      </c>
      <c r="L1413" s="16">
        <f>IF(AND(G1413&gt;0,H1413&gt;0),G1413/H1413,"")</f>
        <v/>
      </c>
    </row>
    <row r="1414">
      <c r="A1414" s="4" t="inlineStr">
        <is>
          <t>390</t>
        </is>
      </c>
      <c r="B1414" s="4" t="n">
        <v>3</v>
      </c>
      <c r="C1414" s="4" t="inlineStr">
        <is>
          <t>mule deer</t>
        </is>
      </c>
      <c r="D1414" s="4" t="n">
        <v>2025</v>
      </c>
      <c r="E1414" s="13" t="inlineStr">
        <is>
          <t>General</t>
        </is>
      </c>
      <c r="F1414" s="5" t="n">
        <v>715</v>
      </c>
      <c r="G1414" s="5" t="n">
        <v>4935</v>
      </c>
      <c r="H1414" s="5" t="n">
        <v>162</v>
      </c>
      <c r="I1414" s="5" t="n">
        <v>131</v>
      </c>
      <c r="J1414" s="5" t="n">
        <v>32</v>
      </c>
      <c r="K1414" s="10">
        <f>IF(F1414&gt;0,H1414/F1414,"")</f>
        <v/>
      </c>
      <c r="L1414" s="16">
        <f>IF(AND(G1414&gt;0,H1414&gt;0),G1414/H1414,"")</f>
        <v/>
      </c>
    </row>
    <row r="1415">
      <c r="A1415" s="4" t="inlineStr">
        <is>
          <t>391</t>
        </is>
      </c>
      <c r="B1415" s="4" t="n">
        <v>3</v>
      </c>
      <c r="C1415" s="4" t="inlineStr">
        <is>
          <t>mule deer</t>
        </is>
      </c>
      <c r="D1415" s="4" t="n">
        <v>2021</v>
      </c>
      <c r="E1415" s="13" t="inlineStr">
        <is>
          <t>General</t>
        </is>
      </c>
      <c r="F1415" s="5" t="n">
        <v>1595</v>
      </c>
      <c r="G1415" s="5" t="n">
        <v>11068</v>
      </c>
      <c r="H1415" s="5" t="n">
        <v>399</v>
      </c>
      <c r="I1415" s="5" t="n">
        <v>328</v>
      </c>
      <c r="J1415" s="5" t="n">
        <v>71</v>
      </c>
      <c r="K1415" s="10">
        <f>IF(F1415&gt;0,H1415/F1415,"")</f>
        <v/>
      </c>
      <c r="L1415" s="16">
        <f>IF(AND(G1415&gt;0,H1415&gt;0),G1415/H1415,"")</f>
        <v/>
      </c>
    </row>
    <row r="1416">
      <c r="A1416" s="4" t="inlineStr">
        <is>
          <t>391</t>
        </is>
      </c>
      <c r="B1416" s="4" t="n">
        <v>3</v>
      </c>
      <c r="C1416" s="4" t="inlineStr">
        <is>
          <t>mule deer</t>
        </is>
      </c>
      <c r="D1416" s="4" t="n">
        <v>2022</v>
      </c>
      <c r="E1416" s="13" t="inlineStr">
        <is>
          <t>General</t>
        </is>
      </c>
      <c r="F1416" s="5" t="n"/>
      <c r="G1416" s="5" t="n"/>
      <c r="H1416" s="5" t="n">
        <v>365</v>
      </c>
      <c r="I1416" s="5" t="n">
        <v>290</v>
      </c>
      <c r="J1416" s="5" t="n">
        <v>75</v>
      </c>
      <c r="K1416" s="10">
        <f>IF(F1416&gt;0,H1416/F1416,"")</f>
        <v/>
      </c>
      <c r="L1416" s="16">
        <f>IF(AND(G1416&gt;0,H1416&gt;0),G1416/H1416,"")</f>
        <v/>
      </c>
    </row>
    <row r="1417">
      <c r="A1417" s="4" t="inlineStr">
        <is>
          <t>391</t>
        </is>
      </c>
      <c r="B1417" s="4" t="n">
        <v>3</v>
      </c>
      <c r="C1417" s="4" t="inlineStr">
        <is>
          <t>mule deer</t>
        </is>
      </c>
      <c r="D1417" s="4" t="n">
        <v>2023</v>
      </c>
      <c r="E1417" s="13" t="inlineStr">
        <is>
          <t>General</t>
        </is>
      </c>
      <c r="F1417" s="5" t="n">
        <v>1809</v>
      </c>
      <c r="G1417" s="5" t="n">
        <v>12961</v>
      </c>
      <c r="H1417" s="5" t="n">
        <v>384</v>
      </c>
      <c r="I1417" s="5" t="n">
        <v>334</v>
      </c>
      <c r="J1417" s="5" t="n">
        <v>46</v>
      </c>
      <c r="K1417" s="10">
        <f>IF(F1417&gt;0,H1417/F1417,"")</f>
        <v/>
      </c>
      <c r="L1417" s="16">
        <f>IF(AND(G1417&gt;0,H1417&gt;0),G1417/H1417,"")</f>
        <v/>
      </c>
    </row>
    <row r="1418">
      <c r="A1418" s="4" t="inlineStr">
        <is>
          <t>391</t>
        </is>
      </c>
      <c r="B1418" s="4" t="n">
        <v>3</v>
      </c>
      <c r="C1418" s="4" t="inlineStr">
        <is>
          <t>mule deer</t>
        </is>
      </c>
      <c r="D1418" s="4" t="n">
        <v>2024</v>
      </c>
      <c r="E1418" s="13" t="inlineStr">
        <is>
          <t>General</t>
        </is>
      </c>
      <c r="F1418" s="5" t="n"/>
      <c r="G1418" s="5" t="n"/>
      <c r="H1418" s="5" t="n">
        <v>432</v>
      </c>
      <c r="I1418" s="5" t="n">
        <v>385</v>
      </c>
      <c r="J1418" s="5" t="n">
        <v>45</v>
      </c>
      <c r="K1418" s="10">
        <f>IF(F1418&gt;0,H1418/F1418,"")</f>
        <v/>
      </c>
      <c r="L1418" s="16">
        <f>IF(AND(G1418&gt;0,H1418&gt;0),G1418/H1418,"")</f>
        <v/>
      </c>
    </row>
    <row r="1419">
      <c r="A1419" s="4" t="inlineStr">
        <is>
          <t>391</t>
        </is>
      </c>
      <c r="B1419" s="4" t="n">
        <v>3</v>
      </c>
      <c r="C1419" s="4" t="inlineStr">
        <is>
          <t>mule deer</t>
        </is>
      </c>
      <c r="D1419" s="4" t="n">
        <v>2025</v>
      </c>
      <c r="E1419" s="13" t="inlineStr">
        <is>
          <t>General</t>
        </is>
      </c>
      <c r="F1419" s="5" t="n">
        <v>1880</v>
      </c>
      <c r="G1419" s="5" t="n">
        <v>13605</v>
      </c>
      <c r="H1419" s="5" t="n">
        <v>447</v>
      </c>
      <c r="I1419" s="5" t="n">
        <v>367</v>
      </c>
      <c r="J1419" s="5" t="n">
        <v>80</v>
      </c>
      <c r="K1419" s="10">
        <f>IF(F1419&gt;0,H1419/F1419,"")</f>
        <v/>
      </c>
      <c r="L1419" s="16">
        <f>IF(AND(G1419&gt;0,H1419&gt;0),G1419/H1419,"")</f>
        <v/>
      </c>
    </row>
    <row r="1420">
      <c r="A1420" s="4" t="inlineStr">
        <is>
          <t>392</t>
        </is>
      </c>
      <c r="B1420" s="4" t="n">
        <v>3</v>
      </c>
      <c r="C1420" s="4" t="inlineStr">
        <is>
          <t>mule deer</t>
        </is>
      </c>
      <c r="D1420" s="4" t="n">
        <v>2021</v>
      </c>
      <c r="E1420" s="15" t="inlineStr">
        <is>
          <t>Draw</t>
        </is>
      </c>
      <c r="F1420" s="5" t="n">
        <v>518</v>
      </c>
      <c r="G1420" s="5" t="n">
        <v>3500</v>
      </c>
      <c r="H1420" s="5" t="n">
        <v>207</v>
      </c>
      <c r="I1420" s="5" t="n">
        <v>179</v>
      </c>
      <c r="J1420" s="5" t="n">
        <v>29</v>
      </c>
      <c r="K1420" s="10">
        <f>IF(F1420&gt;0,H1420/F1420,"")</f>
        <v/>
      </c>
      <c r="L1420" s="16">
        <f>IF(AND(G1420&gt;0,H1420&gt;0),G1420/H1420,"")</f>
        <v/>
      </c>
    </row>
    <row r="1421">
      <c r="A1421" s="4" t="inlineStr">
        <is>
          <t>392</t>
        </is>
      </c>
      <c r="B1421" s="4" t="n">
        <v>3</v>
      </c>
      <c r="C1421" s="4" t="inlineStr">
        <is>
          <t>mule deer</t>
        </is>
      </c>
      <c r="D1421" s="4" t="n">
        <v>2022</v>
      </c>
      <c r="E1421" s="15" t="inlineStr">
        <is>
          <t>Draw</t>
        </is>
      </c>
      <c r="F1421" s="5" t="n"/>
      <c r="G1421" s="5" t="n"/>
      <c r="H1421" s="5" t="n">
        <v>235</v>
      </c>
      <c r="I1421" s="5" t="n">
        <v>178</v>
      </c>
      <c r="J1421" s="5" t="n">
        <v>57</v>
      </c>
      <c r="K1421" s="10">
        <f>IF(F1421&gt;0,H1421/F1421,"")</f>
        <v/>
      </c>
      <c r="L1421" s="16">
        <f>IF(AND(G1421&gt;0,H1421&gt;0),G1421/H1421,"")</f>
        <v/>
      </c>
    </row>
    <row r="1422">
      <c r="A1422" s="4" t="inlineStr">
        <is>
          <t>392</t>
        </is>
      </c>
      <c r="B1422" s="4" t="n">
        <v>3</v>
      </c>
      <c r="C1422" s="4" t="inlineStr">
        <is>
          <t>mule deer</t>
        </is>
      </c>
      <c r="D1422" s="4" t="n">
        <v>2023</v>
      </c>
      <c r="E1422" s="15" t="inlineStr">
        <is>
          <t>Draw</t>
        </is>
      </c>
      <c r="F1422" s="5" t="n">
        <v>649</v>
      </c>
      <c r="G1422" s="5" t="n">
        <v>4216</v>
      </c>
      <c r="H1422" s="5" t="n">
        <v>233</v>
      </c>
      <c r="I1422" s="5" t="n">
        <v>199</v>
      </c>
      <c r="J1422" s="5" t="n">
        <v>34</v>
      </c>
      <c r="K1422" s="10">
        <f>IF(F1422&gt;0,H1422/F1422,"")</f>
        <v/>
      </c>
      <c r="L1422" s="16">
        <f>IF(AND(G1422&gt;0,H1422&gt;0),G1422/H1422,"")</f>
        <v/>
      </c>
    </row>
    <row r="1423">
      <c r="A1423" s="4" t="inlineStr">
        <is>
          <t>392</t>
        </is>
      </c>
      <c r="B1423" s="4" t="n">
        <v>3</v>
      </c>
      <c r="C1423" s="4" t="inlineStr">
        <is>
          <t>mule deer</t>
        </is>
      </c>
      <c r="D1423" s="4" t="n">
        <v>2024</v>
      </c>
      <c r="E1423" s="15" t="inlineStr">
        <is>
          <t>Draw</t>
        </is>
      </c>
      <c r="F1423" s="5" t="n"/>
      <c r="G1423" s="5" t="n"/>
      <c r="H1423" s="5" t="n">
        <v>211</v>
      </c>
      <c r="I1423" s="5" t="n">
        <v>189</v>
      </c>
      <c r="J1423" s="5" t="n">
        <v>23</v>
      </c>
      <c r="K1423" s="10">
        <f>IF(F1423&gt;0,H1423/F1423,"")</f>
        <v/>
      </c>
      <c r="L1423" s="16">
        <f>IF(AND(G1423&gt;0,H1423&gt;0),G1423/H1423,"")</f>
        <v/>
      </c>
    </row>
    <row r="1424">
      <c r="A1424" s="4" t="inlineStr">
        <is>
          <t>392</t>
        </is>
      </c>
      <c r="B1424" s="4" t="n">
        <v>3</v>
      </c>
      <c r="C1424" s="4" t="inlineStr">
        <is>
          <t>mule deer</t>
        </is>
      </c>
      <c r="D1424" s="4" t="n">
        <v>2025</v>
      </c>
      <c r="E1424" s="15" t="inlineStr">
        <is>
          <t>Draw</t>
        </is>
      </c>
      <c r="F1424" s="5" t="n">
        <v>691</v>
      </c>
      <c r="G1424" s="5" t="n">
        <v>5085</v>
      </c>
      <c r="H1424" s="5" t="n">
        <v>327</v>
      </c>
      <c r="I1424" s="5" t="n">
        <v>290</v>
      </c>
      <c r="J1424" s="5" t="n">
        <v>37</v>
      </c>
      <c r="K1424" s="10">
        <f>IF(F1424&gt;0,H1424/F1424,"")</f>
        <v/>
      </c>
      <c r="L1424" s="16">
        <f>IF(AND(G1424&gt;0,H1424&gt;0),G1424/H1424,"")</f>
        <v/>
      </c>
    </row>
    <row r="1425">
      <c r="A1425" s="4" t="inlineStr">
        <is>
          <t>393</t>
        </is>
      </c>
      <c r="B1425" s="4" t="n">
        <v>3</v>
      </c>
      <c r="C1425" s="4" t="inlineStr">
        <is>
          <t>mule deer</t>
        </is>
      </c>
      <c r="D1425" s="4" t="n">
        <v>2021</v>
      </c>
      <c r="E1425" s="13" t="inlineStr">
        <is>
          <t>General</t>
        </is>
      </c>
      <c r="F1425" s="5" t="n">
        <v>1405</v>
      </c>
      <c r="G1425" s="5" t="n">
        <v>9290</v>
      </c>
      <c r="H1425" s="5" t="n">
        <v>354</v>
      </c>
      <c r="I1425" s="5" t="n">
        <v>313</v>
      </c>
      <c r="J1425" s="5" t="n">
        <v>41</v>
      </c>
      <c r="K1425" s="10">
        <f>IF(F1425&gt;0,H1425/F1425,"")</f>
        <v/>
      </c>
      <c r="L1425" s="16">
        <f>IF(AND(G1425&gt;0,H1425&gt;0),G1425/H1425,"")</f>
        <v/>
      </c>
    </row>
    <row r="1426">
      <c r="A1426" s="4" t="inlineStr">
        <is>
          <t>393</t>
        </is>
      </c>
      <c r="B1426" s="4" t="n">
        <v>3</v>
      </c>
      <c r="C1426" s="4" t="inlineStr">
        <is>
          <t>mule deer</t>
        </is>
      </c>
      <c r="D1426" s="4" t="n">
        <v>2022</v>
      </c>
      <c r="E1426" s="13" t="inlineStr">
        <is>
          <t>General</t>
        </is>
      </c>
      <c r="F1426" s="5" t="n"/>
      <c r="G1426" s="5" t="n"/>
      <c r="H1426" s="5" t="n">
        <v>332</v>
      </c>
      <c r="I1426" s="5" t="n">
        <v>281</v>
      </c>
      <c r="J1426" s="5" t="n">
        <v>51</v>
      </c>
      <c r="K1426" s="10">
        <f>IF(F1426&gt;0,H1426/F1426,"")</f>
        <v/>
      </c>
      <c r="L1426" s="16">
        <f>IF(AND(G1426&gt;0,H1426&gt;0),G1426/H1426,"")</f>
        <v/>
      </c>
    </row>
    <row r="1427">
      <c r="A1427" s="4" t="inlineStr">
        <is>
          <t>393</t>
        </is>
      </c>
      <c r="B1427" s="4" t="n">
        <v>3</v>
      </c>
      <c r="C1427" s="4" t="inlineStr">
        <is>
          <t>mule deer</t>
        </is>
      </c>
      <c r="D1427" s="4" t="n">
        <v>2023</v>
      </c>
      <c r="E1427" s="13" t="inlineStr">
        <is>
          <t>General</t>
        </is>
      </c>
      <c r="F1427" s="5" t="n">
        <v>1548</v>
      </c>
      <c r="G1427" s="5" t="n">
        <v>9702</v>
      </c>
      <c r="H1427" s="5" t="n">
        <v>375</v>
      </c>
      <c r="I1427" s="5" t="n">
        <v>338</v>
      </c>
      <c r="J1427" s="5" t="n">
        <v>35</v>
      </c>
      <c r="K1427" s="10">
        <f>IF(F1427&gt;0,H1427/F1427,"")</f>
        <v/>
      </c>
      <c r="L1427" s="16">
        <f>IF(AND(G1427&gt;0,H1427&gt;0),G1427/H1427,"")</f>
        <v/>
      </c>
    </row>
    <row r="1428">
      <c r="A1428" s="4" t="inlineStr">
        <is>
          <t>393</t>
        </is>
      </c>
      <c r="B1428" s="4" t="n">
        <v>3</v>
      </c>
      <c r="C1428" s="4" t="inlineStr">
        <is>
          <t>mule deer</t>
        </is>
      </c>
      <c r="D1428" s="4" t="n">
        <v>2024</v>
      </c>
      <c r="E1428" s="13" t="inlineStr">
        <is>
          <t>General</t>
        </is>
      </c>
      <c r="F1428" s="5" t="n"/>
      <c r="G1428" s="5" t="n"/>
      <c r="H1428" s="5" t="n">
        <v>345</v>
      </c>
      <c r="I1428" s="5" t="n">
        <v>308</v>
      </c>
      <c r="J1428" s="5" t="n">
        <v>37</v>
      </c>
      <c r="K1428" s="10">
        <f>IF(F1428&gt;0,H1428/F1428,"")</f>
        <v/>
      </c>
      <c r="L1428" s="16">
        <f>IF(AND(G1428&gt;0,H1428&gt;0),G1428/H1428,"")</f>
        <v/>
      </c>
    </row>
    <row r="1429">
      <c r="A1429" s="4" t="inlineStr">
        <is>
          <t>393</t>
        </is>
      </c>
      <c r="B1429" s="4" t="n">
        <v>3</v>
      </c>
      <c r="C1429" s="4" t="inlineStr">
        <is>
          <t>mule deer</t>
        </is>
      </c>
      <c r="D1429" s="4" t="n">
        <v>2025</v>
      </c>
      <c r="E1429" s="13" t="inlineStr">
        <is>
          <t>General</t>
        </is>
      </c>
      <c r="F1429" s="5" t="n">
        <v>1671</v>
      </c>
      <c r="G1429" s="5" t="n">
        <v>9555</v>
      </c>
      <c r="H1429" s="5" t="n">
        <v>353</v>
      </c>
      <c r="I1429" s="5" t="n">
        <v>325</v>
      </c>
      <c r="J1429" s="5" t="n">
        <v>28</v>
      </c>
      <c r="K1429" s="10">
        <f>IF(F1429&gt;0,H1429/F1429,"")</f>
        <v/>
      </c>
      <c r="L1429" s="16">
        <f>IF(AND(G1429&gt;0,H1429&gt;0),G1429/H1429,"")</f>
        <v/>
      </c>
    </row>
    <row r="1430">
      <c r="A1430" s="4" t="inlineStr">
        <is>
          <t>400</t>
        </is>
      </c>
      <c r="B1430" s="4" t="n">
        <v>4</v>
      </c>
      <c r="C1430" s="4" t="inlineStr">
        <is>
          <t>mule deer</t>
        </is>
      </c>
      <c r="D1430" s="4" t="n">
        <v>2021</v>
      </c>
      <c r="E1430" s="13" t="inlineStr">
        <is>
          <t>General</t>
        </is>
      </c>
      <c r="F1430" s="5" t="n">
        <v>1769</v>
      </c>
      <c r="G1430" s="5" t="n">
        <v>8700</v>
      </c>
      <c r="H1430" s="5" t="n">
        <v>788</v>
      </c>
      <c r="I1430" s="5" t="n">
        <v>631</v>
      </c>
      <c r="J1430" s="5" t="n">
        <v>154</v>
      </c>
      <c r="K1430" s="10">
        <f>IF(F1430&gt;0,H1430/F1430,"")</f>
        <v/>
      </c>
      <c r="L1430" s="16">
        <f>IF(AND(G1430&gt;0,H1430&gt;0),G1430/H1430,"")</f>
        <v/>
      </c>
    </row>
    <row r="1431">
      <c r="A1431" s="4" t="inlineStr">
        <is>
          <t>400</t>
        </is>
      </c>
      <c r="B1431" s="4" t="n">
        <v>4</v>
      </c>
      <c r="C1431" s="4" t="inlineStr">
        <is>
          <t>mule deer</t>
        </is>
      </c>
      <c r="D1431" s="4" t="n">
        <v>2022</v>
      </c>
      <c r="E1431" s="13" t="inlineStr">
        <is>
          <t>General</t>
        </is>
      </c>
      <c r="F1431" s="5" t="n"/>
      <c r="G1431" s="5" t="n"/>
      <c r="H1431" s="5" t="n">
        <v>642</v>
      </c>
      <c r="I1431" s="5" t="n">
        <v>474</v>
      </c>
      <c r="J1431" s="5" t="n">
        <v>166</v>
      </c>
      <c r="K1431" s="10">
        <f>IF(F1431&gt;0,H1431/F1431,"")</f>
        <v/>
      </c>
      <c r="L1431" s="16">
        <f>IF(AND(G1431&gt;0,H1431&gt;0),G1431/H1431,"")</f>
        <v/>
      </c>
    </row>
    <row r="1432">
      <c r="A1432" s="4" t="inlineStr">
        <is>
          <t>400</t>
        </is>
      </c>
      <c r="B1432" s="4" t="n">
        <v>4</v>
      </c>
      <c r="C1432" s="4" t="inlineStr">
        <is>
          <t>mule deer</t>
        </is>
      </c>
      <c r="D1432" s="4" t="n">
        <v>2023</v>
      </c>
      <c r="E1432" s="13" t="inlineStr">
        <is>
          <t>General</t>
        </is>
      </c>
      <c r="F1432" s="5" t="n">
        <v>1918</v>
      </c>
      <c r="G1432" s="5" t="n">
        <v>10431</v>
      </c>
      <c r="H1432" s="5" t="n">
        <v>849</v>
      </c>
      <c r="I1432" s="5" t="n">
        <v>640</v>
      </c>
      <c r="J1432" s="5" t="n">
        <v>209</v>
      </c>
      <c r="K1432" s="10">
        <f>IF(F1432&gt;0,H1432/F1432,"")</f>
        <v/>
      </c>
      <c r="L1432" s="16">
        <f>IF(AND(G1432&gt;0,H1432&gt;0),G1432/H1432,"")</f>
        <v/>
      </c>
    </row>
    <row r="1433">
      <c r="A1433" s="4" t="inlineStr">
        <is>
          <t>400</t>
        </is>
      </c>
      <c r="B1433" s="4" t="n">
        <v>4</v>
      </c>
      <c r="C1433" s="4" t="inlineStr">
        <is>
          <t>mule deer</t>
        </is>
      </c>
      <c r="D1433" s="4" t="n">
        <v>2024</v>
      </c>
      <c r="E1433" s="13" t="inlineStr">
        <is>
          <t>General</t>
        </is>
      </c>
      <c r="F1433" s="5" t="n"/>
      <c r="G1433" s="5" t="n"/>
      <c r="H1433" s="5" t="n">
        <v>759</v>
      </c>
      <c r="I1433" s="5" t="n">
        <v>547</v>
      </c>
      <c r="J1433" s="5" t="n">
        <v>212</v>
      </c>
      <c r="K1433" s="10">
        <f>IF(F1433&gt;0,H1433/F1433,"")</f>
        <v/>
      </c>
      <c r="L1433" s="16">
        <f>IF(AND(G1433&gt;0,H1433&gt;0),G1433/H1433,"")</f>
        <v/>
      </c>
    </row>
    <row r="1434">
      <c r="A1434" s="4" t="inlineStr">
        <is>
          <t>400</t>
        </is>
      </c>
      <c r="B1434" s="4" t="n">
        <v>4</v>
      </c>
      <c r="C1434" s="4" t="inlineStr">
        <is>
          <t>mule deer</t>
        </is>
      </c>
      <c r="D1434" s="4" t="n">
        <v>2025</v>
      </c>
      <c r="E1434" s="13" t="inlineStr">
        <is>
          <t>General</t>
        </is>
      </c>
      <c r="F1434" s="5" t="n">
        <v>2000</v>
      </c>
      <c r="G1434" s="5" t="n">
        <v>12562</v>
      </c>
      <c r="H1434" s="5" t="n">
        <v>725</v>
      </c>
      <c r="I1434" s="5" t="n">
        <v>573</v>
      </c>
      <c r="J1434" s="5" t="n">
        <v>149</v>
      </c>
      <c r="K1434" s="10">
        <f>IF(F1434&gt;0,H1434/F1434,"")</f>
        <v/>
      </c>
      <c r="L1434" s="16">
        <f>IF(AND(G1434&gt;0,H1434&gt;0),G1434/H1434,"")</f>
        <v/>
      </c>
    </row>
    <row r="1435">
      <c r="A1435" s="4" t="inlineStr">
        <is>
          <t>401</t>
        </is>
      </c>
      <c r="B1435" s="4" t="n">
        <v>4</v>
      </c>
      <c r="C1435" s="4" t="inlineStr">
        <is>
          <t>mule deer</t>
        </is>
      </c>
      <c r="D1435" s="4" t="n">
        <v>2021</v>
      </c>
      <c r="E1435" s="13" t="inlineStr">
        <is>
          <t>General</t>
        </is>
      </c>
      <c r="F1435" s="5" t="n">
        <v>1330</v>
      </c>
      <c r="G1435" s="5" t="n">
        <v>6942</v>
      </c>
      <c r="H1435" s="5" t="n">
        <v>517</v>
      </c>
      <c r="I1435" s="5" t="n">
        <v>434</v>
      </c>
      <c r="J1435" s="5" t="n">
        <v>83</v>
      </c>
      <c r="K1435" s="10">
        <f>IF(F1435&gt;0,H1435/F1435,"")</f>
        <v/>
      </c>
      <c r="L1435" s="16">
        <f>IF(AND(G1435&gt;0,H1435&gt;0),G1435/H1435,"")</f>
        <v/>
      </c>
    </row>
    <row r="1436">
      <c r="A1436" s="4" t="inlineStr">
        <is>
          <t>401</t>
        </is>
      </c>
      <c r="B1436" s="4" t="n">
        <v>4</v>
      </c>
      <c r="C1436" s="4" t="inlineStr">
        <is>
          <t>mule deer</t>
        </is>
      </c>
      <c r="D1436" s="4" t="n">
        <v>2022</v>
      </c>
      <c r="E1436" s="13" t="inlineStr">
        <is>
          <t>General</t>
        </is>
      </c>
      <c r="F1436" s="5" t="n"/>
      <c r="G1436" s="5" t="n"/>
      <c r="H1436" s="5" t="n">
        <v>511</v>
      </c>
      <c r="I1436" s="5" t="n">
        <v>365</v>
      </c>
      <c r="J1436" s="5" t="n">
        <v>143</v>
      </c>
      <c r="K1436" s="10">
        <f>IF(F1436&gt;0,H1436/F1436,"")</f>
        <v/>
      </c>
      <c r="L1436" s="16">
        <f>IF(AND(G1436&gt;0,H1436&gt;0),G1436/H1436,"")</f>
        <v/>
      </c>
    </row>
    <row r="1437">
      <c r="A1437" s="4" t="inlineStr">
        <is>
          <t>401</t>
        </is>
      </c>
      <c r="B1437" s="4" t="n">
        <v>4</v>
      </c>
      <c r="C1437" s="4" t="inlineStr">
        <is>
          <t>mule deer</t>
        </is>
      </c>
      <c r="D1437" s="4" t="n">
        <v>2023</v>
      </c>
      <c r="E1437" s="13" t="inlineStr">
        <is>
          <t>General</t>
        </is>
      </c>
      <c r="F1437" s="5" t="n">
        <v>1392</v>
      </c>
      <c r="G1437" s="5" t="n">
        <v>7224</v>
      </c>
      <c r="H1437" s="5" t="n">
        <v>480</v>
      </c>
      <c r="I1437" s="5" t="n">
        <v>374</v>
      </c>
      <c r="J1437" s="5" t="n">
        <v>106</v>
      </c>
      <c r="K1437" s="10">
        <f>IF(F1437&gt;0,H1437/F1437,"")</f>
        <v/>
      </c>
      <c r="L1437" s="16">
        <f>IF(AND(G1437&gt;0,H1437&gt;0),G1437/H1437,"")</f>
        <v/>
      </c>
    </row>
    <row r="1438">
      <c r="A1438" s="4" t="inlineStr">
        <is>
          <t>401</t>
        </is>
      </c>
      <c r="B1438" s="4" t="n">
        <v>4</v>
      </c>
      <c r="C1438" s="4" t="inlineStr">
        <is>
          <t>mule deer</t>
        </is>
      </c>
      <c r="D1438" s="4" t="n">
        <v>2024</v>
      </c>
      <c r="E1438" s="13" t="inlineStr">
        <is>
          <t>General</t>
        </is>
      </c>
      <c r="F1438" s="5" t="n"/>
      <c r="G1438" s="5" t="n"/>
      <c r="H1438" s="5" t="n">
        <v>443</v>
      </c>
      <c r="I1438" s="5" t="n">
        <v>358</v>
      </c>
      <c r="J1438" s="5" t="n">
        <v>86</v>
      </c>
      <c r="K1438" s="10">
        <f>IF(F1438&gt;0,H1438/F1438,"")</f>
        <v/>
      </c>
      <c r="L1438" s="16">
        <f>IF(AND(G1438&gt;0,H1438&gt;0),G1438/H1438,"")</f>
        <v/>
      </c>
    </row>
    <row r="1439">
      <c r="A1439" s="4" t="inlineStr">
        <is>
          <t>401</t>
        </is>
      </c>
      <c r="B1439" s="4" t="n">
        <v>4</v>
      </c>
      <c r="C1439" s="4" t="inlineStr">
        <is>
          <t>mule deer</t>
        </is>
      </c>
      <c r="D1439" s="4" t="n">
        <v>2025</v>
      </c>
      <c r="E1439" s="13" t="inlineStr">
        <is>
          <t>General</t>
        </is>
      </c>
      <c r="F1439" s="5" t="n">
        <v>1204</v>
      </c>
      <c r="G1439" s="5" t="n">
        <v>6225</v>
      </c>
      <c r="H1439" s="5" t="n">
        <v>467</v>
      </c>
      <c r="I1439" s="5" t="n">
        <v>332</v>
      </c>
      <c r="J1439" s="5" t="n">
        <v>135</v>
      </c>
      <c r="K1439" s="10">
        <f>IF(F1439&gt;0,H1439/F1439,"")</f>
        <v/>
      </c>
      <c r="L1439" s="16">
        <f>IF(AND(G1439&gt;0,H1439&gt;0),G1439/H1439,"")</f>
        <v/>
      </c>
    </row>
    <row r="1440">
      <c r="A1440" s="4" t="inlineStr">
        <is>
          <t>403</t>
        </is>
      </c>
      <c r="B1440" s="4" t="n">
        <v>4</v>
      </c>
      <c r="C1440" s="4" t="inlineStr">
        <is>
          <t>mule deer</t>
        </is>
      </c>
      <c r="D1440" s="4" t="n">
        <v>2021</v>
      </c>
      <c r="E1440" s="13" t="inlineStr">
        <is>
          <t>General</t>
        </is>
      </c>
      <c r="F1440" s="5" t="n">
        <v>416</v>
      </c>
      <c r="G1440" s="5" t="n">
        <v>2110</v>
      </c>
      <c r="H1440" s="5" t="n">
        <v>167</v>
      </c>
      <c r="I1440" s="5" t="n">
        <v>114</v>
      </c>
      <c r="J1440" s="5" t="n">
        <v>53</v>
      </c>
      <c r="K1440" s="10">
        <f>IF(F1440&gt;0,H1440/F1440,"")</f>
        <v/>
      </c>
      <c r="L1440" s="16">
        <f>IF(AND(G1440&gt;0,H1440&gt;0),G1440/H1440,"")</f>
        <v/>
      </c>
    </row>
    <row r="1441">
      <c r="A1441" s="4" t="inlineStr">
        <is>
          <t>403</t>
        </is>
      </c>
      <c r="B1441" s="4" t="n">
        <v>4</v>
      </c>
      <c r="C1441" s="4" t="inlineStr">
        <is>
          <t>mule deer</t>
        </is>
      </c>
      <c r="D1441" s="4" t="n">
        <v>2022</v>
      </c>
      <c r="E1441" s="13" t="inlineStr">
        <is>
          <t>General</t>
        </is>
      </c>
      <c r="F1441" s="5" t="n"/>
      <c r="G1441" s="5" t="n"/>
      <c r="H1441" s="5" t="n">
        <v>198</v>
      </c>
      <c r="I1441" s="5" t="n">
        <v>114</v>
      </c>
      <c r="J1441" s="5" t="n">
        <v>83</v>
      </c>
      <c r="K1441" s="10">
        <f>IF(F1441&gt;0,H1441/F1441,"")</f>
        <v/>
      </c>
      <c r="L1441" s="16">
        <f>IF(AND(G1441&gt;0,H1441&gt;0),G1441/H1441,"")</f>
        <v/>
      </c>
    </row>
    <row r="1442">
      <c r="A1442" s="4" t="inlineStr">
        <is>
          <t>403</t>
        </is>
      </c>
      <c r="B1442" s="4" t="n">
        <v>4</v>
      </c>
      <c r="C1442" s="4" t="inlineStr">
        <is>
          <t>mule deer</t>
        </is>
      </c>
      <c r="D1442" s="4" t="n">
        <v>2023</v>
      </c>
      <c r="E1442" s="13" t="inlineStr">
        <is>
          <t>General</t>
        </is>
      </c>
      <c r="F1442" s="5" t="n">
        <v>461</v>
      </c>
      <c r="G1442" s="5" t="n">
        <v>2284</v>
      </c>
      <c r="H1442" s="5" t="n">
        <v>206</v>
      </c>
      <c r="I1442" s="5" t="n">
        <v>131</v>
      </c>
      <c r="J1442" s="5" t="n">
        <v>72</v>
      </c>
      <c r="K1442" s="10">
        <f>IF(F1442&gt;0,H1442/F1442,"")</f>
        <v/>
      </c>
      <c r="L1442" s="16">
        <f>IF(AND(G1442&gt;0,H1442&gt;0),G1442/H1442,"")</f>
        <v/>
      </c>
    </row>
    <row r="1443">
      <c r="A1443" s="4" t="inlineStr">
        <is>
          <t>403</t>
        </is>
      </c>
      <c r="B1443" s="4" t="n">
        <v>4</v>
      </c>
      <c r="C1443" s="4" t="inlineStr">
        <is>
          <t>mule deer</t>
        </is>
      </c>
      <c r="D1443" s="4" t="n">
        <v>2024</v>
      </c>
      <c r="E1443" s="13" t="inlineStr">
        <is>
          <t>General</t>
        </is>
      </c>
      <c r="F1443" s="5" t="n"/>
      <c r="G1443" s="5" t="n"/>
      <c r="H1443" s="5" t="n">
        <v>243</v>
      </c>
      <c r="I1443" s="5" t="n">
        <v>144</v>
      </c>
      <c r="J1443" s="5" t="n">
        <v>99</v>
      </c>
      <c r="K1443" s="10">
        <f>IF(F1443&gt;0,H1443/F1443,"")</f>
        <v/>
      </c>
      <c r="L1443" s="16">
        <f>IF(AND(G1443&gt;0,H1443&gt;0),G1443/H1443,"")</f>
        <v/>
      </c>
    </row>
    <row r="1444">
      <c r="A1444" s="4" t="inlineStr">
        <is>
          <t>403</t>
        </is>
      </c>
      <c r="B1444" s="4" t="n">
        <v>4</v>
      </c>
      <c r="C1444" s="4" t="inlineStr">
        <is>
          <t>mule deer</t>
        </is>
      </c>
      <c r="D1444" s="4" t="n">
        <v>2025</v>
      </c>
      <c r="E1444" s="13" t="inlineStr">
        <is>
          <t>General</t>
        </is>
      </c>
      <c r="F1444" s="5" t="n">
        <v>418</v>
      </c>
      <c r="G1444" s="5" t="n">
        <v>2149</v>
      </c>
      <c r="H1444" s="5" t="n">
        <v>183</v>
      </c>
      <c r="I1444" s="5" t="n">
        <v>137</v>
      </c>
      <c r="J1444" s="5" t="n">
        <v>46</v>
      </c>
      <c r="K1444" s="10">
        <f>IF(F1444&gt;0,H1444/F1444,"")</f>
        <v/>
      </c>
      <c r="L1444" s="16">
        <f>IF(AND(G1444&gt;0,H1444&gt;0),G1444/H1444,"")</f>
        <v/>
      </c>
    </row>
    <row r="1445">
      <c r="A1445" s="4" t="inlineStr">
        <is>
          <t>404</t>
        </is>
      </c>
      <c r="B1445" s="4" t="n">
        <v>4</v>
      </c>
      <c r="C1445" s="4" t="inlineStr">
        <is>
          <t>mule deer</t>
        </is>
      </c>
      <c r="D1445" s="4" t="n">
        <v>2021</v>
      </c>
      <c r="E1445" s="13" t="inlineStr">
        <is>
          <t>General</t>
        </is>
      </c>
      <c r="F1445" s="5" t="n">
        <v>1844</v>
      </c>
      <c r="G1445" s="5" t="n">
        <v>8999</v>
      </c>
      <c r="H1445" s="5" t="n">
        <v>651</v>
      </c>
      <c r="I1445" s="5" t="n">
        <v>505</v>
      </c>
      <c r="J1445" s="5" t="n">
        <v>138</v>
      </c>
      <c r="K1445" s="10">
        <f>IF(F1445&gt;0,H1445/F1445,"")</f>
        <v/>
      </c>
      <c r="L1445" s="16">
        <f>IF(AND(G1445&gt;0,H1445&gt;0),G1445/H1445,"")</f>
        <v/>
      </c>
    </row>
    <row r="1446">
      <c r="A1446" s="4" t="inlineStr">
        <is>
          <t>404</t>
        </is>
      </c>
      <c r="B1446" s="4" t="n">
        <v>4</v>
      </c>
      <c r="C1446" s="4" t="inlineStr">
        <is>
          <t>mule deer</t>
        </is>
      </c>
      <c r="D1446" s="4" t="n">
        <v>2022</v>
      </c>
      <c r="E1446" s="13" t="inlineStr">
        <is>
          <t>General</t>
        </is>
      </c>
      <c r="F1446" s="5" t="n"/>
      <c r="G1446" s="5" t="n"/>
      <c r="H1446" s="5" t="n">
        <v>496</v>
      </c>
      <c r="I1446" s="5" t="n">
        <v>348</v>
      </c>
      <c r="J1446" s="5" t="n">
        <v>148</v>
      </c>
      <c r="K1446" s="10">
        <f>IF(F1446&gt;0,H1446/F1446,"")</f>
        <v/>
      </c>
      <c r="L1446" s="16">
        <f>IF(AND(G1446&gt;0,H1446&gt;0),G1446/H1446,"")</f>
        <v/>
      </c>
    </row>
    <row r="1447">
      <c r="A1447" s="4" t="inlineStr">
        <is>
          <t>404</t>
        </is>
      </c>
      <c r="B1447" s="4" t="n">
        <v>4</v>
      </c>
      <c r="C1447" s="4" t="inlineStr">
        <is>
          <t>mule deer</t>
        </is>
      </c>
      <c r="D1447" s="4" t="n">
        <v>2023</v>
      </c>
      <c r="E1447" s="13" t="inlineStr">
        <is>
          <t>General</t>
        </is>
      </c>
      <c r="F1447" s="5" t="n">
        <v>1812</v>
      </c>
      <c r="G1447" s="5" t="n">
        <v>9049</v>
      </c>
      <c r="H1447" s="5" t="n">
        <v>636</v>
      </c>
      <c r="I1447" s="5" t="n">
        <v>471</v>
      </c>
      <c r="J1447" s="5" t="n">
        <v>162</v>
      </c>
      <c r="K1447" s="10">
        <f>IF(F1447&gt;0,H1447/F1447,"")</f>
        <v/>
      </c>
      <c r="L1447" s="16">
        <f>IF(AND(G1447&gt;0,H1447&gt;0),G1447/H1447,"")</f>
        <v/>
      </c>
    </row>
    <row r="1448">
      <c r="A1448" s="4" t="inlineStr">
        <is>
          <t>404</t>
        </is>
      </c>
      <c r="B1448" s="4" t="n">
        <v>4</v>
      </c>
      <c r="C1448" s="4" t="inlineStr">
        <is>
          <t>mule deer</t>
        </is>
      </c>
      <c r="D1448" s="4" t="n">
        <v>2024</v>
      </c>
      <c r="E1448" s="13" t="inlineStr">
        <is>
          <t>General</t>
        </is>
      </c>
      <c r="F1448" s="5" t="n"/>
      <c r="G1448" s="5" t="n"/>
      <c r="H1448" s="5" t="n">
        <v>653</v>
      </c>
      <c r="I1448" s="5" t="n">
        <v>446</v>
      </c>
      <c r="J1448" s="5" t="n">
        <v>207</v>
      </c>
      <c r="K1448" s="10">
        <f>IF(F1448&gt;0,H1448/F1448,"")</f>
        <v/>
      </c>
      <c r="L1448" s="16">
        <f>IF(AND(G1448&gt;0,H1448&gt;0),G1448/H1448,"")</f>
        <v/>
      </c>
    </row>
    <row r="1449">
      <c r="A1449" s="4" t="inlineStr">
        <is>
          <t>404</t>
        </is>
      </c>
      <c r="B1449" s="4" t="n">
        <v>4</v>
      </c>
      <c r="C1449" s="4" t="inlineStr">
        <is>
          <t>mule deer</t>
        </is>
      </c>
      <c r="D1449" s="4" t="n">
        <v>2025</v>
      </c>
      <c r="E1449" s="13" t="inlineStr">
        <is>
          <t>General</t>
        </is>
      </c>
      <c r="F1449" s="5" t="n">
        <v>1850</v>
      </c>
      <c r="G1449" s="5" t="n">
        <v>9575</v>
      </c>
      <c r="H1449" s="5" t="n">
        <v>491</v>
      </c>
      <c r="I1449" s="5" t="n">
        <v>381</v>
      </c>
      <c r="J1449" s="5" t="n">
        <v>110</v>
      </c>
      <c r="K1449" s="10">
        <f>IF(F1449&gt;0,H1449/F1449,"")</f>
        <v/>
      </c>
      <c r="L1449" s="16">
        <f>IF(AND(G1449&gt;0,H1449&gt;0),G1449/H1449,"")</f>
        <v/>
      </c>
    </row>
    <row r="1450">
      <c r="A1450" s="4" t="inlineStr">
        <is>
          <t>405</t>
        </is>
      </c>
      <c r="B1450" s="4" t="n">
        <v>4</v>
      </c>
      <c r="C1450" s="4" t="inlineStr">
        <is>
          <t>mule deer</t>
        </is>
      </c>
      <c r="D1450" s="4" t="n">
        <v>2021</v>
      </c>
      <c r="E1450" s="13" t="inlineStr">
        <is>
          <t>General</t>
        </is>
      </c>
      <c r="F1450" s="5" t="n">
        <v>968</v>
      </c>
      <c r="G1450" s="5" t="n">
        <v>4767</v>
      </c>
      <c r="H1450" s="5" t="n">
        <v>574</v>
      </c>
      <c r="I1450" s="5" t="n">
        <v>362</v>
      </c>
      <c r="J1450" s="5" t="n">
        <v>212</v>
      </c>
      <c r="K1450" s="10">
        <f>IF(F1450&gt;0,H1450/F1450,"")</f>
        <v/>
      </c>
      <c r="L1450" s="16">
        <f>IF(AND(G1450&gt;0,H1450&gt;0),G1450/H1450,"")</f>
        <v/>
      </c>
    </row>
    <row r="1451">
      <c r="A1451" s="4" t="inlineStr">
        <is>
          <t>405</t>
        </is>
      </c>
      <c r="B1451" s="4" t="n">
        <v>4</v>
      </c>
      <c r="C1451" s="4" t="inlineStr">
        <is>
          <t>mule deer</t>
        </is>
      </c>
      <c r="D1451" s="4" t="n">
        <v>2022</v>
      </c>
      <c r="E1451" s="13" t="inlineStr">
        <is>
          <t>General</t>
        </is>
      </c>
      <c r="F1451" s="5" t="n"/>
      <c r="G1451" s="5" t="n"/>
      <c r="H1451" s="5" t="n">
        <v>682</v>
      </c>
      <c r="I1451" s="5" t="n">
        <v>448</v>
      </c>
      <c r="J1451" s="5" t="n">
        <v>228</v>
      </c>
      <c r="K1451" s="10">
        <f>IF(F1451&gt;0,H1451/F1451,"")</f>
        <v/>
      </c>
      <c r="L1451" s="16">
        <f>IF(AND(G1451&gt;0,H1451&gt;0),G1451/H1451,"")</f>
        <v/>
      </c>
    </row>
    <row r="1452">
      <c r="A1452" s="4" t="inlineStr">
        <is>
          <t>405</t>
        </is>
      </c>
      <c r="B1452" s="4" t="n">
        <v>4</v>
      </c>
      <c r="C1452" s="4" t="inlineStr">
        <is>
          <t>mule deer</t>
        </is>
      </c>
      <c r="D1452" s="4" t="n">
        <v>2023</v>
      </c>
      <c r="E1452" s="13" t="inlineStr">
        <is>
          <t>General</t>
        </is>
      </c>
      <c r="F1452" s="5" t="n">
        <v>1131</v>
      </c>
      <c r="G1452" s="5" t="n">
        <v>5253</v>
      </c>
      <c r="H1452" s="5" t="n">
        <v>583</v>
      </c>
      <c r="I1452" s="5" t="n">
        <v>396</v>
      </c>
      <c r="J1452" s="5" t="n">
        <v>187</v>
      </c>
      <c r="K1452" s="10">
        <f>IF(F1452&gt;0,H1452/F1452,"")</f>
        <v/>
      </c>
      <c r="L1452" s="16">
        <f>IF(AND(G1452&gt;0,H1452&gt;0),G1452/H1452,"")</f>
        <v/>
      </c>
    </row>
    <row r="1453">
      <c r="A1453" s="4" t="inlineStr">
        <is>
          <t>405</t>
        </is>
      </c>
      <c r="B1453" s="4" t="n">
        <v>4</v>
      </c>
      <c r="C1453" s="4" t="inlineStr">
        <is>
          <t>mule deer</t>
        </is>
      </c>
      <c r="D1453" s="4" t="n">
        <v>2024</v>
      </c>
      <c r="E1453" s="13" t="inlineStr">
        <is>
          <t>General</t>
        </is>
      </c>
      <c r="F1453" s="5" t="n"/>
      <c r="G1453" s="5" t="n"/>
      <c r="H1453" s="5" t="n">
        <v>698</v>
      </c>
      <c r="I1453" s="5" t="n">
        <v>380</v>
      </c>
      <c r="J1453" s="5" t="n">
        <v>307</v>
      </c>
      <c r="K1453" s="10">
        <f>IF(F1453&gt;0,H1453/F1453,"")</f>
        <v/>
      </c>
      <c r="L1453" s="16">
        <f>IF(AND(G1453&gt;0,H1453&gt;0),G1453/H1453,"")</f>
        <v/>
      </c>
    </row>
    <row r="1454">
      <c r="A1454" s="4" t="inlineStr">
        <is>
          <t>405</t>
        </is>
      </c>
      <c r="B1454" s="4" t="n">
        <v>4</v>
      </c>
      <c r="C1454" s="4" t="inlineStr">
        <is>
          <t>mule deer</t>
        </is>
      </c>
      <c r="D1454" s="4" t="n">
        <v>2025</v>
      </c>
      <c r="E1454" s="13" t="inlineStr">
        <is>
          <t>General</t>
        </is>
      </c>
      <c r="F1454" s="5" t="n">
        <v>1279</v>
      </c>
      <c r="G1454" s="5" t="n">
        <v>6315</v>
      </c>
      <c r="H1454" s="5" t="n">
        <v>588</v>
      </c>
      <c r="I1454" s="5" t="n">
        <v>380</v>
      </c>
      <c r="J1454" s="5" t="n">
        <v>202</v>
      </c>
      <c r="K1454" s="10">
        <f>IF(F1454&gt;0,H1454/F1454,"")</f>
        <v/>
      </c>
      <c r="L1454" s="16">
        <f>IF(AND(G1454&gt;0,H1454&gt;0),G1454/H1454,"")</f>
        <v/>
      </c>
    </row>
    <row r="1455">
      <c r="A1455" s="4" t="inlineStr">
        <is>
          <t>406</t>
        </is>
      </c>
      <c r="B1455" s="4" t="n">
        <v>4</v>
      </c>
      <c r="C1455" s="4" t="inlineStr">
        <is>
          <t>mule deer</t>
        </is>
      </c>
      <c r="D1455" s="4" t="n">
        <v>2021</v>
      </c>
      <c r="E1455" s="13" t="inlineStr">
        <is>
          <t>General</t>
        </is>
      </c>
      <c r="F1455" s="5" t="n">
        <v>620</v>
      </c>
      <c r="G1455" s="5" t="n">
        <v>3176</v>
      </c>
      <c r="H1455" s="5" t="n">
        <v>210</v>
      </c>
      <c r="I1455" s="5" t="n">
        <v>106</v>
      </c>
      <c r="J1455" s="5" t="n">
        <v>101</v>
      </c>
      <c r="K1455" s="10">
        <f>IF(F1455&gt;0,H1455/F1455,"")</f>
        <v/>
      </c>
      <c r="L1455" s="16">
        <f>IF(AND(G1455&gt;0,H1455&gt;0),G1455/H1455,"")</f>
        <v/>
      </c>
    </row>
    <row r="1456">
      <c r="A1456" s="4" t="inlineStr">
        <is>
          <t>406</t>
        </is>
      </c>
      <c r="B1456" s="4" t="n">
        <v>4</v>
      </c>
      <c r="C1456" s="4" t="inlineStr">
        <is>
          <t>mule deer</t>
        </is>
      </c>
      <c r="D1456" s="4" t="n">
        <v>2022</v>
      </c>
      <c r="E1456" s="13" t="inlineStr">
        <is>
          <t>General</t>
        </is>
      </c>
      <c r="F1456" s="5" t="n"/>
      <c r="G1456" s="5" t="n"/>
      <c r="H1456" s="5" t="n">
        <v>262</v>
      </c>
      <c r="I1456" s="5" t="n">
        <v>181</v>
      </c>
      <c r="J1456" s="5" t="n">
        <v>81</v>
      </c>
      <c r="K1456" s="10">
        <f>IF(F1456&gt;0,H1456/F1456,"")</f>
        <v/>
      </c>
      <c r="L1456" s="16">
        <f>IF(AND(G1456&gt;0,H1456&gt;0),G1456/H1456,"")</f>
        <v/>
      </c>
    </row>
    <row r="1457">
      <c r="A1457" s="4" t="inlineStr">
        <is>
          <t>406</t>
        </is>
      </c>
      <c r="B1457" s="4" t="n">
        <v>4</v>
      </c>
      <c r="C1457" s="4" t="inlineStr">
        <is>
          <t>mule deer</t>
        </is>
      </c>
      <c r="D1457" s="4" t="n">
        <v>2023</v>
      </c>
      <c r="E1457" s="13" t="inlineStr">
        <is>
          <t>General</t>
        </is>
      </c>
      <c r="F1457" s="5" t="n">
        <v>715</v>
      </c>
      <c r="G1457" s="5" t="n">
        <v>3328</v>
      </c>
      <c r="H1457" s="5" t="n">
        <v>275</v>
      </c>
      <c r="I1457" s="5" t="n">
        <v>182</v>
      </c>
      <c r="J1457" s="5" t="n">
        <v>93</v>
      </c>
      <c r="K1457" s="10">
        <f>IF(F1457&gt;0,H1457/F1457,"")</f>
        <v/>
      </c>
      <c r="L1457" s="16">
        <f>IF(AND(G1457&gt;0,H1457&gt;0),G1457/H1457,"")</f>
        <v/>
      </c>
    </row>
    <row r="1458">
      <c r="A1458" s="4" t="inlineStr">
        <is>
          <t>406</t>
        </is>
      </c>
      <c r="B1458" s="4" t="n">
        <v>4</v>
      </c>
      <c r="C1458" s="4" t="inlineStr">
        <is>
          <t>mule deer</t>
        </is>
      </c>
      <c r="D1458" s="4" t="n">
        <v>2024</v>
      </c>
      <c r="E1458" s="13" t="inlineStr">
        <is>
          <t>General</t>
        </is>
      </c>
      <c r="F1458" s="5" t="n"/>
      <c r="G1458" s="5" t="n"/>
      <c r="H1458" s="5" t="n">
        <v>297</v>
      </c>
      <c r="I1458" s="5" t="n">
        <v>196</v>
      </c>
      <c r="J1458" s="5" t="n">
        <v>101</v>
      </c>
      <c r="K1458" s="10">
        <f>IF(F1458&gt;0,H1458/F1458,"")</f>
        <v/>
      </c>
      <c r="L1458" s="16">
        <f>IF(AND(G1458&gt;0,H1458&gt;0),G1458/H1458,"")</f>
        <v/>
      </c>
    </row>
    <row r="1459">
      <c r="A1459" s="4" t="inlineStr">
        <is>
          <t>406</t>
        </is>
      </c>
      <c r="B1459" s="4" t="n">
        <v>4</v>
      </c>
      <c r="C1459" s="4" t="inlineStr">
        <is>
          <t>mule deer</t>
        </is>
      </c>
      <c r="D1459" s="4" t="n">
        <v>2025</v>
      </c>
      <c r="E1459" s="13" t="inlineStr">
        <is>
          <t>General</t>
        </is>
      </c>
      <c r="F1459" s="5" t="n">
        <v>731</v>
      </c>
      <c r="G1459" s="5" t="n">
        <v>3305</v>
      </c>
      <c r="H1459" s="5" t="n">
        <v>239</v>
      </c>
      <c r="I1459" s="5" t="n">
        <v>158</v>
      </c>
      <c r="J1459" s="5" t="n">
        <v>81</v>
      </c>
      <c r="K1459" s="10">
        <f>IF(F1459&gt;0,H1459/F1459,"")</f>
        <v/>
      </c>
      <c r="L1459" s="16">
        <f>IF(AND(G1459&gt;0,H1459&gt;0),G1459/H1459,"")</f>
        <v/>
      </c>
    </row>
    <row r="1460">
      <c r="A1460" s="4" t="inlineStr">
        <is>
          <t>410</t>
        </is>
      </c>
      <c r="B1460" s="4" t="n">
        <v>4</v>
      </c>
      <c r="C1460" s="4" t="inlineStr">
        <is>
          <t>mule deer</t>
        </is>
      </c>
      <c r="D1460" s="4" t="n">
        <v>2021</v>
      </c>
      <c r="E1460" s="15" t="inlineStr">
        <is>
          <t>Draw</t>
        </is>
      </c>
      <c r="F1460" s="5" t="n">
        <v>2294</v>
      </c>
      <c r="G1460" s="5" t="n">
        <v>14143</v>
      </c>
      <c r="H1460" s="5" t="n">
        <v>538</v>
      </c>
      <c r="I1460" s="5" t="n">
        <v>425</v>
      </c>
      <c r="J1460" s="5" t="n">
        <v>113</v>
      </c>
      <c r="K1460" s="10">
        <f>IF(F1460&gt;0,H1460/F1460,"")</f>
        <v/>
      </c>
      <c r="L1460" s="16">
        <f>IF(AND(G1460&gt;0,H1460&gt;0),G1460/H1460,"")</f>
        <v/>
      </c>
    </row>
    <row r="1461">
      <c r="A1461" s="4" t="inlineStr">
        <is>
          <t>410</t>
        </is>
      </c>
      <c r="B1461" s="4" t="n">
        <v>4</v>
      </c>
      <c r="C1461" s="4" t="inlineStr">
        <is>
          <t>mule deer</t>
        </is>
      </c>
      <c r="D1461" s="4" t="n">
        <v>2022</v>
      </c>
      <c r="E1461" s="15" t="inlineStr">
        <is>
          <t>Draw</t>
        </is>
      </c>
      <c r="F1461" s="5" t="n"/>
      <c r="G1461" s="5" t="n"/>
      <c r="H1461" s="5" t="n">
        <v>418</v>
      </c>
      <c r="I1461" s="5" t="n">
        <v>340</v>
      </c>
      <c r="J1461" s="5" t="n">
        <v>75</v>
      </c>
      <c r="K1461" s="10">
        <f>IF(F1461&gt;0,H1461/F1461,"")</f>
        <v/>
      </c>
      <c r="L1461" s="16">
        <f>IF(AND(G1461&gt;0,H1461&gt;0),G1461/H1461,"")</f>
        <v/>
      </c>
    </row>
    <row r="1462">
      <c r="A1462" s="4" t="inlineStr">
        <is>
          <t>410</t>
        </is>
      </c>
      <c r="B1462" s="4" t="n">
        <v>4</v>
      </c>
      <c r="C1462" s="4" t="inlineStr">
        <is>
          <t>mule deer</t>
        </is>
      </c>
      <c r="D1462" s="4" t="n">
        <v>2023</v>
      </c>
      <c r="E1462" s="15" t="inlineStr">
        <is>
          <t>Draw</t>
        </is>
      </c>
      <c r="F1462" s="5" t="n">
        <v>1475</v>
      </c>
      <c r="G1462" s="5" t="n">
        <v>8791</v>
      </c>
      <c r="H1462" s="5" t="n">
        <v>373</v>
      </c>
      <c r="I1462" s="5" t="n">
        <v>345</v>
      </c>
      <c r="J1462" s="5" t="n">
        <v>27</v>
      </c>
      <c r="K1462" s="10">
        <f>IF(F1462&gt;0,H1462/F1462,"")</f>
        <v/>
      </c>
      <c r="L1462" s="16">
        <f>IF(AND(G1462&gt;0,H1462&gt;0),G1462/H1462,"")</f>
        <v/>
      </c>
    </row>
    <row r="1463">
      <c r="A1463" s="4" t="inlineStr">
        <is>
          <t>410</t>
        </is>
      </c>
      <c r="B1463" s="4" t="n">
        <v>4</v>
      </c>
      <c r="C1463" s="4" t="inlineStr">
        <is>
          <t>mule deer</t>
        </is>
      </c>
      <c r="D1463" s="4" t="n">
        <v>2024</v>
      </c>
      <c r="E1463" s="15" t="inlineStr">
        <is>
          <t>Draw</t>
        </is>
      </c>
      <c r="F1463" s="5" t="n"/>
      <c r="G1463" s="5" t="n"/>
      <c r="H1463" s="5" t="n">
        <v>79</v>
      </c>
      <c r="I1463" s="5" t="n">
        <v>74</v>
      </c>
      <c r="J1463" s="5" t="n">
        <v>5</v>
      </c>
      <c r="K1463" s="10">
        <f>IF(F1463&gt;0,H1463/F1463,"")</f>
        <v/>
      </c>
      <c r="L1463" s="16">
        <f>IF(AND(G1463&gt;0,H1463&gt;0),G1463/H1463,"")</f>
        <v/>
      </c>
    </row>
    <row r="1464">
      <c r="A1464" s="4" t="inlineStr">
        <is>
          <t>410</t>
        </is>
      </c>
      <c r="B1464" s="4" t="n">
        <v>4</v>
      </c>
      <c r="C1464" s="4" t="inlineStr">
        <is>
          <t>mule deer</t>
        </is>
      </c>
      <c r="D1464" s="4" t="n">
        <v>2025</v>
      </c>
      <c r="E1464" s="15" t="inlineStr">
        <is>
          <t>Draw</t>
        </is>
      </c>
      <c r="F1464" s="5" t="n">
        <v>505</v>
      </c>
      <c r="G1464" s="5" t="n">
        <v>3423</v>
      </c>
      <c r="H1464" s="5" t="n">
        <v>92</v>
      </c>
      <c r="I1464" s="5" t="n">
        <v>88</v>
      </c>
      <c r="J1464" s="5" t="n">
        <v>4</v>
      </c>
      <c r="K1464" s="10">
        <f>IF(F1464&gt;0,H1464/F1464,"")</f>
        <v/>
      </c>
      <c r="L1464" s="16">
        <f>IF(AND(G1464&gt;0,H1464&gt;0),G1464/H1464,"")</f>
        <v/>
      </c>
    </row>
    <row r="1465">
      <c r="A1465" s="4" t="inlineStr">
        <is>
          <t>411</t>
        </is>
      </c>
      <c r="B1465" s="4" t="n">
        <v>4</v>
      </c>
      <c r="C1465" s="4" t="inlineStr">
        <is>
          <t>mule deer</t>
        </is>
      </c>
      <c r="D1465" s="4" t="n">
        <v>2021</v>
      </c>
      <c r="E1465" s="13" t="inlineStr">
        <is>
          <t>General</t>
        </is>
      </c>
      <c r="F1465" s="5" t="n">
        <v>2654</v>
      </c>
      <c r="G1465" s="5" t="n">
        <v>15250</v>
      </c>
      <c r="H1465" s="5" t="n">
        <v>635</v>
      </c>
      <c r="I1465" s="5" t="n">
        <v>527</v>
      </c>
      <c r="J1465" s="5" t="n">
        <v>108</v>
      </c>
      <c r="K1465" s="10">
        <f>IF(F1465&gt;0,H1465/F1465,"")</f>
        <v/>
      </c>
      <c r="L1465" s="16">
        <f>IF(AND(G1465&gt;0,H1465&gt;0),G1465/H1465,"")</f>
        <v/>
      </c>
    </row>
    <row r="1466">
      <c r="A1466" s="4" t="inlineStr">
        <is>
          <t>411</t>
        </is>
      </c>
      <c r="B1466" s="4" t="n">
        <v>4</v>
      </c>
      <c r="C1466" s="4" t="inlineStr">
        <is>
          <t>mule deer</t>
        </is>
      </c>
      <c r="D1466" s="4" t="n">
        <v>2022</v>
      </c>
      <c r="E1466" s="13" t="inlineStr">
        <is>
          <t>General</t>
        </is>
      </c>
      <c r="F1466" s="5" t="n"/>
      <c r="G1466" s="5" t="n"/>
      <c r="H1466" s="5" t="n">
        <v>435</v>
      </c>
      <c r="I1466" s="5" t="n">
        <v>350</v>
      </c>
      <c r="J1466" s="5" t="n">
        <v>83</v>
      </c>
      <c r="K1466" s="10">
        <f>IF(F1466&gt;0,H1466/F1466,"")</f>
        <v/>
      </c>
      <c r="L1466" s="16">
        <f>IF(AND(G1466&gt;0,H1466&gt;0),G1466/H1466,"")</f>
        <v/>
      </c>
    </row>
    <row r="1467">
      <c r="A1467" s="4" t="inlineStr">
        <is>
          <t>411</t>
        </is>
      </c>
      <c r="B1467" s="4" t="n">
        <v>4</v>
      </c>
      <c r="C1467" s="4" t="inlineStr">
        <is>
          <t>mule deer</t>
        </is>
      </c>
      <c r="D1467" s="4" t="n">
        <v>2023</v>
      </c>
      <c r="E1467" s="13" t="inlineStr">
        <is>
          <t>General</t>
        </is>
      </c>
      <c r="F1467" s="5" t="n">
        <v>2390</v>
      </c>
      <c r="G1467" s="5" t="n">
        <v>13501</v>
      </c>
      <c r="H1467" s="5" t="n">
        <v>433</v>
      </c>
      <c r="I1467" s="5" t="n">
        <v>384</v>
      </c>
      <c r="J1467" s="5" t="n">
        <v>49</v>
      </c>
      <c r="K1467" s="10">
        <f>IF(F1467&gt;0,H1467/F1467,"")</f>
        <v/>
      </c>
      <c r="L1467" s="16">
        <f>IF(AND(G1467&gt;0,H1467&gt;0),G1467/H1467,"")</f>
        <v/>
      </c>
    </row>
    <row r="1468">
      <c r="A1468" s="4" t="inlineStr">
        <is>
          <t>411</t>
        </is>
      </c>
      <c r="B1468" s="4" t="n">
        <v>4</v>
      </c>
      <c r="C1468" s="4" t="inlineStr">
        <is>
          <t>mule deer</t>
        </is>
      </c>
      <c r="D1468" s="4" t="n">
        <v>2024</v>
      </c>
      <c r="E1468" s="13" t="inlineStr">
        <is>
          <t>General</t>
        </is>
      </c>
      <c r="F1468" s="5" t="n"/>
      <c r="G1468" s="5" t="n"/>
      <c r="H1468" s="5" t="n">
        <v>439</v>
      </c>
      <c r="I1468" s="5" t="n">
        <v>416</v>
      </c>
      <c r="J1468" s="5" t="n">
        <v>22</v>
      </c>
      <c r="K1468" s="10">
        <f>IF(F1468&gt;0,H1468/F1468,"")</f>
        <v/>
      </c>
      <c r="L1468" s="16">
        <f>IF(AND(G1468&gt;0,H1468&gt;0),G1468/H1468,"")</f>
        <v/>
      </c>
    </row>
    <row r="1469">
      <c r="A1469" s="4" t="inlineStr">
        <is>
          <t>411</t>
        </is>
      </c>
      <c r="B1469" s="4" t="n">
        <v>4</v>
      </c>
      <c r="C1469" s="4" t="inlineStr">
        <is>
          <t>mule deer</t>
        </is>
      </c>
      <c r="D1469" s="4" t="n">
        <v>2025</v>
      </c>
      <c r="E1469" s="13" t="inlineStr">
        <is>
          <t>General</t>
        </is>
      </c>
      <c r="F1469" s="5" t="n">
        <v>2383</v>
      </c>
      <c r="G1469" s="5" t="n">
        <v>14657</v>
      </c>
      <c r="H1469" s="5" t="n">
        <v>394</v>
      </c>
      <c r="I1469" s="5" t="n">
        <v>372</v>
      </c>
      <c r="J1469" s="5" t="n">
        <v>22</v>
      </c>
      <c r="K1469" s="10">
        <f>IF(F1469&gt;0,H1469/F1469,"")</f>
        <v/>
      </c>
      <c r="L1469" s="16">
        <f>IF(AND(G1469&gt;0,H1469&gt;0),G1469/H1469,"")</f>
        <v/>
      </c>
    </row>
    <row r="1470">
      <c r="A1470" s="4" t="inlineStr">
        <is>
          <t>412</t>
        </is>
      </c>
      <c r="B1470" s="4" t="n">
        <v>4</v>
      </c>
      <c r="C1470" s="4" t="inlineStr">
        <is>
          <t>mule deer</t>
        </is>
      </c>
      <c r="D1470" s="4" t="n">
        <v>2021</v>
      </c>
      <c r="E1470" s="13" t="inlineStr">
        <is>
          <t>General</t>
        </is>
      </c>
      <c r="F1470" s="5" t="n">
        <v>1508</v>
      </c>
      <c r="G1470" s="5" t="n">
        <v>7674</v>
      </c>
      <c r="H1470" s="5" t="n">
        <v>524</v>
      </c>
      <c r="I1470" s="5" t="n">
        <v>434</v>
      </c>
      <c r="J1470" s="5" t="n">
        <v>90</v>
      </c>
      <c r="K1470" s="10">
        <f>IF(F1470&gt;0,H1470/F1470,"")</f>
        <v/>
      </c>
      <c r="L1470" s="16">
        <f>IF(AND(G1470&gt;0,H1470&gt;0),G1470/H1470,"")</f>
        <v/>
      </c>
    </row>
    <row r="1471">
      <c r="A1471" s="4" t="inlineStr">
        <is>
          <t>412</t>
        </is>
      </c>
      <c r="B1471" s="4" t="n">
        <v>4</v>
      </c>
      <c r="C1471" s="4" t="inlineStr">
        <is>
          <t>mule deer</t>
        </is>
      </c>
      <c r="D1471" s="4" t="n">
        <v>2022</v>
      </c>
      <c r="E1471" s="13" t="inlineStr">
        <is>
          <t>General</t>
        </is>
      </c>
      <c r="F1471" s="5" t="n"/>
      <c r="G1471" s="5" t="n"/>
      <c r="H1471" s="5" t="n">
        <v>467</v>
      </c>
      <c r="I1471" s="5" t="n">
        <v>373</v>
      </c>
      <c r="J1471" s="5" t="n">
        <v>94</v>
      </c>
      <c r="K1471" s="10">
        <f>IF(F1471&gt;0,H1471/F1471,"")</f>
        <v/>
      </c>
      <c r="L1471" s="16">
        <f>IF(AND(G1471&gt;0,H1471&gt;0),G1471/H1471,"")</f>
        <v/>
      </c>
    </row>
    <row r="1472">
      <c r="A1472" s="4" t="inlineStr">
        <is>
          <t>412</t>
        </is>
      </c>
      <c r="B1472" s="4" t="n">
        <v>4</v>
      </c>
      <c r="C1472" s="4" t="inlineStr">
        <is>
          <t>mule deer</t>
        </is>
      </c>
      <c r="D1472" s="4" t="n">
        <v>2023</v>
      </c>
      <c r="E1472" s="13" t="inlineStr">
        <is>
          <t>General</t>
        </is>
      </c>
      <c r="F1472" s="5" t="n">
        <v>1421</v>
      </c>
      <c r="G1472" s="5" t="n">
        <v>7474</v>
      </c>
      <c r="H1472" s="5" t="n">
        <v>393</v>
      </c>
      <c r="I1472" s="5" t="n">
        <v>356</v>
      </c>
      <c r="J1472" s="5" t="n">
        <v>38</v>
      </c>
      <c r="K1472" s="10">
        <f>IF(F1472&gt;0,H1472/F1472,"")</f>
        <v/>
      </c>
      <c r="L1472" s="16">
        <f>IF(AND(G1472&gt;0,H1472&gt;0),G1472/H1472,"")</f>
        <v/>
      </c>
    </row>
    <row r="1473">
      <c r="A1473" s="4" t="inlineStr">
        <is>
          <t>412</t>
        </is>
      </c>
      <c r="B1473" s="4" t="n">
        <v>4</v>
      </c>
      <c r="C1473" s="4" t="inlineStr">
        <is>
          <t>mule deer</t>
        </is>
      </c>
      <c r="D1473" s="4" t="n">
        <v>2024</v>
      </c>
      <c r="E1473" s="13" t="inlineStr">
        <is>
          <t>General</t>
        </is>
      </c>
      <c r="F1473" s="5" t="n"/>
      <c r="G1473" s="5" t="n"/>
      <c r="H1473" s="5" t="n">
        <v>361</v>
      </c>
      <c r="I1473" s="5" t="n">
        <v>336</v>
      </c>
      <c r="J1473" s="5" t="n">
        <v>25</v>
      </c>
      <c r="K1473" s="10">
        <f>IF(F1473&gt;0,H1473/F1473,"")</f>
        <v/>
      </c>
      <c r="L1473" s="16">
        <f>IF(AND(G1473&gt;0,H1473&gt;0),G1473/H1473,"")</f>
        <v/>
      </c>
    </row>
    <row r="1474">
      <c r="A1474" s="4" t="inlineStr">
        <is>
          <t>412</t>
        </is>
      </c>
      <c r="B1474" s="4" t="n">
        <v>4</v>
      </c>
      <c r="C1474" s="4" t="inlineStr">
        <is>
          <t>mule deer</t>
        </is>
      </c>
      <c r="D1474" s="4" t="n">
        <v>2025</v>
      </c>
      <c r="E1474" s="13" t="inlineStr">
        <is>
          <t>General</t>
        </is>
      </c>
      <c r="F1474" s="5" t="n">
        <v>1139</v>
      </c>
      <c r="G1474" s="5" t="n">
        <v>6654</v>
      </c>
      <c r="H1474" s="5" t="n">
        <v>353</v>
      </c>
      <c r="I1474" s="5" t="n">
        <v>314</v>
      </c>
      <c r="J1474" s="5" t="n">
        <v>40</v>
      </c>
      <c r="K1474" s="10">
        <f>IF(F1474&gt;0,H1474/F1474,"")</f>
        <v/>
      </c>
      <c r="L1474" s="16">
        <f>IF(AND(G1474&gt;0,H1474&gt;0),G1474/H1474,"")</f>
        <v/>
      </c>
    </row>
    <row r="1475">
      <c r="A1475" s="4" t="inlineStr">
        <is>
          <t>413</t>
        </is>
      </c>
      <c r="B1475" s="4" t="n">
        <v>4</v>
      </c>
      <c r="C1475" s="4" t="inlineStr">
        <is>
          <t>mule deer</t>
        </is>
      </c>
      <c r="D1475" s="4" t="n">
        <v>2021</v>
      </c>
      <c r="E1475" s="13" t="inlineStr">
        <is>
          <t>General</t>
        </is>
      </c>
      <c r="F1475" s="5" t="n">
        <v>1901</v>
      </c>
      <c r="G1475" s="5" t="n">
        <v>9654</v>
      </c>
      <c r="H1475" s="5" t="n">
        <v>532</v>
      </c>
      <c r="I1475" s="5" t="n">
        <v>436</v>
      </c>
      <c r="J1475" s="5" t="n">
        <v>96</v>
      </c>
      <c r="K1475" s="10">
        <f>IF(F1475&gt;0,H1475/F1475,"")</f>
        <v/>
      </c>
      <c r="L1475" s="16">
        <f>IF(AND(G1475&gt;0,H1475&gt;0),G1475/H1475,"")</f>
        <v/>
      </c>
    </row>
    <row r="1476">
      <c r="A1476" s="4" t="inlineStr">
        <is>
          <t>413</t>
        </is>
      </c>
      <c r="B1476" s="4" t="n">
        <v>4</v>
      </c>
      <c r="C1476" s="4" t="inlineStr">
        <is>
          <t>mule deer</t>
        </is>
      </c>
      <c r="D1476" s="4" t="n">
        <v>2022</v>
      </c>
      <c r="E1476" s="13" t="inlineStr">
        <is>
          <t>General</t>
        </is>
      </c>
      <c r="F1476" s="5" t="n"/>
      <c r="G1476" s="5" t="n"/>
      <c r="H1476" s="5" t="n">
        <v>776</v>
      </c>
      <c r="I1476" s="5" t="n">
        <v>676</v>
      </c>
      <c r="J1476" s="5" t="n">
        <v>100</v>
      </c>
      <c r="K1476" s="10">
        <f>IF(F1476&gt;0,H1476/F1476,"")</f>
        <v/>
      </c>
      <c r="L1476" s="16">
        <f>IF(AND(G1476&gt;0,H1476&gt;0),G1476/H1476,"")</f>
        <v/>
      </c>
    </row>
    <row r="1477">
      <c r="A1477" s="4" t="inlineStr">
        <is>
          <t>413</t>
        </is>
      </c>
      <c r="B1477" s="4" t="n">
        <v>4</v>
      </c>
      <c r="C1477" s="4" t="inlineStr">
        <is>
          <t>mule deer</t>
        </is>
      </c>
      <c r="D1477" s="4" t="n">
        <v>2023</v>
      </c>
      <c r="E1477" s="13" t="inlineStr">
        <is>
          <t>General</t>
        </is>
      </c>
      <c r="F1477" s="5" t="n">
        <v>2783</v>
      </c>
      <c r="G1477" s="5" t="n">
        <v>15981</v>
      </c>
      <c r="H1477" s="5" t="n">
        <v>732</v>
      </c>
      <c r="I1477" s="5" t="n">
        <v>671</v>
      </c>
      <c r="J1477" s="5" t="n">
        <v>61</v>
      </c>
      <c r="K1477" s="10">
        <f>IF(F1477&gt;0,H1477/F1477,"")</f>
        <v/>
      </c>
      <c r="L1477" s="16">
        <f>IF(AND(G1477&gt;0,H1477&gt;0),G1477/H1477,"")</f>
        <v/>
      </c>
    </row>
    <row r="1478">
      <c r="A1478" s="4" t="inlineStr">
        <is>
          <t>413</t>
        </is>
      </c>
      <c r="B1478" s="4" t="n">
        <v>4</v>
      </c>
      <c r="C1478" s="4" t="inlineStr">
        <is>
          <t>mule deer</t>
        </is>
      </c>
      <c r="D1478" s="4" t="n">
        <v>2024</v>
      </c>
      <c r="E1478" s="13" t="inlineStr">
        <is>
          <t>General</t>
        </is>
      </c>
      <c r="F1478" s="5" t="n"/>
      <c r="G1478" s="5" t="n"/>
      <c r="H1478" s="5" t="n">
        <v>754</v>
      </c>
      <c r="I1478" s="5" t="n">
        <v>684</v>
      </c>
      <c r="J1478" s="5" t="n">
        <v>70</v>
      </c>
      <c r="K1478" s="10">
        <f>IF(F1478&gt;0,H1478/F1478,"")</f>
        <v/>
      </c>
      <c r="L1478" s="16">
        <f>IF(AND(G1478&gt;0,H1478&gt;0),G1478/H1478,"")</f>
        <v/>
      </c>
    </row>
    <row r="1479">
      <c r="A1479" s="4" t="inlineStr">
        <is>
          <t>413</t>
        </is>
      </c>
      <c r="B1479" s="4" t="n">
        <v>4</v>
      </c>
      <c r="C1479" s="4" t="inlineStr">
        <is>
          <t>mule deer</t>
        </is>
      </c>
      <c r="D1479" s="4" t="n">
        <v>2025</v>
      </c>
      <c r="E1479" s="13" t="inlineStr">
        <is>
          <t>General</t>
        </is>
      </c>
      <c r="F1479" s="5" t="n">
        <v>2609</v>
      </c>
      <c r="G1479" s="5" t="n">
        <v>17008</v>
      </c>
      <c r="H1479" s="5" t="n">
        <v>564</v>
      </c>
      <c r="I1479" s="5" t="n">
        <v>502</v>
      </c>
      <c r="J1479" s="5" t="n">
        <v>63</v>
      </c>
      <c r="K1479" s="10">
        <f>IF(F1479&gt;0,H1479/F1479,"")</f>
        <v/>
      </c>
      <c r="L1479" s="16">
        <f>IF(AND(G1479&gt;0,H1479&gt;0),G1479/H1479,"")</f>
        <v/>
      </c>
    </row>
    <row r="1480">
      <c r="A1480" s="4" t="inlineStr">
        <is>
          <t>415</t>
        </is>
      </c>
      <c r="B1480" s="4" t="n">
        <v>4</v>
      </c>
      <c r="C1480" s="4" t="inlineStr">
        <is>
          <t>mule deer</t>
        </is>
      </c>
      <c r="D1480" s="4" t="n">
        <v>2021</v>
      </c>
      <c r="E1480" s="13" t="inlineStr">
        <is>
          <t>General</t>
        </is>
      </c>
      <c r="F1480" s="5" t="n">
        <v>124</v>
      </c>
      <c r="G1480" s="5" t="n">
        <v>736</v>
      </c>
      <c r="H1480" s="5" t="n">
        <v>8</v>
      </c>
      <c r="I1480" s="5" t="n">
        <v>4</v>
      </c>
      <c r="J1480" s="5" t="n">
        <v>4</v>
      </c>
      <c r="K1480" s="10">
        <f>IF(F1480&gt;0,H1480/F1480,"")</f>
        <v/>
      </c>
      <c r="L1480" s="16">
        <f>IF(AND(G1480&gt;0,H1480&gt;0),G1480/H1480,"")</f>
        <v/>
      </c>
    </row>
    <row r="1481">
      <c r="A1481" s="4" t="inlineStr">
        <is>
          <t>415</t>
        </is>
      </c>
      <c r="B1481" s="4" t="n">
        <v>4</v>
      </c>
      <c r="C1481" s="4" t="inlineStr">
        <is>
          <t>mule deer</t>
        </is>
      </c>
      <c r="D1481" s="4" t="n">
        <v>2022</v>
      </c>
      <c r="E1481" s="13" t="inlineStr">
        <is>
          <t>General</t>
        </is>
      </c>
      <c r="F1481" s="5" t="n"/>
      <c r="G1481" s="5" t="n"/>
      <c r="H1481" s="5" t="n">
        <v>7</v>
      </c>
      <c r="I1481" s="5" t="n">
        <v>7</v>
      </c>
      <c r="J1481" s="5" t="n">
        <v>0</v>
      </c>
      <c r="K1481" s="10">
        <f>IF(F1481&gt;0,H1481/F1481,"")</f>
        <v/>
      </c>
      <c r="L1481" s="16">
        <f>IF(AND(G1481&gt;0,H1481&gt;0),G1481/H1481,"")</f>
        <v/>
      </c>
    </row>
    <row r="1482">
      <c r="A1482" s="4" t="inlineStr">
        <is>
          <t>415</t>
        </is>
      </c>
      <c r="B1482" s="4" t="n">
        <v>4</v>
      </c>
      <c r="C1482" s="4" t="inlineStr">
        <is>
          <t>mule deer</t>
        </is>
      </c>
      <c r="D1482" s="4" t="n">
        <v>2023</v>
      </c>
      <c r="E1482" s="13" t="inlineStr">
        <is>
          <t>General</t>
        </is>
      </c>
      <c r="F1482" s="5" t="n">
        <v>111</v>
      </c>
      <c r="G1482" s="5" t="n">
        <v>1201</v>
      </c>
      <c r="H1482" s="5" t="n">
        <v>24</v>
      </c>
      <c r="I1482" s="5" t="n">
        <v>24</v>
      </c>
      <c r="J1482" s="5" t="n">
        <v>0</v>
      </c>
      <c r="K1482" s="10">
        <f>IF(F1482&gt;0,H1482/F1482,"")</f>
        <v/>
      </c>
      <c r="L1482" s="16">
        <f>IF(AND(G1482&gt;0,H1482&gt;0),G1482/H1482,"")</f>
        <v/>
      </c>
    </row>
    <row r="1483">
      <c r="A1483" s="4" t="inlineStr">
        <is>
          <t>415</t>
        </is>
      </c>
      <c r="B1483" s="4" t="n">
        <v>4</v>
      </c>
      <c r="C1483" s="4" t="inlineStr">
        <is>
          <t>mule deer</t>
        </is>
      </c>
      <c r="D1483" s="4" t="n">
        <v>2024</v>
      </c>
      <c r="E1483" s="13" t="inlineStr">
        <is>
          <t>General</t>
        </is>
      </c>
      <c r="F1483" s="5" t="n"/>
      <c r="G1483" s="5" t="n"/>
      <c r="H1483" s="5" t="n">
        <v>18</v>
      </c>
      <c r="I1483" s="5" t="n">
        <v>15</v>
      </c>
      <c r="J1483" s="5" t="n">
        <v>3</v>
      </c>
      <c r="K1483" s="10">
        <f>IF(F1483&gt;0,H1483/F1483,"")</f>
        <v/>
      </c>
      <c r="L1483" s="16">
        <f>IF(AND(G1483&gt;0,H1483&gt;0),G1483/H1483,"")</f>
        <v/>
      </c>
    </row>
    <row r="1484">
      <c r="A1484" s="4" t="inlineStr">
        <is>
          <t>415</t>
        </is>
      </c>
      <c r="B1484" s="4" t="n">
        <v>4</v>
      </c>
      <c r="C1484" s="4" t="inlineStr">
        <is>
          <t>mule deer</t>
        </is>
      </c>
      <c r="D1484" s="4" t="n">
        <v>2025</v>
      </c>
      <c r="E1484" s="13" t="inlineStr">
        <is>
          <t>General</t>
        </is>
      </c>
      <c r="F1484" s="5" t="n">
        <v>102</v>
      </c>
      <c r="G1484" s="5" t="n">
        <v>539</v>
      </c>
      <c r="H1484" s="5" t="n">
        <v>11</v>
      </c>
      <c r="I1484" s="5" t="n">
        <v>11</v>
      </c>
      <c r="J1484" s="5" t="n">
        <v>0</v>
      </c>
      <c r="K1484" s="10">
        <f>IF(F1484&gt;0,H1484/F1484,"")</f>
        <v/>
      </c>
      <c r="L1484" s="16">
        <f>IF(AND(G1484&gt;0,H1484&gt;0),G1484/H1484,"")</f>
        <v/>
      </c>
    </row>
    <row r="1485">
      <c r="A1485" s="4" t="inlineStr">
        <is>
          <t>416</t>
        </is>
      </c>
      <c r="B1485" s="4" t="n">
        <v>4</v>
      </c>
      <c r="C1485" s="4" t="inlineStr">
        <is>
          <t>mule deer</t>
        </is>
      </c>
      <c r="D1485" s="4" t="n">
        <v>2021</v>
      </c>
      <c r="E1485" s="13" t="inlineStr">
        <is>
          <t>General</t>
        </is>
      </c>
      <c r="F1485" s="5" t="n">
        <v>1253</v>
      </c>
      <c r="G1485" s="5" t="n">
        <v>7860</v>
      </c>
      <c r="H1485" s="5" t="n">
        <v>247</v>
      </c>
      <c r="I1485" s="5" t="n">
        <v>236</v>
      </c>
      <c r="J1485" s="5" t="n">
        <v>11</v>
      </c>
      <c r="K1485" s="10">
        <f>IF(F1485&gt;0,H1485/F1485,"")</f>
        <v/>
      </c>
      <c r="L1485" s="16">
        <f>IF(AND(G1485&gt;0,H1485&gt;0),G1485/H1485,"")</f>
        <v/>
      </c>
    </row>
    <row r="1486">
      <c r="A1486" s="4" t="inlineStr">
        <is>
          <t>416</t>
        </is>
      </c>
      <c r="B1486" s="4" t="n">
        <v>4</v>
      </c>
      <c r="C1486" s="4" t="inlineStr">
        <is>
          <t>mule deer</t>
        </is>
      </c>
      <c r="D1486" s="4" t="n">
        <v>2022</v>
      </c>
      <c r="E1486" s="13" t="inlineStr">
        <is>
          <t>General</t>
        </is>
      </c>
      <c r="F1486" s="5" t="n"/>
      <c r="G1486" s="5" t="n"/>
      <c r="H1486" s="5" t="n">
        <v>353</v>
      </c>
      <c r="I1486" s="5" t="n">
        <v>343</v>
      </c>
      <c r="J1486" s="5" t="n">
        <v>10</v>
      </c>
      <c r="K1486" s="10">
        <f>IF(F1486&gt;0,H1486/F1486,"")</f>
        <v/>
      </c>
      <c r="L1486" s="16">
        <f>IF(AND(G1486&gt;0,H1486&gt;0),G1486/H1486,"")</f>
        <v/>
      </c>
    </row>
    <row r="1487">
      <c r="A1487" s="4" t="inlineStr">
        <is>
          <t>416</t>
        </is>
      </c>
      <c r="B1487" s="4" t="n">
        <v>4</v>
      </c>
      <c r="C1487" s="4" t="inlineStr">
        <is>
          <t>mule deer</t>
        </is>
      </c>
      <c r="D1487" s="4" t="n">
        <v>2023</v>
      </c>
      <c r="E1487" s="13" t="inlineStr">
        <is>
          <t>General</t>
        </is>
      </c>
      <c r="F1487" s="5" t="n">
        <v>1983</v>
      </c>
      <c r="G1487" s="5" t="n">
        <v>13043</v>
      </c>
      <c r="H1487" s="5" t="n">
        <v>319</v>
      </c>
      <c r="I1487" s="5" t="n">
        <v>317</v>
      </c>
      <c r="J1487" s="5" t="n">
        <v>2</v>
      </c>
      <c r="K1487" s="10">
        <f>IF(F1487&gt;0,H1487/F1487,"")</f>
        <v/>
      </c>
      <c r="L1487" s="16">
        <f>IF(AND(G1487&gt;0,H1487&gt;0),G1487/H1487,"")</f>
        <v/>
      </c>
    </row>
    <row r="1488">
      <c r="A1488" s="4" t="inlineStr">
        <is>
          <t>416</t>
        </is>
      </c>
      <c r="B1488" s="4" t="n">
        <v>4</v>
      </c>
      <c r="C1488" s="4" t="inlineStr">
        <is>
          <t>mule deer</t>
        </is>
      </c>
      <c r="D1488" s="4" t="n">
        <v>2024</v>
      </c>
      <c r="E1488" s="13" t="inlineStr">
        <is>
          <t>General</t>
        </is>
      </c>
      <c r="F1488" s="5" t="n"/>
      <c r="G1488" s="5" t="n"/>
      <c r="H1488" s="5" t="n">
        <v>291</v>
      </c>
      <c r="I1488" s="5" t="n">
        <v>276</v>
      </c>
      <c r="J1488" s="5" t="n">
        <v>15</v>
      </c>
      <c r="K1488" s="10">
        <f>IF(F1488&gt;0,H1488/F1488,"")</f>
        <v/>
      </c>
      <c r="L1488" s="16">
        <f>IF(AND(G1488&gt;0,H1488&gt;0),G1488/H1488,"")</f>
        <v/>
      </c>
    </row>
    <row r="1489">
      <c r="A1489" s="4" t="inlineStr">
        <is>
          <t>416</t>
        </is>
      </c>
      <c r="B1489" s="4" t="n">
        <v>4</v>
      </c>
      <c r="C1489" s="4" t="inlineStr">
        <is>
          <t>mule deer</t>
        </is>
      </c>
      <c r="D1489" s="4" t="n">
        <v>2025</v>
      </c>
      <c r="E1489" s="13" t="inlineStr">
        <is>
          <t>General</t>
        </is>
      </c>
      <c r="F1489" s="5" t="n">
        <v>1750</v>
      </c>
      <c r="G1489" s="5" t="n">
        <v>13203</v>
      </c>
      <c r="H1489" s="5" t="n">
        <v>267</v>
      </c>
      <c r="I1489" s="5" t="n">
        <v>267</v>
      </c>
      <c r="J1489" s="5" t="n">
        <v>0</v>
      </c>
      <c r="K1489" s="10">
        <f>IF(F1489&gt;0,H1489/F1489,"")</f>
        <v/>
      </c>
      <c r="L1489" s="16">
        <f>IF(AND(G1489&gt;0,H1489&gt;0),G1489/H1489,"")</f>
        <v/>
      </c>
    </row>
    <row r="1490">
      <c r="A1490" s="4" t="inlineStr">
        <is>
          <t>417</t>
        </is>
      </c>
      <c r="B1490" s="4" t="n">
        <v>4</v>
      </c>
      <c r="C1490" s="4" t="inlineStr">
        <is>
          <t>mule deer</t>
        </is>
      </c>
      <c r="D1490" s="4" t="n">
        <v>2021</v>
      </c>
      <c r="E1490" s="15" t="inlineStr">
        <is>
          <t>Draw</t>
        </is>
      </c>
      <c r="F1490" s="5" t="n">
        <v>1161</v>
      </c>
      <c r="G1490" s="5" t="n">
        <v>6617</v>
      </c>
      <c r="H1490" s="5" t="n">
        <v>519</v>
      </c>
      <c r="I1490" s="5" t="n">
        <v>402</v>
      </c>
      <c r="J1490" s="5" t="n">
        <v>117</v>
      </c>
      <c r="K1490" s="10">
        <f>IF(F1490&gt;0,H1490/F1490,"")</f>
        <v/>
      </c>
      <c r="L1490" s="16">
        <f>IF(AND(G1490&gt;0,H1490&gt;0),G1490/H1490,"")</f>
        <v/>
      </c>
    </row>
    <row r="1491">
      <c r="A1491" s="4" t="inlineStr">
        <is>
          <t>417</t>
        </is>
      </c>
      <c r="B1491" s="4" t="n">
        <v>4</v>
      </c>
      <c r="C1491" s="4" t="inlineStr">
        <is>
          <t>mule deer</t>
        </is>
      </c>
      <c r="D1491" s="4" t="n">
        <v>2022</v>
      </c>
      <c r="E1491" s="15" t="inlineStr">
        <is>
          <t>Draw</t>
        </is>
      </c>
      <c r="F1491" s="5" t="n"/>
      <c r="G1491" s="5" t="n"/>
      <c r="H1491" s="5" t="n">
        <v>339</v>
      </c>
      <c r="I1491" s="5" t="n">
        <v>287</v>
      </c>
      <c r="J1491" s="5" t="n">
        <v>51</v>
      </c>
      <c r="K1491" s="10">
        <f>IF(F1491&gt;0,H1491/F1491,"")</f>
        <v/>
      </c>
      <c r="L1491" s="16">
        <f>IF(AND(G1491&gt;0,H1491&gt;0),G1491/H1491,"")</f>
        <v/>
      </c>
    </row>
    <row r="1492">
      <c r="A1492" s="4" t="inlineStr">
        <is>
          <t>417</t>
        </is>
      </c>
      <c r="B1492" s="4" t="n">
        <v>4</v>
      </c>
      <c r="C1492" s="4" t="inlineStr">
        <is>
          <t>mule deer</t>
        </is>
      </c>
      <c r="D1492" s="4" t="n">
        <v>2023</v>
      </c>
      <c r="E1492" s="15" t="inlineStr">
        <is>
          <t>Draw</t>
        </is>
      </c>
      <c r="F1492" s="5" t="n">
        <v>750</v>
      </c>
      <c r="G1492" s="5" t="n">
        <v>4498</v>
      </c>
      <c r="H1492" s="5" t="n">
        <v>262</v>
      </c>
      <c r="I1492" s="5" t="n">
        <v>238</v>
      </c>
      <c r="J1492" s="5" t="n">
        <v>24</v>
      </c>
      <c r="K1492" s="10">
        <f>IF(F1492&gt;0,H1492/F1492,"")</f>
        <v/>
      </c>
      <c r="L1492" s="16">
        <f>IF(AND(G1492&gt;0,H1492&gt;0),G1492/H1492,"")</f>
        <v/>
      </c>
    </row>
    <row r="1493">
      <c r="A1493" s="4" t="inlineStr">
        <is>
          <t>417</t>
        </is>
      </c>
      <c r="B1493" s="4" t="n">
        <v>4</v>
      </c>
      <c r="C1493" s="4" t="inlineStr">
        <is>
          <t>mule deer</t>
        </is>
      </c>
      <c r="D1493" s="4" t="n">
        <v>2024</v>
      </c>
      <c r="E1493" s="15" t="inlineStr">
        <is>
          <t>Draw</t>
        </is>
      </c>
      <c r="F1493" s="5" t="n"/>
      <c r="G1493" s="5" t="n"/>
      <c r="H1493" s="5" t="n">
        <v>74</v>
      </c>
      <c r="I1493" s="5" t="n">
        <v>70</v>
      </c>
      <c r="J1493" s="5" t="n">
        <v>3</v>
      </c>
      <c r="K1493" s="10">
        <f>IF(F1493&gt;0,H1493/F1493,"")</f>
        <v/>
      </c>
      <c r="L1493" s="16">
        <f>IF(AND(G1493&gt;0,H1493&gt;0),G1493/H1493,"")</f>
        <v/>
      </c>
    </row>
    <row r="1494">
      <c r="A1494" s="4" t="inlineStr">
        <is>
          <t>417</t>
        </is>
      </c>
      <c r="B1494" s="4" t="n">
        <v>4</v>
      </c>
      <c r="C1494" s="4" t="inlineStr">
        <is>
          <t>mule deer</t>
        </is>
      </c>
      <c r="D1494" s="4" t="n">
        <v>2025</v>
      </c>
      <c r="E1494" s="15" t="inlineStr">
        <is>
          <t>Draw</t>
        </is>
      </c>
      <c r="F1494" s="5" t="n">
        <v>253</v>
      </c>
      <c r="G1494" s="5" t="n">
        <v>1366</v>
      </c>
      <c r="H1494" s="5" t="n">
        <v>93</v>
      </c>
      <c r="I1494" s="5" t="n">
        <v>84</v>
      </c>
      <c r="J1494" s="5" t="n">
        <v>9</v>
      </c>
      <c r="K1494" s="10">
        <f>IF(F1494&gt;0,H1494/F1494,"")</f>
        <v/>
      </c>
      <c r="L1494" s="16">
        <f>IF(AND(G1494&gt;0,H1494&gt;0),G1494/H1494,"")</f>
        <v/>
      </c>
    </row>
    <row r="1495">
      <c r="A1495" s="4" t="inlineStr">
        <is>
          <t>418</t>
        </is>
      </c>
      <c r="B1495" s="4" t="n">
        <v>4</v>
      </c>
      <c r="C1495" s="4" t="inlineStr">
        <is>
          <t>mule deer</t>
        </is>
      </c>
      <c r="D1495" s="4" t="n">
        <v>2021</v>
      </c>
      <c r="E1495" s="13" t="inlineStr">
        <is>
          <t>General</t>
        </is>
      </c>
      <c r="F1495" s="5" t="n">
        <v>541</v>
      </c>
      <c r="G1495" s="5" t="n">
        <v>3602</v>
      </c>
      <c r="H1495" s="5" t="n">
        <v>163</v>
      </c>
      <c r="I1495" s="5" t="n">
        <v>159</v>
      </c>
      <c r="J1495" s="5" t="n">
        <v>4</v>
      </c>
      <c r="K1495" s="10">
        <f>IF(F1495&gt;0,H1495/F1495,"")</f>
        <v/>
      </c>
      <c r="L1495" s="16">
        <f>IF(AND(G1495&gt;0,H1495&gt;0),G1495/H1495,"")</f>
        <v/>
      </c>
    </row>
    <row r="1496">
      <c r="A1496" s="4" t="inlineStr">
        <is>
          <t>418</t>
        </is>
      </c>
      <c r="B1496" s="4" t="n">
        <v>4</v>
      </c>
      <c r="C1496" s="4" t="inlineStr">
        <is>
          <t>mule deer</t>
        </is>
      </c>
      <c r="D1496" s="4" t="n">
        <v>2022</v>
      </c>
      <c r="E1496" s="13" t="inlineStr">
        <is>
          <t>General</t>
        </is>
      </c>
      <c r="F1496" s="5" t="n"/>
      <c r="G1496" s="5" t="n"/>
      <c r="H1496" s="5" t="n">
        <v>97</v>
      </c>
      <c r="I1496" s="5" t="n">
        <v>87</v>
      </c>
      <c r="J1496" s="5" t="n">
        <v>10</v>
      </c>
      <c r="K1496" s="10">
        <f>IF(F1496&gt;0,H1496/F1496,"")</f>
        <v/>
      </c>
      <c r="L1496" s="16">
        <f>IF(AND(G1496&gt;0,H1496&gt;0),G1496/H1496,"")</f>
        <v/>
      </c>
    </row>
    <row r="1497">
      <c r="A1497" s="4" t="inlineStr">
        <is>
          <t>418</t>
        </is>
      </c>
      <c r="B1497" s="4" t="n">
        <v>4</v>
      </c>
      <c r="C1497" s="4" t="inlineStr">
        <is>
          <t>mule deer</t>
        </is>
      </c>
      <c r="D1497" s="4" t="n">
        <v>2023</v>
      </c>
      <c r="E1497" s="13" t="inlineStr">
        <is>
          <t>General</t>
        </is>
      </c>
      <c r="F1497" s="5" t="n">
        <v>493</v>
      </c>
      <c r="G1497" s="5" t="n">
        <v>2643</v>
      </c>
      <c r="H1497" s="5" t="n">
        <v>105</v>
      </c>
      <c r="I1497" s="5" t="n">
        <v>100</v>
      </c>
      <c r="J1497" s="5" t="n">
        <v>6</v>
      </c>
      <c r="K1497" s="10">
        <f>IF(F1497&gt;0,H1497/F1497,"")</f>
        <v/>
      </c>
      <c r="L1497" s="16">
        <f>IF(AND(G1497&gt;0,H1497&gt;0),G1497/H1497,"")</f>
        <v/>
      </c>
    </row>
    <row r="1498">
      <c r="A1498" s="4" t="inlineStr">
        <is>
          <t>418</t>
        </is>
      </c>
      <c r="B1498" s="4" t="n">
        <v>4</v>
      </c>
      <c r="C1498" s="4" t="inlineStr">
        <is>
          <t>mule deer</t>
        </is>
      </c>
      <c r="D1498" s="4" t="n">
        <v>2024</v>
      </c>
      <c r="E1498" s="13" t="inlineStr">
        <is>
          <t>General</t>
        </is>
      </c>
      <c r="F1498" s="5" t="n"/>
      <c r="G1498" s="5" t="n"/>
      <c r="H1498" s="5" t="n">
        <v>150</v>
      </c>
      <c r="I1498" s="5" t="n">
        <v>150</v>
      </c>
      <c r="J1498" s="5" t="n">
        <v>0</v>
      </c>
      <c r="K1498" s="10">
        <f>IF(F1498&gt;0,H1498/F1498,"")</f>
        <v/>
      </c>
      <c r="L1498" s="16">
        <f>IF(AND(G1498&gt;0,H1498&gt;0),G1498/H1498,"")</f>
        <v/>
      </c>
    </row>
    <row r="1499">
      <c r="A1499" s="4" t="inlineStr">
        <is>
          <t>418</t>
        </is>
      </c>
      <c r="B1499" s="4" t="n">
        <v>4</v>
      </c>
      <c r="C1499" s="4" t="inlineStr">
        <is>
          <t>mule deer</t>
        </is>
      </c>
      <c r="D1499" s="4" t="n">
        <v>2025</v>
      </c>
      <c r="E1499" s="13" t="inlineStr">
        <is>
          <t>General</t>
        </is>
      </c>
      <c r="F1499" s="5" t="n">
        <v>495</v>
      </c>
      <c r="G1499" s="5" t="n">
        <v>4579</v>
      </c>
      <c r="H1499" s="5" t="n">
        <v>119</v>
      </c>
      <c r="I1499" s="5" t="n">
        <v>116</v>
      </c>
      <c r="J1499" s="5" t="n">
        <v>3</v>
      </c>
      <c r="K1499" s="10">
        <f>IF(F1499&gt;0,H1499/F1499,"")</f>
        <v/>
      </c>
      <c r="L1499" s="16">
        <f>IF(AND(G1499&gt;0,H1499&gt;0),G1499/H1499,"")</f>
        <v/>
      </c>
    </row>
    <row r="1500">
      <c r="A1500" s="4" t="inlineStr">
        <is>
          <t>419</t>
        </is>
      </c>
      <c r="B1500" s="4" t="n">
        <v>4</v>
      </c>
      <c r="C1500" s="4" t="inlineStr">
        <is>
          <t>mule deer</t>
        </is>
      </c>
      <c r="D1500" s="4" t="n">
        <v>2021</v>
      </c>
      <c r="E1500" s="13" t="inlineStr">
        <is>
          <t>General</t>
        </is>
      </c>
      <c r="F1500" s="5" t="n">
        <v>561</v>
      </c>
      <c r="G1500" s="5" t="n">
        <v>2567</v>
      </c>
      <c r="H1500" s="5" t="n">
        <v>234</v>
      </c>
      <c r="I1500" s="5" t="n">
        <v>200</v>
      </c>
      <c r="J1500" s="5" t="n">
        <v>34</v>
      </c>
      <c r="K1500" s="10">
        <f>IF(F1500&gt;0,H1500/F1500,"")</f>
        <v/>
      </c>
      <c r="L1500" s="16">
        <f>IF(AND(G1500&gt;0,H1500&gt;0),G1500/H1500,"")</f>
        <v/>
      </c>
    </row>
    <row r="1501">
      <c r="A1501" s="4" t="inlineStr">
        <is>
          <t>419</t>
        </is>
      </c>
      <c r="B1501" s="4" t="n">
        <v>4</v>
      </c>
      <c r="C1501" s="4" t="inlineStr">
        <is>
          <t>mule deer</t>
        </is>
      </c>
      <c r="D1501" s="4" t="n">
        <v>2022</v>
      </c>
      <c r="E1501" s="13" t="inlineStr">
        <is>
          <t>General</t>
        </is>
      </c>
      <c r="F1501" s="5" t="n"/>
      <c r="G1501" s="5" t="n"/>
      <c r="H1501" s="5" t="n">
        <v>242</v>
      </c>
      <c r="I1501" s="5" t="n">
        <v>204</v>
      </c>
      <c r="J1501" s="5" t="n">
        <v>38</v>
      </c>
      <c r="K1501" s="10">
        <f>IF(F1501&gt;0,H1501/F1501,"")</f>
        <v/>
      </c>
      <c r="L1501" s="16">
        <f>IF(AND(G1501&gt;0,H1501&gt;0),G1501/H1501,"")</f>
        <v/>
      </c>
    </row>
    <row r="1502">
      <c r="A1502" s="4" t="inlineStr">
        <is>
          <t>419</t>
        </is>
      </c>
      <c r="B1502" s="4" t="n">
        <v>4</v>
      </c>
      <c r="C1502" s="4" t="inlineStr">
        <is>
          <t>mule deer</t>
        </is>
      </c>
      <c r="D1502" s="4" t="n">
        <v>2023</v>
      </c>
      <c r="E1502" s="13" t="inlineStr">
        <is>
          <t>General</t>
        </is>
      </c>
      <c r="F1502" s="5" t="n">
        <v>648</v>
      </c>
      <c r="G1502" s="5" t="n">
        <v>3354</v>
      </c>
      <c r="H1502" s="5" t="n">
        <v>255</v>
      </c>
      <c r="I1502" s="5" t="n">
        <v>229</v>
      </c>
      <c r="J1502" s="5" t="n">
        <v>26</v>
      </c>
      <c r="K1502" s="10">
        <f>IF(F1502&gt;0,H1502/F1502,"")</f>
        <v/>
      </c>
      <c r="L1502" s="16">
        <f>IF(AND(G1502&gt;0,H1502&gt;0),G1502/H1502,"")</f>
        <v/>
      </c>
    </row>
    <row r="1503">
      <c r="A1503" s="4" t="inlineStr">
        <is>
          <t>419</t>
        </is>
      </c>
      <c r="B1503" s="4" t="n">
        <v>4</v>
      </c>
      <c r="C1503" s="4" t="inlineStr">
        <is>
          <t>mule deer</t>
        </is>
      </c>
      <c r="D1503" s="4" t="n">
        <v>2024</v>
      </c>
      <c r="E1503" s="13" t="inlineStr">
        <is>
          <t>General</t>
        </is>
      </c>
      <c r="F1503" s="5" t="n"/>
      <c r="G1503" s="5" t="n"/>
      <c r="H1503" s="5" t="n">
        <v>316</v>
      </c>
      <c r="I1503" s="5" t="n">
        <v>290</v>
      </c>
      <c r="J1503" s="5" t="n">
        <v>26</v>
      </c>
      <c r="K1503" s="10">
        <f>IF(F1503&gt;0,H1503/F1503,"")</f>
        <v/>
      </c>
      <c r="L1503" s="16">
        <f>IF(AND(G1503&gt;0,H1503&gt;0),G1503/H1503,"")</f>
        <v/>
      </c>
    </row>
    <row r="1504">
      <c r="A1504" s="4" t="inlineStr">
        <is>
          <t>419</t>
        </is>
      </c>
      <c r="B1504" s="4" t="n">
        <v>4</v>
      </c>
      <c r="C1504" s="4" t="inlineStr">
        <is>
          <t>mule deer</t>
        </is>
      </c>
      <c r="D1504" s="4" t="n">
        <v>2025</v>
      </c>
      <c r="E1504" s="13" t="inlineStr">
        <is>
          <t>General</t>
        </is>
      </c>
      <c r="F1504" s="5" t="n">
        <v>861</v>
      </c>
      <c r="G1504" s="5" t="n">
        <v>4469</v>
      </c>
      <c r="H1504" s="5" t="n">
        <v>278</v>
      </c>
      <c r="I1504" s="5" t="n">
        <v>257</v>
      </c>
      <c r="J1504" s="5" t="n">
        <v>19</v>
      </c>
      <c r="K1504" s="10">
        <f>IF(F1504&gt;0,H1504/F1504,"")</f>
        <v/>
      </c>
      <c r="L1504" s="16">
        <f>IF(AND(G1504&gt;0,H1504&gt;0),G1504/H1504,"")</f>
        <v/>
      </c>
    </row>
    <row r="1505">
      <c r="A1505" s="4" t="inlineStr">
        <is>
          <t>420</t>
        </is>
      </c>
      <c r="B1505" s="4" t="n">
        <v>4</v>
      </c>
      <c r="C1505" s="4" t="inlineStr">
        <is>
          <t>mule deer</t>
        </is>
      </c>
      <c r="D1505" s="4" t="n">
        <v>2021</v>
      </c>
      <c r="E1505" s="13" t="inlineStr">
        <is>
          <t>General</t>
        </is>
      </c>
      <c r="F1505" s="5" t="n">
        <v>300</v>
      </c>
      <c r="G1505" s="5" t="n">
        <v>1981</v>
      </c>
      <c r="H1505" s="5" t="n">
        <v>81</v>
      </c>
      <c r="I1505" s="5" t="n">
        <v>81</v>
      </c>
      <c r="J1505" s="5" t="n">
        <v>0</v>
      </c>
      <c r="K1505" s="10">
        <f>IF(F1505&gt;0,H1505/F1505,"")</f>
        <v/>
      </c>
      <c r="L1505" s="16">
        <f>IF(AND(G1505&gt;0,H1505&gt;0),G1505/H1505,"")</f>
        <v/>
      </c>
    </row>
    <row r="1506">
      <c r="A1506" s="4" t="inlineStr">
        <is>
          <t>420</t>
        </is>
      </c>
      <c r="B1506" s="4" t="n">
        <v>4</v>
      </c>
      <c r="C1506" s="4" t="inlineStr">
        <is>
          <t>mule deer</t>
        </is>
      </c>
      <c r="D1506" s="4" t="n">
        <v>2022</v>
      </c>
      <c r="E1506" s="13" t="inlineStr">
        <is>
          <t>General</t>
        </is>
      </c>
      <c r="F1506" s="5" t="n"/>
      <c r="G1506" s="5" t="n"/>
      <c r="H1506" s="5" t="n">
        <v>40</v>
      </c>
      <c r="I1506" s="5" t="n">
        <v>36</v>
      </c>
      <c r="J1506" s="5" t="n">
        <v>3</v>
      </c>
      <c r="K1506" s="10">
        <f>IF(F1506&gt;0,H1506/F1506,"")</f>
        <v/>
      </c>
      <c r="L1506" s="16">
        <f>IF(AND(G1506&gt;0,H1506&gt;0),G1506/H1506,"")</f>
        <v/>
      </c>
    </row>
    <row r="1507">
      <c r="A1507" s="4" t="inlineStr">
        <is>
          <t>420</t>
        </is>
      </c>
      <c r="B1507" s="4" t="n">
        <v>4</v>
      </c>
      <c r="C1507" s="4" t="inlineStr">
        <is>
          <t>mule deer</t>
        </is>
      </c>
      <c r="D1507" s="4" t="n">
        <v>2023</v>
      </c>
      <c r="E1507" s="13" t="inlineStr">
        <is>
          <t>General</t>
        </is>
      </c>
      <c r="F1507" s="5" t="n">
        <v>332</v>
      </c>
      <c r="G1507" s="5" t="n">
        <v>1921</v>
      </c>
      <c r="H1507" s="5" t="n">
        <v>66</v>
      </c>
      <c r="I1507" s="5" t="n">
        <v>60</v>
      </c>
      <c r="J1507" s="5" t="n">
        <v>7</v>
      </c>
      <c r="K1507" s="10">
        <f>IF(F1507&gt;0,H1507/F1507,"")</f>
        <v/>
      </c>
      <c r="L1507" s="16">
        <f>IF(AND(G1507&gt;0,H1507&gt;0),G1507/H1507,"")</f>
        <v/>
      </c>
    </row>
    <row r="1508">
      <c r="A1508" s="4" t="inlineStr">
        <is>
          <t>420</t>
        </is>
      </c>
      <c r="B1508" s="4" t="n">
        <v>4</v>
      </c>
      <c r="C1508" s="4" t="inlineStr">
        <is>
          <t>mule deer</t>
        </is>
      </c>
      <c r="D1508" s="4" t="n">
        <v>2024</v>
      </c>
      <c r="E1508" s="13" t="inlineStr">
        <is>
          <t>General</t>
        </is>
      </c>
      <c r="F1508" s="5" t="n"/>
      <c r="G1508" s="5" t="n"/>
      <c r="H1508" s="5" t="n">
        <v>71</v>
      </c>
      <c r="I1508" s="5" t="n">
        <v>69</v>
      </c>
      <c r="J1508" s="5" t="n">
        <v>3</v>
      </c>
      <c r="K1508" s="10">
        <f>IF(F1508&gt;0,H1508/F1508,"")</f>
        <v/>
      </c>
      <c r="L1508" s="16">
        <f>IF(AND(G1508&gt;0,H1508&gt;0),G1508/H1508,"")</f>
        <v/>
      </c>
    </row>
    <row r="1509">
      <c r="A1509" s="4" t="inlineStr">
        <is>
          <t>420</t>
        </is>
      </c>
      <c r="B1509" s="4" t="n">
        <v>4</v>
      </c>
      <c r="C1509" s="4" t="inlineStr">
        <is>
          <t>mule deer</t>
        </is>
      </c>
      <c r="D1509" s="4" t="n">
        <v>2025</v>
      </c>
      <c r="E1509" s="13" t="inlineStr">
        <is>
          <t>General</t>
        </is>
      </c>
      <c r="F1509" s="5" t="n">
        <v>382</v>
      </c>
      <c r="G1509" s="5" t="n">
        <v>2558</v>
      </c>
      <c r="H1509" s="5" t="n">
        <v>78</v>
      </c>
      <c r="I1509" s="5" t="n">
        <v>72</v>
      </c>
      <c r="J1509" s="5" t="n">
        <v>6</v>
      </c>
      <c r="K1509" s="10">
        <f>IF(F1509&gt;0,H1509/F1509,"")</f>
        <v/>
      </c>
      <c r="L1509" s="16">
        <f>IF(AND(G1509&gt;0,H1509&gt;0),G1509/H1509,"")</f>
        <v/>
      </c>
    </row>
    <row r="1510">
      <c r="A1510" s="4" t="inlineStr">
        <is>
          <t>421</t>
        </is>
      </c>
      <c r="B1510" s="4" t="n">
        <v>4</v>
      </c>
      <c r="C1510" s="4" t="inlineStr">
        <is>
          <t>mule deer</t>
        </is>
      </c>
      <c r="D1510" s="4" t="n">
        <v>2021</v>
      </c>
      <c r="E1510" s="13" t="inlineStr">
        <is>
          <t>General</t>
        </is>
      </c>
      <c r="F1510" s="5" t="n">
        <v>741</v>
      </c>
      <c r="G1510" s="5" t="n">
        <v>3178</v>
      </c>
      <c r="H1510" s="5" t="n">
        <v>185</v>
      </c>
      <c r="I1510" s="5" t="n">
        <v>157</v>
      </c>
      <c r="J1510" s="5" t="n">
        <v>28</v>
      </c>
      <c r="K1510" s="10">
        <f>IF(F1510&gt;0,H1510/F1510,"")</f>
        <v/>
      </c>
      <c r="L1510" s="16">
        <f>IF(AND(G1510&gt;0,H1510&gt;0),G1510/H1510,"")</f>
        <v/>
      </c>
    </row>
    <row r="1511">
      <c r="A1511" s="4" t="inlineStr">
        <is>
          <t>421</t>
        </is>
      </c>
      <c r="B1511" s="4" t="n">
        <v>4</v>
      </c>
      <c r="C1511" s="4" t="inlineStr">
        <is>
          <t>mule deer</t>
        </is>
      </c>
      <c r="D1511" s="4" t="n">
        <v>2022</v>
      </c>
      <c r="E1511" s="13" t="inlineStr">
        <is>
          <t>General</t>
        </is>
      </c>
      <c r="F1511" s="5" t="n"/>
      <c r="G1511" s="5" t="n"/>
      <c r="H1511" s="5" t="n">
        <v>296</v>
      </c>
      <c r="I1511" s="5" t="n">
        <v>273</v>
      </c>
      <c r="J1511" s="5" t="n">
        <v>23</v>
      </c>
      <c r="K1511" s="10">
        <f>IF(F1511&gt;0,H1511/F1511,"")</f>
        <v/>
      </c>
      <c r="L1511" s="16">
        <f>IF(AND(G1511&gt;0,H1511&gt;0),G1511/H1511,"")</f>
        <v/>
      </c>
    </row>
    <row r="1512">
      <c r="A1512" s="4" t="inlineStr">
        <is>
          <t>421</t>
        </is>
      </c>
      <c r="B1512" s="4" t="n">
        <v>4</v>
      </c>
      <c r="C1512" s="4" t="inlineStr">
        <is>
          <t>mule deer</t>
        </is>
      </c>
      <c r="D1512" s="4" t="n">
        <v>2023</v>
      </c>
      <c r="E1512" s="13" t="inlineStr">
        <is>
          <t>General</t>
        </is>
      </c>
      <c r="F1512" s="5" t="n">
        <v>1313</v>
      </c>
      <c r="G1512" s="5" t="n">
        <v>7340</v>
      </c>
      <c r="H1512" s="5" t="n">
        <v>370</v>
      </c>
      <c r="I1512" s="5" t="n">
        <v>300</v>
      </c>
      <c r="J1512" s="5" t="n">
        <v>70</v>
      </c>
      <c r="K1512" s="10">
        <f>IF(F1512&gt;0,H1512/F1512,"")</f>
        <v/>
      </c>
      <c r="L1512" s="16">
        <f>IF(AND(G1512&gt;0,H1512&gt;0),G1512/H1512,"")</f>
        <v/>
      </c>
    </row>
    <row r="1513">
      <c r="A1513" s="4" t="inlineStr">
        <is>
          <t>421</t>
        </is>
      </c>
      <c r="B1513" s="4" t="n">
        <v>4</v>
      </c>
      <c r="C1513" s="4" t="inlineStr">
        <is>
          <t>mule deer</t>
        </is>
      </c>
      <c r="D1513" s="4" t="n">
        <v>2024</v>
      </c>
      <c r="E1513" s="13" t="inlineStr">
        <is>
          <t>General</t>
        </is>
      </c>
      <c r="F1513" s="5" t="n"/>
      <c r="G1513" s="5" t="n"/>
      <c r="H1513" s="5" t="n">
        <v>413</v>
      </c>
      <c r="I1513" s="5" t="n">
        <v>352</v>
      </c>
      <c r="J1513" s="5" t="n">
        <v>61</v>
      </c>
      <c r="K1513" s="10">
        <f>IF(F1513&gt;0,H1513/F1513,"")</f>
        <v/>
      </c>
      <c r="L1513" s="16">
        <f>IF(AND(G1513&gt;0,H1513&gt;0),G1513/H1513,"")</f>
        <v/>
      </c>
    </row>
    <row r="1514">
      <c r="A1514" s="4" t="inlineStr">
        <is>
          <t>421</t>
        </is>
      </c>
      <c r="B1514" s="4" t="n">
        <v>4</v>
      </c>
      <c r="C1514" s="4" t="inlineStr">
        <is>
          <t>mule deer</t>
        </is>
      </c>
      <c r="D1514" s="4" t="n">
        <v>2025</v>
      </c>
      <c r="E1514" s="13" t="inlineStr">
        <is>
          <t>General</t>
        </is>
      </c>
      <c r="F1514" s="5" t="n">
        <v>1325</v>
      </c>
      <c r="G1514" s="5" t="n">
        <v>7802</v>
      </c>
      <c r="H1514" s="5" t="n">
        <v>403</v>
      </c>
      <c r="I1514" s="5" t="n">
        <v>365</v>
      </c>
      <c r="J1514" s="5" t="n">
        <v>38</v>
      </c>
      <c r="K1514" s="10">
        <f>IF(F1514&gt;0,H1514/F1514,"")</f>
        <v/>
      </c>
      <c r="L1514" s="16">
        <f>IF(AND(G1514&gt;0,H1514&gt;0),G1514/H1514,"")</f>
        <v/>
      </c>
    </row>
    <row r="1515">
      <c r="A1515" s="4" t="inlineStr">
        <is>
          <t>422</t>
        </is>
      </c>
      <c r="B1515" s="4" t="n">
        <v>4</v>
      </c>
      <c r="C1515" s="4" t="inlineStr">
        <is>
          <t>mule deer</t>
        </is>
      </c>
      <c r="D1515" s="4" t="n">
        <v>2021</v>
      </c>
      <c r="E1515" s="13" t="inlineStr">
        <is>
          <t>General</t>
        </is>
      </c>
      <c r="F1515" s="5" t="n">
        <v>462</v>
      </c>
      <c r="G1515" s="5" t="n">
        <v>2469</v>
      </c>
      <c r="H1515" s="5" t="n">
        <v>91</v>
      </c>
      <c r="I1515" s="5" t="n">
        <v>60</v>
      </c>
      <c r="J1515" s="5" t="n">
        <v>31</v>
      </c>
      <c r="K1515" s="10">
        <f>IF(F1515&gt;0,H1515/F1515,"")</f>
        <v/>
      </c>
      <c r="L1515" s="16">
        <f>IF(AND(G1515&gt;0,H1515&gt;0),G1515/H1515,"")</f>
        <v/>
      </c>
    </row>
    <row r="1516">
      <c r="A1516" s="4" t="inlineStr">
        <is>
          <t>422</t>
        </is>
      </c>
      <c r="B1516" s="4" t="n">
        <v>4</v>
      </c>
      <c r="C1516" s="4" t="inlineStr">
        <is>
          <t>mule deer</t>
        </is>
      </c>
      <c r="D1516" s="4" t="n">
        <v>2022</v>
      </c>
      <c r="E1516" s="13" t="inlineStr">
        <is>
          <t>General</t>
        </is>
      </c>
      <c r="F1516" s="5" t="n"/>
      <c r="G1516" s="5" t="n"/>
      <c r="H1516" s="5" t="n">
        <v>80</v>
      </c>
      <c r="I1516" s="5" t="n">
        <v>77</v>
      </c>
      <c r="J1516" s="5" t="n">
        <v>3</v>
      </c>
      <c r="K1516" s="10">
        <f>IF(F1516&gt;0,H1516/F1516,"")</f>
        <v/>
      </c>
      <c r="L1516" s="16">
        <f>IF(AND(G1516&gt;0,H1516&gt;0),G1516/H1516,"")</f>
        <v/>
      </c>
    </row>
    <row r="1517">
      <c r="A1517" s="4" t="inlineStr">
        <is>
          <t>422</t>
        </is>
      </c>
      <c r="B1517" s="4" t="n">
        <v>4</v>
      </c>
      <c r="C1517" s="4" t="inlineStr">
        <is>
          <t>mule deer</t>
        </is>
      </c>
      <c r="D1517" s="4" t="n">
        <v>2023</v>
      </c>
      <c r="E1517" s="13" t="inlineStr">
        <is>
          <t>General</t>
        </is>
      </c>
      <c r="F1517" s="5" t="n">
        <v>597</v>
      </c>
      <c r="G1517" s="5" t="n">
        <v>3396</v>
      </c>
      <c r="H1517" s="5" t="n">
        <v>141</v>
      </c>
      <c r="I1517" s="5" t="n">
        <v>125</v>
      </c>
      <c r="J1517" s="5" t="n">
        <v>17</v>
      </c>
      <c r="K1517" s="10">
        <f>IF(F1517&gt;0,H1517/F1517,"")</f>
        <v/>
      </c>
      <c r="L1517" s="16">
        <f>IF(AND(G1517&gt;0,H1517&gt;0),G1517/H1517,"")</f>
        <v/>
      </c>
    </row>
    <row r="1518">
      <c r="A1518" s="4" t="inlineStr">
        <is>
          <t>422</t>
        </is>
      </c>
      <c r="B1518" s="4" t="n">
        <v>4</v>
      </c>
      <c r="C1518" s="4" t="inlineStr">
        <is>
          <t>mule deer</t>
        </is>
      </c>
      <c r="D1518" s="4" t="n">
        <v>2024</v>
      </c>
      <c r="E1518" s="13" t="inlineStr">
        <is>
          <t>General</t>
        </is>
      </c>
      <c r="F1518" s="5" t="n"/>
      <c r="G1518" s="5" t="n"/>
      <c r="H1518" s="5" t="n">
        <v>136</v>
      </c>
      <c r="I1518" s="5" t="n">
        <v>115</v>
      </c>
      <c r="J1518" s="5" t="n">
        <v>21</v>
      </c>
      <c r="K1518" s="10">
        <f>IF(F1518&gt;0,H1518/F1518,"")</f>
        <v/>
      </c>
      <c r="L1518" s="16">
        <f>IF(AND(G1518&gt;0,H1518&gt;0),G1518/H1518,"")</f>
        <v/>
      </c>
    </row>
    <row r="1519">
      <c r="A1519" s="4" t="inlineStr">
        <is>
          <t>422</t>
        </is>
      </c>
      <c r="B1519" s="4" t="n">
        <v>4</v>
      </c>
      <c r="C1519" s="4" t="inlineStr">
        <is>
          <t>mule deer</t>
        </is>
      </c>
      <c r="D1519" s="4" t="n">
        <v>2025</v>
      </c>
      <c r="E1519" s="13" t="inlineStr">
        <is>
          <t>General</t>
        </is>
      </c>
      <c r="F1519" s="5" t="n">
        <v>714</v>
      </c>
      <c r="G1519" s="5" t="n">
        <v>4040</v>
      </c>
      <c r="H1519" s="5" t="n">
        <v>119</v>
      </c>
      <c r="I1519" s="5" t="n">
        <v>105</v>
      </c>
      <c r="J1519" s="5" t="n">
        <v>14</v>
      </c>
      <c r="K1519" s="10">
        <f>IF(F1519&gt;0,H1519/F1519,"")</f>
        <v/>
      </c>
      <c r="L1519" s="16">
        <f>IF(AND(G1519&gt;0,H1519&gt;0),G1519/H1519,"")</f>
        <v/>
      </c>
    </row>
    <row r="1520">
      <c r="A1520" s="4" t="inlineStr">
        <is>
          <t>423</t>
        </is>
      </c>
      <c r="B1520" s="4" t="n">
        <v>4</v>
      </c>
      <c r="C1520" s="4" t="inlineStr">
        <is>
          <t>mule deer</t>
        </is>
      </c>
      <c r="D1520" s="4" t="n">
        <v>2021</v>
      </c>
      <c r="E1520" s="4" t="inlineStr"/>
      <c r="F1520" s="5" t="n">
        <v>378</v>
      </c>
      <c r="G1520" s="5" t="n">
        <v>1731</v>
      </c>
      <c r="H1520" s="5" t="n">
        <v>121</v>
      </c>
      <c r="I1520" s="5" t="n">
        <v>93</v>
      </c>
      <c r="J1520" s="5" t="n">
        <v>28</v>
      </c>
      <c r="K1520" s="10">
        <f>IF(F1520&gt;0,H1520/F1520,"")</f>
        <v/>
      </c>
      <c r="L1520" s="16">
        <f>IF(AND(G1520&gt;0,H1520&gt;0),G1520/H1520,"")</f>
        <v/>
      </c>
    </row>
    <row r="1521">
      <c r="A1521" s="4" t="inlineStr">
        <is>
          <t>424</t>
        </is>
      </c>
      <c r="B1521" s="4" t="n">
        <v>4</v>
      </c>
      <c r="C1521" s="4" t="inlineStr">
        <is>
          <t>mule deer</t>
        </is>
      </c>
      <c r="D1521" s="4" t="n">
        <v>2021</v>
      </c>
      <c r="E1521" s="13" t="inlineStr">
        <is>
          <t>General</t>
        </is>
      </c>
      <c r="F1521" s="5" t="n">
        <v>175</v>
      </c>
      <c r="G1521" s="5" t="n">
        <v>1273</v>
      </c>
      <c r="H1521" s="5" t="n">
        <v>11</v>
      </c>
      <c r="I1521" s="5" t="n">
        <v>11</v>
      </c>
      <c r="J1521" s="5" t="n">
        <v>0</v>
      </c>
      <c r="K1521" s="10">
        <f>IF(F1521&gt;0,H1521/F1521,"")</f>
        <v/>
      </c>
      <c r="L1521" s="16">
        <f>IF(AND(G1521&gt;0,H1521&gt;0),G1521/H1521,"")</f>
        <v/>
      </c>
    </row>
    <row r="1522">
      <c r="A1522" s="4" t="inlineStr">
        <is>
          <t>424</t>
        </is>
      </c>
      <c r="B1522" s="4" t="n">
        <v>4</v>
      </c>
      <c r="C1522" s="4" t="inlineStr">
        <is>
          <t>mule deer</t>
        </is>
      </c>
      <c r="D1522" s="4" t="n">
        <v>2022</v>
      </c>
      <c r="E1522" s="13" t="inlineStr">
        <is>
          <t>General</t>
        </is>
      </c>
      <c r="F1522" s="5" t="n"/>
      <c r="G1522" s="5" t="n"/>
      <c r="H1522" s="5" t="n">
        <v>29</v>
      </c>
      <c r="I1522" s="5" t="n">
        <v>20</v>
      </c>
      <c r="J1522" s="5" t="n">
        <v>10</v>
      </c>
      <c r="K1522" s="10">
        <f>IF(F1522&gt;0,H1522/F1522,"")</f>
        <v/>
      </c>
      <c r="L1522" s="16">
        <f>IF(AND(G1522&gt;0,H1522&gt;0),G1522/H1522,"")</f>
        <v/>
      </c>
    </row>
    <row r="1523">
      <c r="A1523" s="4" t="inlineStr">
        <is>
          <t>424</t>
        </is>
      </c>
      <c r="B1523" s="4" t="n">
        <v>4</v>
      </c>
      <c r="C1523" s="4" t="inlineStr">
        <is>
          <t>mule deer</t>
        </is>
      </c>
      <c r="D1523" s="4" t="n">
        <v>2023</v>
      </c>
      <c r="E1523" s="13" t="inlineStr">
        <is>
          <t>General</t>
        </is>
      </c>
      <c r="F1523" s="5" t="n">
        <v>168</v>
      </c>
      <c r="G1523" s="5" t="n">
        <v>861</v>
      </c>
      <c r="H1523" s="5" t="n">
        <v>32</v>
      </c>
      <c r="I1523" s="5" t="n">
        <v>32</v>
      </c>
      <c r="J1523" s="5" t="n">
        <v>0</v>
      </c>
      <c r="K1523" s="10">
        <f>IF(F1523&gt;0,H1523/F1523,"")</f>
        <v/>
      </c>
      <c r="L1523" s="16">
        <f>IF(AND(G1523&gt;0,H1523&gt;0),G1523/H1523,"")</f>
        <v/>
      </c>
    </row>
    <row r="1524">
      <c r="A1524" s="4" t="inlineStr">
        <is>
          <t>424</t>
        </is>
      </c>
      <c r="B1524" s="4" t="n">
        <v>4</v>
      </c>
      <c r="C1524" s="4" t="inlineStr">
        <is>
          <t>mule deer</t>
        </is>
      </c>
      <c r="D1524" s="4" t="n">
        <v>2024</v>
      </c>
      <c r="E1524" s="13" t="inlineStr">
        <is>
          <t>General</t>
        </is>
      </c>
      <c r="F1524" s="5" t="n"/>
      <c r="G1524" s="5" t="n"/>
      <c r="H1524" s="5" t="n">
        <v>36</v>
      </c>
      <c r="I1524" s="5" t="n">
        <v>36</v>
      </c>
      <c r="J1524" s="5" t="n">
        <v>0</v>
      </c>
      <c r="K1524" s="10">
        <f>IF(F1524&gt;0,H1524/F1524,"")</f>
        <v/>
      </c>
      <c r="L1524" s="16">
        <f>IF(AND(G1524&gt;0,H1524&gt;0),G1524/H1524,"")</f>
        <v/>
      </c>
    </row>
    <row r="1525">
      <c r="A1525" s="4" t="inlineStr">
        <is>
          <t>424</t>
        </is>
      </c>
      <c r="B1525" s="4" t="n">
        <v>4</v>
      </c>
      <c r="C1525" s="4" t="inlineStr">
        <is>
          <t>mule deer</t>
        </is>
      </c>
      <c r="D1525" s="4" t="n">
        <v>2025</v>
      </c>
      <c r="E1525" s="13" t="inlineStr">
        <is>
          <t>General</t>
        </is>
      </c>
      <c r="F1525" s="5" t="n">
        <v>217</v>
      </c>
      <c r="G1525" s="5" t="n">
        <v>1328</v>
      </c>
      <c r="H1525" s="5" t="n">
        <v>37</v>
      </c>
      <c r="I1525" s="5" t="n">
        <v>34</v>
      </c>
      <c r="J1525" s="5" t="n">
        <v>4</v>
      </c>
      <c r="K1525" s="10">
        <f>IF(F1525&gt;0,H1525/F1525,"")</f>
        <v/>
      </c>
      <c r="L1525" s="16">
        <f>IF(AND(G1525&gt;0,H1525&gt;0),G1525/H1525,"")</f>
        <v/>
      </c>
    </row>
    <row r="1526">
      <c r="A1526" s="4" t="inlineStr">
        <is>
          <t>425</t>
        </is>
      </c>
      <c r="B1526" s="4" t="n">
        <v>4</v>
      </c>
      <c r="C1526" s="4" t="inlineStr">
        <is>
          <t>mule deer</t>
        </is>
      </c>
      <c r="D1526" s="4" t="n">
        <v>2021</v>
      </c>
      <c r="E1526" s="13" t="inlineStr">
        <is>
          <t>General</t>
        </is>
      </c>
      <c r="F1526" s="5" t="n">
        <v>487</v>
      </c>
      <c r="G1526" s="5" t="n">
        <v>3082</v>
      </c>
      <c r="H1526" s="5" t="n">
        <v>76</v>
      </c>
      <c r="I1526" s="5" t="n">
        <v>64</v>
      </c>
      <c r="J1526" s="5" t="n">
        <v>12</v>
      </c>
      <c r="K1526" s="10">
        <f>IF(F1526&gt;0,H1526/F1526,"")</f>
        <v/>
      </c>
      <c r="L1526" s="16">
        <f>IF(AND(G1526&gt;0,H1526&gt;0),G1526/H1526,"")</f>
        <v/>
      </c>
    </row>
    <row r="1527">
      <c r="A1527" s="4" t="inlineStr">
        <is>
          <t>425</t>
        </is>
      </c>
      <c r="B1527" s="4" t="n">
        <v>4</v>
      </c>
      <c r="C1527" s="4" t="inlineStr">
        <is>
          <t>mule deer</t>
        </is>
      </c>
      <c r="D1527" s="4" t="n">
        <v>2022</v>
      </c>
      <c r="E1527" s="13" t="inlineStr">
        <is>
          <t>General</t>
        </is>
      </c>
      <c r="F1527" s="5" t="n"/>
      <c r="G1527" s="5" t="n"/>
      <c r="H1527" s="5" t="n">
        <v>99</v>
      </c>
      <c r="I1527" s="5" t="n">
        <v>69</v>
      </c>
      <c r="J1527" s="5" t="n">
        <v>30</v>
      </c>
      <c r="K1527" s="10">
        <f>IF(F1527&gt;0,H1527/F1527,"")</f>
        <v/>
      </c>
      <c r="L1527" s="16">
        <f>IF(AND(G1527&gt;0,H1527&gt;0),G1527/H1527,"")</f>
        <v/>
      </c>
    </row>
    <row r="1528">
      <c r="A1528" s="4" t="inlineStr">
        <is>
          <t>425</t>
        </is>
      </c>
      <c r="B1528" s="4" t="n">
        <v>4</v>
      </c>
      <c r="C1528" s="4" t="inlineStr">
        <is>
          <t>mule deer</t>
        </is>
      </c>
      <c r="D1528" s="4" t="n">
        <v>2023</v>
      </c>
      <c r="E1528" s="13" t="inlineStr">
        <is>
          <t>General</t>
        </is>
      </c>
      <c r="F1528" s="5" t="n">
        <v>534</v>
      </c>
      <c r="G1528" s="5" t="n">
        <v>2688</v>
      </c>
      <c r="H1528" s="5" t="n">
        <v>148</v>
      </c>
      <c r="I1528" s="5" t="n">
        <v>115</v>
      </c>
      <c r="J1528" s="5" t="n">
        <v>34</v>
      </c>
      <c r="K1528" s="10">
        <f>IF(F1528&gt;0,H1528/F1528,"")</f>
        <v/>
      </c>
      <c r="L1528" s="16">
        <f>IF(AND(G1528&gt;0,H1528&gt;0),G1528/H1528,"")</f>
        <v/>
      </c>
    </row>
    <row r="1529">
      <c r="A1529" s="4" t="inlineStr">
        <is>
          <t>425</t>
        </is>
      </c>
      <c r="B1529" s="4" t="n">
        <v>4</v>
      </c>
      <c r="C1529" s="4" t="inlineStr">
        <is>
          <t>mule deer</t>
        </is>
      </c>
      <c r="D1529" s="4" t="n">
        <v>2024</v>
      </c>
      <c r="E1529" s="13" t="inlineStr">
        <is>
          <t>General</t>
        </is>
      </c>
      <c r="F1529" s="5" t="n"/>
      <c r="G1529" s="5" t="n"/>
      <c r="H1529" s="5" t="n">
        <v>130</v>
      </c>
      <c r="I1529" s="5" t="n">
        <v>100</v>
      </c>
      <c r="J1529" s="5" t="n">
        <v>30</v>
      </c>
      <c r="K1529" s="10">
        <f>IF(F1529&gt;0,H1529/F1529,"")</f>
        <v/>
      </c>
      <c r="L1529" s="16">
        <f>IF(AND(G1529&gt;0,H1529&gt;0),G1529/H1529,"")</f>
        <v/>
      </c>
    </row>
    <row r="1530">
      <c r="A1530" s="4" t="inlineStr">
        <is>
          <t>425</t>
        </is>
      </c>
      <c r="B1530" s="4" t="n">
        <v>4</v>
      </c>
      <c r="C1530" s="4" t="inlineStr">
        <is>
          <t>mule deer</t>
        </is>
      </c>
      <c r="D1530" s="4" t="n">
        <v>2025</v>
      </c>
      <c r="E1530" s="13" t="inlineStr">
        <is>
          <t>General</t>
        </is>
      </c>
      <c r="F1530" s="5" t="n">
        <v>531</v>
      </c>
      <c r="G1530" s="5" t="n">
        <v>3020</v>
      </c>
      <c r="H1530" s="5" t="n">
        <v>89</v>
      </c>
      <c r="I1530" s="5" t="n">
        <v>68</v>
      </c>
      <c r="J1530" s="5" t="n">
        <v>21</v>
      </c>
      <c r="K1530" s="10">
        <f>IF(F1530&gt;0,H1530/F1530,"")</f>
        <v/>
      </c>
      <c r="L1530" s="16">
        <f>IF(AND(G1530&gt;0,H1530&gt;0),G1530/H1530,"")</f>
        <v/>
      </c>
    </row>
    <row r="1531">
      <c r="A1531" s="4" t="inlineStr">
        <is>
          <t>426</t>
        </is>
      </c>
      <c r="B1531" s="4" t="n">
        <v>4</v>
      </c>
      <c r="C1531" s="4" t="inlineStr">
        <is>
          <t>mule deer</t>
        </is>
      </c>
      <c r="D1531" s="4" t="n">
        <v>2021</v>
      </c>
      <c r="E1531" s="13" t="inlineStr">
        <is>
          <t>General</t>
        </is>
      </c>
      <c r="F1531" s="5" t="n">
        <v>1419</v>
      </c>
      <c r="G1531" s="5" t="n">
        <v>6958</v>
      </c>
      <c r="H1531" s="5" t="n">
        <v>725</v>
      </c>
      <c r="I1531" s="5" t="n">
        <v>635</v>
      </c>
      <c r="J1531" s="5" t="n">
        <v>90</v>
      </c>
      <c r="K1531" s="10">
        <f>IF(F1531&gt;0,H1531/F1531,"")</f>
        <v/>
      </c>
      <c r="L1531" s="16">
        <f>IF(AND(G1531&gt;0,H1531&gt;0),G1531/H1531,"")</f>
        <v/>
      </c>
    </row>
    <row r="1532">
      <c r="A1532" s="4" t="inlineStr">
        <is>
          <t>426</t>
        </is>
      </c>
      <c r="B1532" s="4" t="n">
        <v>4</v>
      </c>
      <c r="C1532" s="4" t="inlineStr">
        <is>
          <t>mule deer</t>
        </is>
      </c>
      <c r="D1532" s="4" t="n">
        <v>2022</v>
      </c>
      <c r="E1532" s="13" t="inlineStr">
        <is>
          <t>General</t>
        </is>
      </c>
      <c r="F1532" s="5" t="n"/>
      <c r="G1532" s="5" t="n"/>
      <c r="H1532" s="5" t="n">
        <v>556</v>
      </c>
      <c r="I1532" s="5" t="n">
        <v>475</v>
      </c>
      <c r="J1532" s="5" t="n">
        <v>81</v>
      </c>
      <c r="K1532" s="10">
        <f>IF(F1532&gt;0,H1532/F1532,"")</f>
        <v/>
      </c>
      <c r="L1532" s="16">
        <f>IF(AND(G1532&gt;0,H1532&gt;0),G1532/H1532,"")</f>
        <v/>
      </c>
    </row>
    <row r="1533">
      <c r="A1533" s="4" t="inlineStr">
        <is>
          <t>426</t>
        </is>
      </c>
      <c r="B1533" s="4" t="n">
        <v>4</v>
      </c>
      <c r="C1533" s="4" t="inlineStr">
        <is>
          <t>mule deer</t>
        </is>
      </c>
      <c r="D1533" s="4" t="n">
        <v>2023</v>
      </c>
      <c r="E1533" s="13" t="inlineStr">
        <is>
          <t>General</t>
        </is>
      </c>
      <c r="F1533" s="5" t="n">
        <v>1038</v>
      </c>
      <c r="G1533" s="5" t="n">
        <v>4844</v>
      </c>
      <c r="H1533" s="5" t="n">
        <v>519</v>
      </c>
      <c r="I1533" s="5" t="n">
        <v>486</v>
      </c>
      <c r="J1533" s="5" t="n">
        <v>32</v>
      </c>
      <c r="K1533" s="10">
        <f>IF(F1533&gt;0,H1533/F1533,"")</f>
        <v/>
      </c>
      <c r="L1533" s="16">
        <f>IF(AND(G1533&gt;0,H1533&gt;0),G1533/H1533,"")</f>
        <v/>
      </c>
    </row>
    <row r="1534">
      <c r="A1534" s="4" t="inlineStr">
        <is>
          <t>426</t>
        </is>
      </c>
      <c r="B1534" s="4" t="n">
        <v>4</v>
      </c>
      <c r="C1534" s="4" t="inlineStr">
        <is>
          <t>mule deer</t>
        </is>
      </c>
      <c r="D1534" s="4" t="n">
        <v>2024</v>
      </c>
      <c r="E1534" s="13" t="inlineStr">
        <is>
          <t>General</t>
        </is>
      </c>
      <c r="F1534" s="5" t="n"/>
      <c r="G1534" s="5" t="n"/>
      <c r="H1534" s="5" t="n">
        <v>498</v>
      </c>
      <c r="I1534" s="5" t="n">
        <v>477</v>
      </c>
      <c r="J1534" s="5" t="n">
        <v>21</v>
      </c>
      <c r="K1534" s="10">
        <f>IF(F1534&gt;0,H1534/F1534,"")</f>
        <v/>
      </c>
      <c r="L1534" s="16">
        <f>IF(AND(G1534&gt;0,H1534&gt;0),G1534/H1534,"")</f>
        <v/>
      </c>
    </row>
    <row r="1535">
      <c r="A1535" s="4" t="inlineStr">
        <is>
          <t>426</t>
        </is>
      </c>
      <c r="B1535" s="4" t="n">
        <v>4</v>
      </c>
      <c r="C1535" s="4" t="inlineStr">
        <is>
          <t>mule deer</t>
        </is>
      </c>
      <c r="D1535" s="4" t="n">
        <v>2025</v>
      </c>
      <c r="E1535" s="13" t="inlineStr">
        <is>
          <t>General</t>
        </is>
      </c>
      <c r="F1535" s="5" t="n">
        <v>835</v>
      </c>
      <c r="G1535" s="5" t="n">
        <v>4337</v>
      </c>
      <c r="H1535" s="5" t="n">
        <v>335</v>
      </c>
      <c r="I1535" s="5" t="n">
        <v>316</v>
      </c>
      <c r="J1535" s="5" t="n">
        <v>19</v>
      </c>
      <c r="K1535" s="10">
        <f>IF(F1535&gt;0,H1535/F1535,"")</f>
        <v/>
      </c>
      <c r="L1535" s="16">
        <f>IF(AND(G1535&gt;0,H1535&gt;0),G1535/H1535,"")</f>
        <v/>
      </c>
    </row>
    <row r="1536">
      <c r="A1536" s="4" t="inlineStr">
        <is>
          <t>432</t>
        </is>
      </c>
      <c r="B1536" s="4" t="n">
        <v>4</v>
      </c>
      <c r="C1536" s="4" t="inlineStr">
        <is>
          <t>mule deer</t>
        </is>
      </c>
      <c r="D1536" s="4" t="n">
        <v>2021</v>
      </c>
      <c r="E1536" s="13" t="inlineStr">
        <is>
          <t>General</t>
        </is>
      </c>
      <c r="F1536" s="5" t="n">
        <v>691</v>
      </c>
      <c r="G1536" s="5" t="n">
        <v>3436</v>
      </c>
      <c r="H1536" s="5" t="n">
        <v>208</v>
      </c>
      <c r="I1536" s="5" t="n">
        <v>176</v>
      </c>
      <c r="J1536" s="5" t="n">
        <v>32</v>
      </c>
      <c r="K1536" s="10">
        <f>IF(F1536&gt;0,H1536/F1536,"")</f>
        <v/>
      </c>
      <c r="L1536" s="16">
        <f>IF(AND(G1536&gt;0,H1536&gt;0),G1536/H1536,"")</f>
        <v/>
      </c>
    </row>
    <row r="1537">
      <c r="A1537" s="4" t="inlineStr">
        <is>
          <t>441</t>
        </is>
      </c>
      <c r="B1537" s="4" t="n">
        <v>4</v>
      </c>
      <c r="C1537" s="4" t="inlineStr">
        <is>
          <t>mule deer</t>
        </is>
      </c>
      <c r="D1537" s="4" t="n">
        <v>2021</v>
      </c>
      <c r="E1537" s="13" t="inlineStr">
        <is>
          <t>General</t>
        </is>
      </c>
      <c r="F1537" s="5" t="n">
        <v>526</v>
      </c>
      <c r="G1537" s="5" t="n">
        <v>3273</v>
      </c>
      <c r="H1537" s="5" t="n">
        <v>77</v>
      </c>
      <c r="I1537" s="5" t="n">
        <v>67</v>
      </c>
      <c r="J1537" s="5" t="n">
        <v>10</v>
      </c>
      <c r="K1537" s="10">
        <f>IF(F1537&gt;0,H1537/F1537,"")</f>
        <v/>
      </c>
      <c r="L1537" s="16">
        <f>IF(AND(G1537&gt;0,H1537&gt;0),G1537/H1537,"")</f>
        <v/>
      </c>
    </row>
    <row r="1538">
      <c r="A1538" s="4" t="inlineStr">
        <is>
          <t>441</t>
        </is>
      </c>
      <c r="B1538" s="4" t="n">
        <v>4</v>
      </c>
      <c r="C1538" s="4" t="inlineStr">
        <is>
          <t>mule deer</t>
        </is>
      </c>
      <c r="D1538" s="4" t="n">
        <v>2022</v>
      </c>
      <c r="E1538" s="13" t="inlineStr">
        <is>
          <t>General</t>
        </is>
      </c>
      <c r="F1538" s="5" t="n"/>
      <c r="G1538" s="5" t="n"/>
      <c r="H1538" s="5" t="n">
        <v>71</v>
      </c>
      <c r="I1538" s="5" t="n">
        <v>64</v>
      </c>
      <c r="J1538" s="5" t="n">
        <v>7</v>
      </c>
      <c r="K1538" s="10">
        <f>IF(F1538&gt;0,H1538/F1538,"")</f>
        <v/>
      </c>
      <c r="L1538" s="16">
        <f>IF(AND(G1538&gt;0,H1538&gt;0),G1538/H1538,"")</f>
        <v/>
      </c>
    </row>
    <row r="1539">
      <c r="A1539" s="4" t="inlineStr">
        <is>
          <t>441</t>
        </is>
      </c>
      <c r="B1539" s="4" t="n">
        <v>4</v>
      </c>
      <c r="C1539" s="4" t="inlineStr">
        <is>
          <t>mule deer</t>
        </is>
      </c>
      <c r="D1539" s="4" t="n">
        <v>2023</v>
      </c>
      <c r="E1539" s="13" t="inlineStr">
        <is>
          <t>General</t>
        </is>
      </c>
      <c r="F1539" s="5" t="n">
        <v>631</v>
      </c>
      <c r="G1539" s="5" t="n">
        <v>3567</v>
      </c>
      <c r="H1539" s="5" t="n">
        <v>147</v>
      </c>
      <c r="I1539" s="5" t="n">
        <v>122</v>
      </c>
      <c r="J1539" s="5" t="n">
        <v>22</v>
      </c>
      <c r="K1539" s="10">
        <f>IF(F1539&gt;0,H1539/F1539,"")</f>
        <v/>
      </c>
      <c r="L1539" s="16">
        <f>IF(AND(G1539&gt;0,H1539&gt;0),G1539/H1539,"")</f>
        <v/>
      </c>
    </row>
    <row r="1540">
      <c r="A1540" s="4" t="inlineStr">
        <is>
          <t>441</t>
        </is>
      </c>
      <c r="B1540" s="4" t="n">
        <v>4</v>
      </c>
      <c r="C1540" s="4" t="inlineStr">
        <is>
          <t>mule deer</t>
        </is>
      </c>
      <c r="D1540" s="4" t="n">
        <v>2024</v>
      </c>
      <c r="E1540" s="13" t="inlineStr">
        <is>
          <t>General</t>
        </is>
      </c>
      <c r="F1540" s="5" t="n"/>
      <c r="G1540" s="5" t="n"/>
      <c r="H1540" s="5" t="n">
        <v>125</v>
      </c>
      <c r="I1540" s="5" t="n">
        <v>111</v>
      </c>
      <c r="J1540" s="5" t="n">
        <v>14</v>
      </c>
      <c r="K1540" s="10">
        <f>IF(F1540&gt;0,H1540/F1540,"")</f>
        <v/>
      </c>
      <c r="L1540" s="16">
        <f>IF(AND(G1540&gt;0,H1540&gt;0),G1540/H1540,"")</f>
        <v/>
      </c>
    </row>
    <row r="1541">
      <c r="A1541" s="4" t="inlineStr">
        <is>
          <t>441</t>
        </is>
      </c>
      <c r="B1541" s="4" t="n">
        <v>4</v>
      </c>
      <c r="C1541" s="4" t="inlineStr">
        <is>
          <t>mule deer</t>
        </is>
      </c>
      <c r="D1541" s="4" t="n">
        <v>2025</v>
      </c>
      <c r="E1541" s="13" t="inlineStr">
        <is>
          <t>General</t>
        </is>
      </c>
      <c r="F1541" s="5" t="n">
        <v>532</v>
      </c>
      <c r="G1541" s="5" t="n">
        <v>3236</v>
      </c>
      <c r="H1541" s="5" t="n">
        <v>99</v>
      </c>
      <c r="I1541" s="5" t="n">
        <v>93</v>
      </c>
      <c r="J1541" s="5" t="n">
        <v>6</v>
      </c>
      <c r="K1541" s="10">
        <f>IF(F1541&gt;0,H1541/F1541,"")</f>
        <v/>
      </c>
      <c r="L1541" s="16">
        <f>IF(AND(G1541&gt;0,H1541&gt;0),G1541/H1541,"")</f>
        <v/>
      </c>
    </row>
    <row r="1542">
      <c r="A1542" s="4" t="inlineStr">
        <is>
          <t>442</t>
        </is>
      </c>
      <c r="B1542" s="4" t="n">
        <v>4</v>
      </c>
      <c r="C1542" s="4" t="inlineStr">
        <is>
          <t>mule deer</t>
        </is>
      </c>
      <c r="D1542" s="4" t="n">
        <v>2021</v>
      </c>
      <c r="E1542" s="13" t="inlineStr">
        <is>
          <t>General</t>
        </is>
      </c>
      <c r="F1542" s="5" t="n">
        <v>498</v>
      </c>
      <c r="G1542" s="5" t="n">
        <v>2747</v>
      </c>
      <c r="H1542" s="5" t="n">
        <v>51</v>
      </c>
      <c r="I1542" s="5" t="n">
        <v>51</v>
      </c>
      <c r="J1542" s="5" t="n">
        <v>0</v>
      </c>
      <c r="K1542" s="10">
        <f>IF(F1542&gt;0,H1542/F1542,"")</f>
        <v/>
      </c>
      <c r="L1542" s="16">
        <f>IF(AND(G1542&gt;0,H1542&gt;0),G1542/H1542,"")</f>
        <v/>
      </c>
    </row>
    <row r="1543">
      <c r="A1543" s="4" t="inlineStr">
        <is>
          <t>442</t>
        </is>
      </c>
      <c r="B1543" s="4" t="n">
        <v>4</v>
      </c>
      <c r="C1543" s="4" t="inlineStr">
        <is>
          <t>mule deer</t>
        </is>
      </c>
      <c r="D1543" s="4" t="n">
        <v>2022</v>
      </c>
      <c r="E1543" s="13" t="inlineStr">
        <is>
          <t>General</t>
        </is>
      </c>
      <c r="F1543" s="5" t="n"/>
      <c r="G1543" s="5" t="n"/>
      <c r="H1543" s="5" t="n">
        <v>22</v>
      </c>
      <c r="I1543" s="5" t="n">
        <v>16</v>
      </c>
      <c r="J1543" s="5" t="n">
        <v>6</v>
      </c>
      <c r="K1543" s="10">
        <f>IF(F1543&gt;0,H1543/F1543,"")</f>
        <v/>
      </c>
      <c r="L1543" s="16">
        <f>IF(AND(G1543&gt;0,H1543&gt;0),G1543/H1543,"")</f>
        <v/>
      </c>
    </row>
    <row r="1544">
      <c r="A1544" s="4" t="inlineStr">
        <is>
          <t>442</t>
        </is>
      </c>
      <c r="B1544" s="4" t="n">
        <v>4</v>
      </c>
      <c r="C1544" s="4" t="inlineStr">
        <is>
          <t>mule deer</t>
        </is>
      </c>
      <c r="D1544" s="4" t="n">
        <v>2023</v>
      </c>
      <c r="E1544" s="13" t="inlineStr">
        <is>
          <t>General</t>
        </is>
      </c>
      <c r="F1544" s="5" t="n">
        <v>449</v>
      </c>
      <c r="G1544" s="5" t="n">
        <v>2913</v>
      </c>
      <c r="H1544" s="5" t="n">
        <v>50</v>
      </c>
      <c r="I1544" s="5" t="n">
        <v>47</v>
      </c>
      <c r="J1544" s="5" t="n">
        <v>3</v>
      </c>
      <c r="K1544" s="10">
        <f>IF(F1544&gt;0,H1544/F1544,"")</f>
        <v/>
      </c>
      <c r="L1544" s="16">
        <f>IF(AND(G1544&gt;0,H1544&gt;0),G1544/H1544,"")</f>
        <v/>
      </c>
    </row>
    <row r="1545">
      <c r="A1545" s="4" t="inlineStr">
        <is>
          <t>442</t>
        </is>
      </c>
      <c r="B1545" s="4" t="n">
        <v>4</v>
      </c>
      <c r="C1545" s="4" t="inlineStr">
        <is>
          <t>mule deer</t>
        </is>
      </c>
      <c r="D1545" s="4" t="n">
        <v>2024</v>
      </c>
      <c r="E1545" s="13" t="inlineStr">
        <is>
          <t>General</t>
        </is>
      </c>
      <c r="F1545" s="5" t="n"/>
      <c r="G1545" s="5" t="n"/>
      <c r="H1545" s="5" t="n">
        <v>37</v>
      </c>
      <c r="I1545" s="5" t="n">
        <v>34</v>
      </c>
      <c r="J1545" s="5" t="n">
        <v>3</v>
      </c>
      <c r="K1545" s="10">
        <f>IF(F1545&gt;0,H1545/F1545,"")</f>
        <v/>
      </c>
      <c r="L1545" s="16">
        <f>IF(AND(G1545&gt;0,H1545&gt;0),G1545/H1545,"")</f>
        <v/>
      </c>
    </row>
    <row r="1546">
      <c r="A1546" s="4" t="inlineStr">
        <is>
          <t>442</t>
        </is>
      </c>
      <c r="B1546" s="4" t="n">
        <v>4</v>
      </c>
      <c r="C1546" s="4" t="inlineStr">
        <is>
          <t>mule deer</t>
        </is>
      </c>
      <c r="D1546" s="4" t="n">
        <v>2025</v>
      </c>
      <c r="E1546" s="13" t="inlineStr">
        <is>
          <t>General</t>
        </is>
      </c>
      <c r="F1546" s="5" t="n">
        <v>410</v>
      </c>
      <c r="G1546" s="5" t="n">
        <v>2463</v>
      </c>
      <c r="H1546" s="5" t="n">
        <v>27</v>
      </c>
      <c r="I1546" s="5" t="n">
        <v>27</v>
      </c>
      <c r="J1546" s="5" t="n">
        <v>0</v>
      </c>
      <c r="K1546" s="10">
        <f>IF(F1546&gt;0,H1546/F1546,"")</f>
        <v/>
      </c>
      <c r="L1546" s="16">
        <f>IF(AND(G1546&gt;0,H1546&gt;0),G1546/H1546,"")</f>
        <v/>
      </c>
    </row>
    <row r="1547">
      <c r="A1547" s="4" t="inlineStr">
        <is>
          <t>444</t>
        </is>
      </c>
      <c r="B1547" s="4" t="n">
        <v>4</v>
      </c>
      <c r="C1547" s="4" t="inlineStr">
        <is>
          <t>mule deer</t>
        </is>
      </c>
      <c r="D1547" s="4" t="n">
        <v>2021</v>
      </c>
      <c r="E1547" s="13" t="inlineStr">
        <is>
          <t>General</t>
        </is>
      </c>
      <c r="F1547" s="5" t="n">
        <v>845</v>
      </c>
      <c r="G1547" s="5" t="n">
        <v>4457</v>
      </c>
      <c r="H1547" s="5" t="n">
        <v>121</v>
      </c>
      <c r="I1547" s="5" t="n">
        <v>89</v>
      </c>
      <c r="J1547" s="5" t="n">
        <v>28</v>
      </c>
      <c r="K1547" s="10">
        <f>IF(F1547&gt;0,H1547/F1547,"")</f>
        <v/>
      </c>
      <c r="L1547" s="16">
        <f>IF(AND(G1547&gt;0,H1547&gt;0),G1547/H1547,"")</f>
        <v/>
      </c>
    </row>
    <row r="1548">
      <c r="A1548" s="4" t="inlineStr">
        <is>
          <t>444</t>
        </is>
      </c>
      <c r="B1548" s="4" t="n">
        <v>4</v>
      </c>
      <c r="C1548" s="4" t="inlineStr">
        <is>
          <t>mule deer</t>
        </is>
      </c>
      <c r="D1548" s="4" t="n">
        <v>2022</v>
      </c>
      <c r="E1548" s="13" t="inlineStr">
        <is>
          <t>General</t>
        </is>
      </c>
      <c r="F1548" s="5" t="n"/>
      <c r="G1548" s="5" t="n"/>
      <c r="H1548" s="5" t="n">
        <v>147</v>
      </c>
      <c r="I1548" s="5" t="n">
        <v>97</v>
      </c>
      <c r="J1548" s="5" t="n">
        <v>50</v>
      </c>
      <c r="K1548" s="10">
        <f>IF(F1548&gt;0,H1548/F1548,"")</f>
        <v/>
      </c>
      <c r="L1548" s="16">
        <f>IF(AND(G1548&gt;0,H1548&gt;0),G1548/H1548,"")</f>
        <v/>
      </c>
    </row>
    <row r="1549">
      <c r="A1549" s="4" t="inlineStr">
        <is>
          <t>444</t>
        </is>
      </c>
      <c r="B1549" s="4" t="n">
        <v>4</v>
      </c>
      <c r="C1549" s="4" t="inlineStr">
        <is>
          <t>mule deer</t>
        </is>
      </c>
      <c r="D1549" s="4" t="n">
        <v>2023</v>
      </c>
      <c r="E1549" s="13" t="inlineStr">
        <is>
          <t>General</t>
        </is>
      </c>
      <c r="F1549" s="5" t="n">
        <v>750</v>
      </c>
      <c r="G1549" s="5" t="n">
        <v>4082</v>
      </c>
      <c r="H1549" s="5" t="n">
        <v>139</v>
      </c>
      <c r="I1549" s="5" t="n">
        <v>97</v>
      </c>
      <c r="J1549" s="5" t="n">
        <v>41</v>
      </c>
      <c r="K1549" s="10">
        <f>IF(F1549&gt;0,H1549/F1549,"")</f>
        <v/>
      </c>
      <c r="L1549" s="16">
        <f>IF(AND(G1549&gt;0,H1549&gt;0),G1549/H1549,"")</f>
        <v/>
      </c>
    </row>
    <row r="1550">
      <c r="A1550" s="4" t="inlineStr">
        <is>
          <t>444</t>
        </is>
      </c>
      <c r="B1550" s="4" t="n">
        <v>4</v>
      </c>
      <c r="C1550" s="4" t="inlineStr">
        <is>
          <t>mule deer</t>
        </is>
      </c>
      <c r="D1550" s="4" t="n">
        <v>2024</v>
      </c>
      <c r="E1550" s="13" t="inlineStr">
        <is>
          <t>General</t>
        </is>
      </c>
      <c r="F1550" s="5" t="n"/>
      <c r="G1550" s="5" t="n"/>
      <c r="H1550" s="5" t="n">
        <v>159</v>
      </c>
      <c r="I1550" s="5" t="n">
        <v>111</v>
      </c>
      <c r="J1550" s="5" t="n">
        <v>48</v>
      </c>
      <c r="K1550" s="10">
        <f>IF(F1550&gt;0,H1550/F1550,"")</f>
        <v/>
      </c>
      <c r="L1550" s="16">
        <f>IF(AND(G1550&gt;0,H1550&gt;0),G1550/H1550,"")</f>
        <v/>
      </c>
    </row>
    <row r="1551">
      <c r="A1551" s="4" t="inlineStr">
        <is>
          <t>444</t>
        </is>
      </c>
      <c r="B1551" s="4" t="n">
        <v>4</v>
      </c>
      <c r="C1551" s="4" t="inlineStr">
        <is>
          <t>mule deer</t>
        </is>
      </c>
      <c r="D1551" s="4" t="n">
        <v>2025</v>
      </c>
      <c r="E1551" s="13" t="inlineStr">
        <is>
          <t>General</t>
        </is>
      </c>
      <c r="F1551" s="5" t="n">
        <v>840</v>
      </c>
      <c r="G1551" s="5" t="n">
        <v>5719</v>
      </c>
      <c r="H1551" s="5" t="n">
        <v>101</v>
      </c>
      <c r="I1551" s="5" t="n">
        <v>78</v>
      </c>
      <c r="J1551" s="5" t="n">
        <v>23</v>
      </c>
      <c r="K1551" s="10">
        <f>IF(F1551&gt;0,H1551/F1551,"")</f>
        <v/>
      </c>
      <c r="L1551" s="16">
        <f>IF(AND(G1551&gt;0,H1551&gt;0),G1551/H1551,"")</f>
        <v/>
      </c>
    </row>
    <row r="1552">
      <c r="A1552" s="4" t="inlineStr">
        <is>
          <t>445</t>
        </is>
      </c>
      <c r="B1552" s="4" t="n">
        <v>4</v>
      </c>
      <c r="C1552" s="4" t="inlineStr">
        <is>
          <t>mule deer</t>
        </is>
      </c>
      <c r="D1552" s="4" t="n">
        <v>2021</v>
      </c>
      <c r="E1552" s="13" t="inlineStr">
        <is>
          <t>General</t>
        </is>
      </c>
      <c r="F1552" s="5" t="n">
        <v>1257</v>
      </c>
      <c r="G1552" s="5" t="n">
        <v>6120</v>
      </c>
      <c r="H1552" s="5" t="n">
        <v>283</v>
      </c>
      <c r="I1552" s="5" t="n">
        <v>209</v>
      </c>
      <c r="J1552" s="5" t="n">
        <v>70</v>
      </c>
      <c r="K1552" s="10">
        <f>IF(F1552&gt;0,H1552/F1552,"")</f>
        <v/>
      </c>
      <c r="L1552" s="16">
        <f>IF(AND(G1552&gt;0,H1552&gt;0),G1552/H1552,"")</f>
        <v/>
      </c>
    </row>
    <row r="1553">
      <c r="A1553" s="4" t="inlineStr">
        <is>
          <t>445</t>
        </is>
      </c>
      <c r="B1553" s="4" t="n">
        <v>4</v>
      </c>
      <c r="C1553" s="4" t="inlineStr">
        <is>
          <t>mule deer</t>
        </is>
      </c>
      <c r="D1553" s="4" t="n">
        <v>2022</v>
      </c>
      <c r="E1553" s="13" t="inlineStr">
        <is>
          <t>General</t>
        </is>
      </c>
      <c r="F1553" s="5" t="n"/>
      <c r="G1553" s="5" t="n"/>
      <c r="H1553" s="5" t="n">
        <v>249</v>
      </c>
      <c r="I1553" s="5" t="n">
        <v>223</v>
      </c>
      <c r="J1553" s="5" t="n">
        <v>26</v>
      </c>
      <c r="K1553" s="10">
        <f>IF(F1553&gt;0,H1553/F1553,"")</f>
        <v/>
      </c>
      <c r="L1553" s="16">
        <f>IF(AND(G1553&gt;0,H1553&gt;0),G1553/H1553,"")</f>
        <v/>
      </c>
    </row>
    <row r="1554">
      <c r="A1554" s="4" t="inlineStr">
        <is>
          <t>445</t>
        </is>
      </c>
      <c r="B1554" s="4" t="n">
        <v>4</v>
      </c>
      <c r="C1554" s="4" t="inlineStr">
        <is>
          <t>mule deer</t>
        </is>
      </c>
      <c r="D1554" s="4" t="n">
        <v>2023</v>
      </c>
      <c r="E1554" s="13" t="inlineStr">
        <is>
          <t>General</t>
        </is>
      </c>
      <c r="F1554" s="5" t="n">
        <v>1225</v>
      </c>
      <c r="G1554" s="5" t="n">
        <v>6216</v>
      </c>
      <c r="H1554" s="5" t="n">
        <v>242</v>
      </c>
      <c r="I1554" s="5" t="n">
        <v>229</v>
      </c>
      <c r="J1554" s="5" t="n">
        <v>13</v>
      </c>
      <c r="K1554" s="10">
        <f>IF(F1554&gt;0,H1554/F1554,"")</f>
        <v/>
      </c>
      <c r="L1554" s="16">
        <f>IF(AND(G1554&gt;0,H1554&gt;0),G1554/H1554,"")</f>
        <v/>
      </c>
    </row>
    <row r="1555">
      <c r="A1555" s="4" t="inlineStr">
        <is>
          <t>445</t>
        </is>
      </c>
      <c r="B1555" s="4" t="n">
        <v>4</v>
      </c>
      <c r="C1555" s="4" t="inlineStr">
        <is>
          <t>mule deer</t>
        </is>
      </c>
      <c r="D1555" s="4" t="n">
        <v>2024</v>
      </c>
      <c r="E1555" s="13" t="inlineStr">
        <is>
          <t>General</t>
        </is>
      </c>
      <c r="F1555" s="5" t="n"/>
      <c r="G1555" s="5" t="n"/>
      <c r="H1555" s="5" t="n">
        <v>319</v>
      </c>
      <c r="I1555" s="5" t="n">
        <v>300</v>
      </c>
      <c r="J1555" s="5" t="n">
        <v>18</v>
      </c>
      <c r="K1555" s="10">
        <f>IF(F1555&gt;0,H1555/F1555,"")</f>
        <v/>
      </c>
      <c r="L1555" s="16">
        <f>IF(AND(G1555&gt;0,H1555&gt;0),G1555/H1555,"")</f>
        <v/>
      </c>
    </row>
    <row r="1556">
      <c r="A1556" s="4" t="inlineStr">
        <is>
          <t>445</t>
        </is>
      </c>
      <c r="B1556" s="4" t="n">
        <v>4</v>
      </c>
      <c r="C1556" s="4" t="inlineStr">
        <is>
          <t>mule deer</t>
        </is>
      </c>
      <c r="D1556" s="4" t="n">
        <v>2025</v>
      </c>
      <c r="E1556" s="13" t="inlineStr">
        <is>
          <t>General</t>
        </is>
      </c>
      <c r="F1556" s="5" t="n">
        <v>1281</v>
      </c>
      <c r="G1556" s="5" t="n">
        <v>6561</v>
      </c>
      <c r="H1556" s="5" t="n">
        <v>221</v>
      </c>
      <c r="I1556" s="5" t="n">
        <v>190</v>
      </c>
      <c r="J1556" s="5" t="n">
        <v>31</v>
      </c>
      <c r="K1556" s="10">
        <f>IF(F1556&gt;0,H1556/F1556,"")</f>
        <v/>
      </c>
      <c r="L1556" s="16">
        <f>IF(AND(G1556&gt;0,H1556&gt;0),G1556/H1556,"")</f>
        <v/>
      </c>
    </row>
    <row r="1557">
      <c r="A1557" s="4" t="inlineStr">
        <is>
          <t>446</t>
        </is>
      </c>
      <c r="B1557" s="4" t="n">
        <v>4</v>
      </c>
      <c r="C1557" s="4" t="inlineStr">
        <is>
          <t>mule deer</t>
        </is>
      </c>
      <c r="D1557" s="4" t="n">
        <v>2021</v>
      </c>
      <c r="E1557" s="13" t="inlineStr">
        <is>
          <t>General</t>
        </is>
      </c>
      <c r="F1557" s="5" t="n">
        <v>855</v>
      </c>
      <c r="G1557" s="5" t="n">
        <v>4891</v>
      </c>
      <c r="H1557" s="5" t="n">
        <v>140</v>
      </c>
      <c r="I1557" s="5" t="n">
        <v>137</v>
      </c>
      <c r="J1557" s="5" t="n">
        <v>3</v>
      </c>
      <c r="K1557" s="10">
        <f>IF(F1557&gt;0,H1557/F1557,"")</f>
        <v/>
      </c>
      <c r="L1557" s="16">
        <f>IF(AND(G1557&gt;0,H1557&gt;0),G1557/H1557,"")</f>
        <v/>
      </c>
    </row>
    <row r="1558">
      <c r="A1558" s="4" t="inlineStr">
        <is>
          <t>446</t>
        </is>
      </c>
      <c r="B1558" s="4" t="n">
        <v>4</v>
      </c>
      <c r="C1558" s="4" t="inlineStr">
        <is>
          <t>mule deer</t>
        </is>
      </c>
      <c r="D1558" s="4" t="n">
        <v>2022</v>
      </c>
      <c r="E1558" s="13" t="inlineStr">
        <is>
          <t>General</t>
        </is>
      </c>
      <c r="F1558" s="5" t="n"/>
      <c r="G1558" s="5" t="n"/>
      <c r="H1558" s="5" t="n">
        <v>81</v>
      </c>
      <c r="I1558" s="5" t="n">
        <v>78</v>
      </c>
      <c r="J1558" s="5" t="n">
        <v>3</v>
      </c>
      <c r="K1558" s="10">
        <f>IF(F1558&gt;0,H1558/F1558,"")</f>
        <v/>
      </c>
      <c r="L1558" s="16">
        <f>IF(AND(G1558&gt;0,H1558&gt;0),G1558/H1558,"")</f>
        <v/>
      </c>
    </row>
    <row r="1559">
      <c r="A1559" s="4" t="inlineStr">
        <is>
          <t>446</t>
        </is>
      </c>
      <c r="B1559" s="4" t="n">
        <v>4</v>
      </c>
      <c r="C1559" s="4" t="inlineStr">
        <is>
          <t>mule deer</t>
        </is>
      </c>
      <c r="D1559" s="4" t="n">
        <v>2023</v>
      </c>
      <c r="E1559" s="13" t="inlineStr">
        <is>
          <t>General</t>
        </is>
      </c>
      <c r="F1559" s="5" t="n">
        <v>829</v>
      </c>
      <c r="G1559" s="5" t="n">
        <v>4900</v>
      </c>
      <c r="H1559" s="5" t="n">
        <v>127</v>
      </c>
      <c r="I1559" s="5" t="n">
        <v>127</v>
      </c>
      <c r="J1559" s="5" t="n">
        <v>0</v>
      </c>
      <c r="K1559" s="10">
        <f>IF(F1559&gt;0,H1559/F1559,"")</f>
        <v/>
      </c>
      <c r="L1559" s="16">
        <f>IF(AND(G1559&gt;0,H1559&gt;0),G1559/H1559,"")</f>
        <v/>
      </c>
    </row>
    <row r="1560">
      <c r="A1560" s="4" t="inlineStr">
        <is>
          <t>446</t>
        </is>
      </c>
      <c r="B1560" s="4" t="n">
        <v>4</v>
      </c>
      <c r="C1560" s="4" t="inlineStr">
        <is>
          <t>mule deer</t>
        </is>
      </c>
      <c r="D1560" s="4" t="n">
        <v>2024</v>
      </c>
      <c r="E1560" s="13" t="inlineStr">
        <is>
          <t>General</t>
        </is>
      </c>
      <c r="F1560" s="5" t="n"/>
      <c r="G1560" s="5" t="n"/>
      <c r="H1560" s="5" t="n">
        <v>136</v>
      </c>
      <c r="I1560" s="5" t="n">
        <v>134</v>
      </c>
      <c r="J1560" s="5" t="n">
        <v>3</v>
      </c>
      <c r="K1560" s="10">
        <f>IF(F1560&gt;0,H1560/F1560,"")</f>
        <v/>
      </c>
      <c r="L1560" s="16">
        <f>IF(AND(G1560&gt;0,H1560&gt;0),G1560/H1560,"")</f>
        <v/>
      </c>
    </row>
    <row r="1561">
      <c r="A1561" s="4" t="inlineStr">
        <is>
          <t>446</t>
        </is>
      </c>
      <c r="B1561" s="4" t="n">
        <v>4</v>
      </c>
      <c r="C1561" s="4" t="inlineStr">
        <is>
          <t>mule deer</t>
        </is>
      </c>
      <c r="D1561" s="4" t="n">
        <v>2025</v>
      </c>
      <c r="E1561" s="13" t="inlineStr">
        <is>
          <t>General</t>
        </is>
      </c>
      <c r="F1561" s="5" t="n">
        <v>792</v>
      </c>
      <c r="G1561" s="5" t="n">
        <v>5089</v>
      </c>
      <c r="H1561" s="5" t="n">
        <v>108</v>
      </c>
      <c r="I1561" s="5" t="n">
        <v>108</v>
      </c>
      <c r="J1561" s="5" t="n">
        <v>0</v>
      </c>
      <c r="K1561" s="10">
        <f>IF(F1561&gt;0,H1561/F1561,"")</f>
        <v/>
      </c>
      <c r="L1561" s="16">
        <f>IF(AND(G1561&gt;0,H1561&gt;0),G1561/H1561,"")</f>
        <v/>
      </c>
    </row>
    <row r="1562">
      <c r="A1562" s="4" t="inlineStr">
        <is>
          <t>447</t>
        </is>
      </c>
      <c r="B1562" s="4" t="n">
        <v>4</v>
      </c>
      <c r="C1562" s="4" t="inlineStr">
        <is>
          <t>mule deer</t>
        </is>
      </c>
      <c r="D1562" s="4" t="n">
        <v>2021</v>
      </c>
      <c r="E1562" s="13" t="inlineStr">
        <is>
          <t>General</t>
        </is>
      </c>
      <c r="F1562" s="5" t="n">
        <v>1817</v>
      </c>
      <c r="G1562" s="5" t="n">
        <v>9402</v>
      </c>
      <c r="H1562" s="5" t="n">
        <v>681</v>
      </c>
      <c r="I1562" s="5" t="n">
        <v>597</v>
      </c>
      <c r="J1562" s="5" t="n">
        <v>84</v>
      </c>
      <c r="K1562" s="10">
        <f>IF(F1562&gt;0,H1562/F1562,"")</f>
        <v/>
      </c>
      <c r="L1562" s="16">
        <f>IF(AND(G1562&gt;0,H1562&gt;0),G1562/H1562,"")</f>
        <v/>
      </c>
    </row>
    <row r="1563">
      <c r="A1563" s="4" t="inlineStr">
        <is>
          <t>447</t>
        </is>
      </c>
      <c r="B1563" s="4" t="n">
        <v>4</v>
      </c>
      <c r="C1563" s="4" t="inlineStr">
        <is>
          <t>mule deer</t>
        </is>
      </c>
      <c r="D1563" s="4" t="n">
        <v>2022</v>
      </c>
      <c r="E1563" s="13" t="inlineStr">
        <is>
          <t>General</t>
        </is>
      </c>
      <c r="F1563" s="5" t="n"/>
      <c r="G1563" s="5" t="n"/>
      <c r="H1563" s="5" t="n">
        <v>630</v>
      </c>
      <c r="I1563" s="5" t="n">
        <v>554</v>
      </c>
      <c r="J1563" s="5" t="n">
        <v>76</v>
      </c>
      <c r="K1563" s="10">
        <f>IF(F1563&gt;0,H1563/F1563,"")</f>
        <v/>
      </c>
      <c r="L1563" s="16">
        <f>IF(AND(G1563&gt;0,H1563&gt;0),G1563/H1563,"")</f>
        <v/>
      </c>
    </row>
    <row r="1564">
      <c r="A1564" s="4" t="inlineStr">
        <is>
          <t>447</t>
        </is>
      </c>
      <c r="B1564" s="4" t="n">
        <v>4</v>
      </c>
      <c r="C1564" s="4" t="inlineStr">
        <is>
          <t>mule deer</t>
        </is>
      </c>
      <c r="D1564" s="4" t="n">
        <v>2023</v>
      </c>
      <c r="E1564" s="13" t="inlineStr">
        <is>
          <t>General</t>
        </is>
      </c>
      <c r="F1564" s="5" t="n">
        <v>1712</v>
      </c>
      <c r="G1564" s="5" t="n">
        <v>9530</v>
      </c>
      <c r="H1564" s="5" t="n">
        <v>602</v>
      </c>
      <c r="I1564" s="5" t="n">
        <v>573</v>
      </c>
      <c r="J1564" s="5" t="n">
        <v>29</v>
      </c>
      <c r="K1564" s="10">
        <f>IF(F1564&gt;0,H1564/F1564,"")</f>
        <v/>
      </c>
      <c r="L1564" s="16">
        <f>IF(AND(G1564&gt;0,H1564&gt;0),G1564/H1564,"")</f>
        <v/>
      </c>
    </row>
    <row r="1565">
      <c r="A1565" s="4" t="inlineStr">
        <is>
          <t>447</t>
        </is>
      </c>
      <c r="B1565" s="4" t="n">
        <v>4</v>
      </c>
      <c r="C1565" s="4" t="inlineStr">
        <is>
          <t>mule deer</t>
        </is>
      </c>
      <c r="D1565" s="4" t="n">
        <v>2024</v>
      </c>
      <c r="E1565" s="13" t="inlineStr">
        <is>
          <t>General</t>
        </is>
      </c>
      <c r="F1565" s="5" t="n"/>
      <c r="G1565" s="5" t="n"/>
      <c r="H1565" s="5" t="n">
        <v>581</v>
      </c>
      <c r="I1565" s="5" t="n">
        <v>548</v>
      </c>
      <c r="J1565" s="5" t="n">
        <v>33</v>
      </c>
      <c r="K1565" s="10">
        <f>IF(F1565&gt;0,H1565/F1565,"")</f>
        <v/>
      </c>
      <c r="L1565" s="16">
        <f>IF(AND(G1565&gt;0,H1565&gt;0),G1565/H1565,"")</f>
        <v/>
      </c>
    </row>
    <row r="1566">
      <c r="A1566" s="4" t="inlineStr">
        <is>
          <t>447</t>
        </is>
      </c>
      <c r="B1566" s="4" t="n">
        <v>4</v>
      </c>
      <c r="C1566" s="4" t="inlineStr">
        <is>
          <t>mule deer</t>
        </is>
      </c>
      <c r="D1566" s="4" t="n">
        <v>2025</v>
      </c>
      <c r="E1566" s="13" t="inlineStr">
        <is>
          <t>General</t>
        </is>
      </c>
      <c r="F1566" s="5" t="n">
        <v>1613</v>
      </c>
      <c r="G1566" s="5" t="n">
        <v>9805</v>
      </c>
      <c r="H1566" s="5" t="n">
        <v>431</v>
      </c>
      <c r="I1566" s="5" t="n">
        <v>410</v>
      </c>
      <c r="J1566" s="5" t="n">
        <v>21</v>
      </c>
      <c r="K1566" s="10">
        <f>IF(F1566&gt;0,H1566/F1566,"")</f>
        <v/>
      </c>
      <c r="L1566" s="16">
        <f>IF(AND(G1566&gt;0,H1566&gt;0),G1566/H1566,"")</f>
        <v/>
      </c>
    </row>
    <row r="1567">
      <c r="A1567" s="4" t="inlineStr">
        <is>
          <t>448</t>
        </is>
      </c>
      <c r="B1567" s="4" t="n">
        <v>4</v>
      </c>
      <c r="C1567" s="4" t="inlineStr">
        <is>
          <t>mule deer</t>
        </is>
      </c>
      <c r="D1567" s="4" t="n">
        <v>2021</v>
      </c>
      <c r="E1567" s="13" t="inlineStr">
        <is>
          <t>General</t>
        </is>
      </c>
      <c r="F1567" s="5" t="n">
        <v>574</v>
      </c>
      <c r="G1567" s="5" t="n">
        <v>3981</v>
      </c>
      <c r="H1567" s="5" t="n">
        <v>126</v>
      </c>
      <c r="I1567" s="5" t="n">
        <v>122</v>
      </c>
      <c r="J1567" s="5" t="n">
        <v>4</v>
      </c>
      <c r="K1567" s="10">
        <f>IF(F1567&gt;0,H1567/F1567,"")</f>
        <v/>
      </c>
      <c r="L1567" s="16">
        <f>IF(AND(G1567&gt;0,H1567&gt;0),G1567/H1567,"")</f>
        <v/>
      </c>
    </row>
    <row r="1568">
      <c r="A1568" s="4" t="inlineStr">
        <is>
          <t>448</t>
        </is>
      </c>
      <c r="B1568" s="4" t="n">
        <v>4</v>
      </c>
      <c r="C1568" s="4" t="inlineStr">
        <is>
          <t>mule deer</t>
        </is>
      </c>
      <c r="D1568" s="4" t="n">
        <v>2022</v>
      </c>
      <c r="E1568" s="13" t="inlineStr">
        <is>
          <t>General</t>
        </is>
      </c>
      <c r="F1568" s="5" t="n"/>
      <c r="G1568" s="5" t="n"/>
      <c r="H1568" s="5" t="n">
        <v>144</v>
      </c>
      <c r="I1568" s="5" t="n">
        <v>138</v>
      </c>
      <c r="J1568" s="5" t="n">
        <v>6</v>
      </c>
      <c r="K1568" s="10">
        <f>IF(F1568&gt;0,H1568/F1568,"")</f>
        <v/>
      </c>
      <c r="L1568" s="16">
        <f>IF(AND(G1568&gt;0,H1568&gt;0),G1568/H1568,"")</f>
        <v/>
      </c>
    </row>
    <row r="1569">
      <c r="A1569" s="4" t="inlineStr">
        <is>
          <t>448</t>
        </is>
      </c>
      <c r="B1569" s="4" t="n">
        <v>4</v>
      </c>
      <c r="C1569" s="4" t="inlineStr">
        <is>
          <t>mule deer</t>
        </is>
      </c>
      <c r="D1569" s="4" t="n">
        <v>2023</v>
      </c>
      <c r="E1569" s="13" t="inlineStr">
        <is>
          <t>General</t>
        </is>
      </c>
      <c r="F1569" s="5" t="n">
        <v>677</v>
      </c>
      <c r="G1569" s="5" t="n">
        <v>3952</v>
      </c>
      <c r="H1569" s="5" t="n">
        <v>172</v>
      </c>
      <c r="I1569" s="5" t="n">
        <v>163</v>
      </c>
      <c r="J1569" s="5" t="n">
        <v>10</v>
      </c>
      <c r="K1569" s="10">
        <f>IF(F1569&gt;0,H1569/F1569,"")</f>
        <v/>
      </c>
      <c r="L1569" s="16">
        <f>IF(AND(G1569&gt;0,H1569&gt;0),G1569/H1569,"")</f>
        <v/>
      </c>
    </row>
    <row r="1570">
      <c r="A1570" s="4" t="inlineStr">
        <is>
          <t>448</t>
        </is>
      </c>
      <c r="B1570" s="4" t="n">
        <v>4</v>
      </c>
      <c r="C1570" s="4" t="inlineStr">
        <is>
          <t>mule deer</t>
        </is>
      </c>
      <c r="D1570" s="4" t="n">
        <v>2024</v>
      </c>
      <c r="E1570" s="13" t="inlineStr">
        <is>
          <t>General</t>
        </is>
      </c>
      <c r="F1570" s="5" t="n"/>
      <c r="G1570" s="5" t="n"/>
      <c r="H1570" s="5" t="n">
        <v>174</v>
      </c>
      <c r="I1570" s="5" t="n">
        <v>114</v>
      </c>
      <c r="J1570" s="5" t="n">
        <v>60</v>
      </c>
      <c r="K1570" s="10">
        <f>IF(F1570&gt;0,H1570/F1570,"")</f>
        <v/>
      </c>
      <c r="L1570" s="16">
        <f>IF(AND(G1570&gt;0,H1570&gt;0),G1570/H1570,"")</f>
        <v/>
      </c>
    </row>
    <row r="1571">
      <c r="A1571" s="4" t="inlineStr">
        <is>
          <t>448</t>
        </is>
      </c>
      <c r="B1571" s="4" t="n">
        <v>4</v>
      </c>
      <c r="C1571" s="4" t="inlineStr">
        <is>
          <t>mule deer</t>
        </is>
      </c>
      <c r="D1571" s="4" t="n">
        <v>2025</v>
      </c>
      <c r="E1571" s="13" t="inlineStr">
        <is>
          <t>General</t>
        </is>
      </c>
      <c r="F1571" s="5" t="n">
        <v>788</v>
      </c>
      <c r="G1571" s="5" t="n">
        <v>5434</v>
      </c>
      <c r="H1571" s="5" t="n">
        <v>213</v>
      </c>
      <c r="I1571" s="5" t="n">
        <v>178</v>
      </c>
      <c r="J1571" s="5" t="n">
        <v>35</v>
      </c>
      <c r="K1571" s="10">
        <f>IF(F1571&gt;0,H1571/F1571,"")</f>
        <v/>
      </c>
      <c r="L1571" s="16">
        <f>IF(AND(G1571&gt;0,H1571&gt;0),G1571/H1571,"")</f>
        <v/>
      </c>
    </row>
    <row r="1572">
      <c r="A1572" s="4" t="inlineStr">
        <is>
          <t>450</t>
        </is>
      </c>
      <c r="B1572" s="4" t="n">
        <v>4</v>
      </c>
      <c r="C1572" s="4" t="inlineStr">
        <is>
          <t>mule deer</t>
        </is>
      </c>
      <c r="D1572" s="4" t="n">
        <v>2021</v>
      </c>
      <c r="E1572" s="13" t="inlineStr">
        <is>
          <t>General</t>
        </is>
      </c>
      <c r="F1572" s="5" t="n">
        <v>348</v>
      </c>
      <c r="G1572" s="5" t="n">
        <v>1865</v>
      </c>
      <c r="H1572" s="5" t="n">
        <v>89</v>
      </c>
      <c r="I1572" s="5" t="n">
        <v>67</v>
      </c>
      <c r="J1572" s="5" t="n">
        <v>18</v>
      </c>
      <c r="K1572" s="10">
        <f>IF(F1572&gt;0,H1572/F1572,"")</f>
        <v/>
      </c>
      <c r="L1572" s="16">
        <f>IF(AND(G1572&gt;0,H1572&gt;0),G1572/H1572,"")</f>
        <v/>
      </c>
    </row>
    <row r="1573">
      <c r="A1573" s="4" t="inlineStr">
        <is>
          <t>450</t>
        </is>
      </c>
      <c r="B1573" s="4" t="n">
        <v>4</v>
      </c>
      <c r="C1573" s="4" t="inlineStr">
        <is>
          <t>mule deer</t>
        </is>
      </c>
      <c r="D1573" s="4" t="n">
        <v>2022</v>
      </c>
      <c r="E1573" s="13" t="inlineStr">
        <is>
          <t>General</t>
        </is>
      </c>
      <c r="F1573" s="5" t="n"/>
      <c r="G1573" s="5" t="n"/>
      <c r="H1573" s="5" t="n">
        <v>129</v>
      </c>
      <c r="I1573" s="5" t="n">
        <v>89</v>
      </c>
      <c r="J1573" s="5" t="n">
        <v>35</v>
      </c>
      <c r="K1573" s="10">
        <f>IF(F1573&gt;0,H1573/F1573,"")</f>
        <v/>
      </c>
      <c r="L1573" s="16">
        <f>IF(AND(G1573&gt;0,H1573&gt;0),G1573/H1573,"")</f>
        <v/>
      </c>
    </row>
    <row r="1574">
      <c r="A1574" s="4" t="inlineStr">
        <is>
          <t>450</t>
        </is>
      </c>
      <c r="B1574" s="4" t="n">
        <v>4</v>
      </c>
      <c r="C1574" s="4" t="inlineStr">
        <is>
          <t>mule deer</t>
        </is>
      </c>
      <c r="D1574" s="4" t="n">
        <v>2023</v>
      </c>
      <c r="E1574" s="13" t="inlineStr">
        <is>
          <t>General</t>
        </is>
      </c>
      <c r="F1574" s="5" t="n">
        <v>541</v>
      </c>
      <c r="G1574" s="5" t="n">
        <v>2843</v>
      </c>
      <c r="H1574" s="5" t="n">
        <v>125</v>
      </c>
      <c r="I1574" s="5" t="n">
        <v>100</v>
      </c>
      <c r="J1574" s="5" t="n">
        <v>26</v>
      </c>
      <c r="K1574" s="10">
        <f>IF(F1574&gt;0,H1574/F1574,"")</f>
        <v/>
      </c>
      <c r="L1574" s="16">
        <f>IF(AND(G1574&gt;0,H1574&gt;0),G1574/H1574,"")</f>
        <v/>
      </c>
    </row>
    <row r="1575">
      <c r="A1575" s="4" t="inlineStr">
        <is>
          <t>450</t>
        </is>
      </c>
      <c r="B1575" s="4" t="n">
        <v>4</v>
      </c>
      <c r="C1575" s="4" t="inlineStr">
        <is>
          <t>mule deer</t>
        </is>
      </c>
      <c r="D1575" s="4" t="n">
        <v>2024</v>
      </c>
      <c r="E1575" s="13" t="inlineStr">
        <is>
          <t>General</t>
        </is>
      </c>
      <c r="F1575" s="5" t="n"/>
      <c r="G1575" s="5" t="n"/>
      <c r="H1575" s="5" t="n">
        <v>114</v>
      </c>
      <c r="I1575" s="5" t="n">
        <v>88</v>
      </c>
      <c r="J1575" s="5" t="n">
        <v>26</v>
      </c>
      <c r="K1575" s="10">
        <f>IF(F1575&gt;0,H1575/F1575,"")</f>
        <v/>
      </c>
      <c r="L1575" s="16">
        <f>IF(AND(G1575&gt;0,H1575&gt;0),G1575/H1575,"")</f>
        <v/>
      </c>
    </row>
    <row r="1576">
      <c r="A1576" s="4" t="inlineStr">
        <is>
          <t>450</t>
        </is>
      </c>
      <c r="B1576" s="4" t="n">
        <v>4</v>
      </c>
      <c r="C1576" s="4" t="inlineStr">
        <is>
          <t>mule deer</t>
        </is>
      </c>
      <c r="D1576" s="4" t="n">
        <v>2025</v>
      </c>
      <c r="E1576" s="13" t="inlineStr">
        <is>
          <t>General</t>
        </is>
      </c>
      <c r="F1576" s="5" t="n">
        <v>584</v>
      </c>
      <c r="G1576" s="5" t="n">
        <v>3678</v>
      </c>
      <c r="H1576" s="5" t="n">
        <v>112</v>
      </c>
      <c r="I1576" s="5" t="n">
        <v>89</v>
      </c>
      <c r="J1576" s="5" t="n">
        <v>24</v>
      </c>
      <c r="K1576" s="10">
        <f>IF(F1576&gt;0,H1576/F1576,"")</f>
        <v/>
      </c>
      <c r="L1576" s="16">
        <f>IF(AND(G1576&gt;0,H1576&gt;0),G1576/H1576,"")</f>
        <v/>
      </c>
    </row>
    <row r="1577">
      <c r="A1577" s="4" t="inlineStr">
        <is>
          <t>451</t>
        </is>
      </c>
      <c r="B1577" s="4" t="n">
        <v>4</v>
      </c>
      <c r="C1577" s="4" t="inlineStr">
        <is>
          <t>mule deer</t>
        </is>
      </c>
      <c r="D1577" s="4" t="n">
        <v>2021</v>
      </c>
      <c r="E1577" s="13" t="inlineStr">
        <is>
          <t>General</t>
        </is>
      </c>
      <c r="F1577" s="5" t="n">
        <v>101</v>
      </c>
      <c r="G1577" s="5" t="n">
        <v>499</v>
      </c>
      <c r="H1577" s="5" t="n">
        <v>7</v>
      </c>
      <c r="I1577" s="5" t="n">
        <v>7</v>
      </c>
      <c r="J1577" s="5" t="n">
        <v>0</v>
      </c>
      <c r="K1577" s="10">
        <f>IF(F1577&gt;0,H1577/F1577,"")</f>
        <v/>
      </c>
      <c r="L1577" s="16">
        <f>IF(AND(G1577&gt;0,H1577&gt;0),G1577/H1577,"")</f>
        <v/>
      </c>
    </row>
    <row r="1578">
      <c r="A1578" s="4" t="inlineStr">
        <is>
          <t>451</t>
        </is>
      </c>
      <c r="B1578" s="4" t="n">
        <v>4</v>
      </c>
      <c r="C1578" s="4" t="inlineStr">
        <is>
          <t>mule deer</t>
        </is>
      </c>
      <c r="D1578" s="4" t="n">
        <v>2022</v>
      </c>
      <c r="E1578" s="13" t="inlineStr">
        <is>
          <t>General</t>
        </is>
      </c>
      <c r="F1578" s="5" t="n"/>
      <c r="G1578" s="5" t="n"/>
      <c r="H1578" s="5" t="n">
        <v>16</v>
      </c>
      <c r="I1578" s="5" t="n">
        <v>16</v>
      </c>
      <c r="J1578" s="5" t="n">
        <v>0</v>
      </c>
      <c r="K1578" s="10">
        <f>IF(F1578&gt;0,H1578/F1578,"")</f>
        <v/>
      </c>
      <c r="L1578" s="16">
        <f>IF(AND(G1578&gt;0,H1578&gt;0),G1578/H1578,"")</f>
        <v/>
      </c>
    </row>
    <row r="1579">
      <c r="A1579" s="4" t="inlineStr">
        <is>
          <t>451</t>
        </is>
      </c>
      <c r="B1579" s="4" t="n">
        <v>4</v>
      </c>
      <c r="C1579" s="4" t="inlineStr">
        <is>
          <t>mule deer</t>
        </is>
      </c>
      <c r="D1579" s="4" t="n">
        <v>2023</v>
      </c>
      <c r="E1579" s="13" t="inlineStr">
        <is>
          <t>General</t>
        </is>
      </c>
      <c r="F1579" s="5" t="n">
        <v>104</v>
      </c>
      <c r="G1579" s="5" t="n">
        <v>621</v>
      </c>
      <c r="H1579" s="5" t="n">
        <v>23</v>
      </c>
      <c r="I1579" s="5" t="n">
        <v>16</v>
      </c>
      <c r="J1579" s="5" t="n">
        <v>7</v>
      </c>
      <c r="K1579" s="10">
        <f>IF(F1579&gt;0,H1579/F1579,"")</f>
        <v/>
      </c>
      <c r="L1579" s="16">
        <f>IF(AND(G1579&gt;0,H1579&gt;0),G1579/H1579,"")</f>
        <v/>
      </c>
    </row>
    <row r="1580">
      <c r="A1580" s="4" t="inlineStr">
        <is>
          <t>451</t>
        </is>
      </c>
      <c r="B1580" s="4" t="n">
        <v>4</v>
      </c>
      <c r="C1580" s="4" t="inlineStr">
        <is>
          <t>mule deer</t>
        </is>
      </c>
      <c r="D1580" s="4" t="n">
        <v>2024</v>
      </c>
      <c r="E1580" s="13" t="inlineStr">
        <is>
          <t>General</t>
        </is>
      </c>
      <c r="F1580" s="5" t="n"/>
      <c r="G1580" s="5" t="n"/>
      <c r="H1580" s="5" t="n">
        <v>30</v>
      </c>
      <c r="I1580" s="5" t="n">
        <v>30</v>
      </c>
      <c r="J1580" s="5" t="n">
        <v>0</v>
      </c>
      <c r="K1580" s="10">
        <f>IF(F1580&gt;0,H1580/F1580,"")</f>
        <v/>
      </c>
      <c r="L1580" s="16">
        <f>IF(AND(G1580&gt;0,H1580&gt;0),G1580/H1580,"")</f>
        <v/>
      </c>
    </row>
    <row r="1581">
      <c r="A1581" s="4" t="inlineStr">
        <is>
          <t>451</t>
        </is>
      </c>
      <c r="B1581" s="4" t="n">
        <v>4</v>
      </c>
      <c r="C1581" s="4" t="inlineStr">
        <is>
          <t>mule deer</t>
        </is>
      </c>
      <c r="D1581" s="4" t="n">
        <v>2025</v>
      </c>
      <c r="E1581" s="13" t="inlineStr">
        <is>
          <t>General</t>
        </is>
      </c>
      <c r="F1581" s="5" t="n">
        <v>144</v>
      </c>
      <c r="G1581" s="5" t="n">
        <v>1358</v>
      </c>
      <c r="H1581" s="5" t="n">
        <v>42</v>
      </c>
      <c r="I1581" s="5" t="n">
        <v>42</v>
      </c>
      <c r="J1581" s="5" t="n">
        <v>0</v>
      </c>
      <c r="K1581" s="10">
        <f>IF(F1581&gt;0,H1581/F1581,"")</f>
        <v/>
      </c>
      <c r="L1581" s="16">
        <f>IF(AND(G1581&gt;0,H1581&gt;0),G1581/H1581,"")</f>
        <v/>
      </c>
    </row>
    <row r="1582">
      <c r="A1582" s="4" t="inlineStr">
        <is>
          <t>452</t>
        </is>
      </c>
      <c r="B1582" s="4" t="n">
        <v>4</v>
      </c>
      <c r="C1582" s="4" t="inlineStr">
        <is>
          <t>mule deer</t>
        </is>
      </c>
      <c r="D1582" s="4" t="n">
        <v>2021</v>
      </c>
      <c r="E1582" s="13" t="inlineStr">
        <is>
          <t>General</t>
        </is>
      </c>
      <c r="F1582" s="5" t="n">
        <v>795</v>
      </c>
      <c r="G1582" s="5" t="n">
        <v>4337</v>
      </c>
      <c r="H1582" s="5" t="n">
        <v>190</v>
      </c>
      <c r="I1582" s="5" t="n">
        <v>187</v>
      </c>
      <c r="J1582" s="5" t="n">
        <v>3</v>
      </c>
      <c r="K1582" s="10">
        <f>IF(F1582&gt;0,H1582/F1582,"")</f>
        <v/>
      </c>
      <c r="L1582" s="16">
        <f>IF(AND(G1582&gt;0,H1582&gt;0),G1582/H1582,"")</f>
        <v/>
      </c>
    </row>
    <row r="1583">
      <c r="A1583" s="4" t="inlineStr">
        <is>
          <t>452</t>
        </is>
      </c>
      <c r="B1583" s="4" t="n">
        <v>4</v>
      </c>
      <c r="C1583" s="4" t="inlineStr">
        <is>
          <t>mule deer</t>
        </is>
      </c>
      <c r="D1583" s="4" t="n">
        <v>2022</v>
      </c>
      <c r="E1583" s="13" t="inlineStr">
        <is>
          <t>General</t>
        </is>
      </c>
      <c r="F1583" s="5" t="n"/>
      <c r="G1583" s="5" t="n"/>
      <c r="H1583" s="5" t="n">
        <v>148</v>
      </c>
      <c r="I1583" s="5" t="n">
        <v>142</v>
      </c>
      <c r="J1583" s="5" t="n">
        <v>7</v>
      </c>
      <c r="K1583" s="10">
        <f>IF(F1583&gt;0,H1583/F1583,"")</f>
        <v/>
      </c>
      <c r="L1583" s="16">
        <f>IF(AND(G1583&gt;0,H1583&gt;0),G1583/H1583,"")</f>
        <v/>
      </c>
    </row>
    <row r="1584">
      <c r="A1584" s="4" t="inlineStr">
        <is>
          <t>452</t>
        </is>
      </c>
      <c r="B1584" s="4" t="n">
        <v>4</v>
      </c>
      <c r="C1584" s="4" t="inlineStr">
        <is>
          <t>mule deer</t>
        </is>
      </c>
      <c r="D1584" s="4" t="n">
        <v>2023</v>
      </c>
      <c r="E1584" s="13" t="inlineStr">
        <is>
          <t>General</t>
        </is>
      </c>
      <c r="F1584" s="5" t="n">
        <v>830</v>
      </c>
      <c r="G1584" s="5" t="n">
        <v>5002</v>
      </c>
      <c r="H1584" s="5" t="n">
        <v>161</v>
      </c>
      <c r="I1584" s="5" t="n">
        <v>157</v>
      </c>
      <c r="J1584" s="5" t="n">
        <v>3</v>
      </c>
      <c r="K1584" s="10">
        <f>IF(F1584&gt;0,H1584/F1584,"")</f>
        <v/>
      </c>
      <c r="L1584" s="16">
        <f>IF(AND(G1584&gt;0,H1584&gt;0),G1584/H1584,"")</f>
        <v/>
      </c>
    </row>
    <row r="1585">
      <c r="A1585" s="4" t="inlineStr">
        <is>
          <t>452</t>
        </is>
      </c>
      <c r="B1585" s="4" t="n">
        <v>4</v>
      </c>
      <c r="C1585" s="4" t="inlineStr">
        <is>
          <t>mule deer</t>
        </is>
      </c>
      <c r="D1585" s="4" t="n">
        <v>2024</v>
      </c>
      <c r="E1585" s="13" t="inlineStr">
        <is>
          <t>General</t>
        </is>
      </c>
      <c r="F1585" s="5" t="n"/>
      <c r="G1585" s="5" t="n"/>
      <c r="H1585" s="5" t="n">
        <v>211</v>
      </c>
      <c r="I1585" s="5" t="n">
        <v>205</v>
      </c>
      <c r="J1585" s="5" t="n">
        <v>6</v>
      </c>
      <c r="K1585" s="10">
        <f>IF(F1585&gt;0,H1585/F1585,"")</f>
        <v/>
      </c>
      <c r="L1585" s="16">
        <f>IF(AND(G1585&gt;0,H1585&gt;0),G1585/H1585,"")</f>
        <v/>
      </c>
    </row>
    <row r="1586">
      <c r="A1586" s="4" t="inlineStr">
        <is>
          <t>452</t>
        </is>
      </c>
      <c r="B1586" s="4" t="n">
        <v>4</v>
      </c>
      <c r="C1586" s="4" t="inlineStr">
        <is>
          <t>mule deer</t>
        </is>
      </c>
      <c r="D1586" s="4" t="n">
        <v>2025</v>
      </c>
      <c r="E1586" s="13" t="inlineStr">
        <is>
          <t>General</t>
        </is>
      </c>
      <c r="F1586" s="5" t="n">
        <v>962</v>
      </c>
      <c r="G1586" s="5" t="n">
        <v>6026</v>
      </c>
      <c r="H1586" s="5" t="n">
        <v>232</v>
      </c>
      <c r="I1586" s="5" t="n">
        <v>229</v>
      </c>
      <c r="J1586" s="5" t="n">
        <v>3</v>
      </c>
      <c r="K1586" s="10">
        <f>IF(F1586&gt;0,H1586/F1586,"")</f>
        <v/>
      </c>
      <c r="L1586" s="16">
        <f>IF(AND(G1586&gt;0,H1586&gt;0),G1586/H1586,"")</f>
        <v/>
      </c>
    </row>
    <row r="1587">
      <c r="A1587" s="4" t="inlineStr">
        <is>
          <t>454</t>
        </is>
      </c>
      <c r="B1587" s="4" t="n">
        <v>4</v>
      </c>
      <c r="C1587" s="4" t="inlineStr">
        <is>
          <t>mule deer</t>
        </is>
      </c>
      <c r="D1587" s="4" t="n">
        <v>2021</v>
      </c>
      <c r="E1587" s="4" t="inlineStr"/>
      <c r="F1587" s="5" t="n">
        <v>542</v>
      </c>
      <c r="G1587" s="5" t="n">
        <v>3238</v>
      </c>
      <c r="H1587" s="5" t="n">
        <v>88</v>
      </c>
      <c r="I1587" s="5" t="n">
        <v>88</v>
      </c>
      <c r="J1587" s="5" t="n">
        <v>0</v>
      </c>
      <c r="K1587" s="10">
        <f>IF(F1587&gt;0,H1587/F1587,"")</f>
        <v/>
      </c>
      <c r="L1587" s="16">
        <f>IF(AND(G1587&gt;0,H1587&gt;0),G1587/H1587,"")</f>
        <v/>
      </c>
    </row>
    <row r="1588">
      <c r="A1588" s="4" t="inlineStr">
        <is>
          <t>455</t>
        </is>
      </c>
      <c r="B1588" s="4" t="n">
        <v>4</v>
      </c>
      <c r="C1588" s="4" t="inlineStr">
        <is>
          <t>mule deer</t>
        </is>
      </c>
      <c r="D1588" s="4" t="n">
        <v>2021</v>
      </c>
      <c r="E1588" s="15" t="inlineStr">
        <is>
          <t>Draw</t>
        </is>
      </c>
      <c r="F1588" s="5" t="n">
        <v>73</v>
      </c>
      <c r="G1588" s="5" t="n">
        <v>426</v>
      </c>
      <c r="H1588" s="5" t="n">
        <v>15</v>
      </c>
      <c r="I1588" s="5" t="n">
        <v>11</v>
      </c>
      <c r="J1588" s="5" t="n">
        <v>4</v>
      </c>
      <c r="K1588" s="10">
        <f>IF(F1588&gt;0,H1588/F1588,"")</f>
        <v/>
      </c>
      <c r="L1588" s="16">
        <f>IF(AND(G1588&gt;0,H1588&gt;0),G1588/H1588,"")</f>
        <v/>
      </c>
    </row>
    <row r="1589">
      <c r="A1589" s="4" t="inlineStr">
        <is>
          <t>455</t>
        </is>
      </c>
      <c r="B1589" s="4" t="n">
        <v>4</v>
      </c>
      <c r="C1589" s="4" t="inlineStr">
        <is>
          <t>mule deer</t>
        </is>
      </c>
      <c r="D1589" s="4" t="n">
        <v>2022</v>
      </c>
      <c r="E1589" s="15" t="inlineStr">
        <is>
          <t>Draw</t>
        </is>
      </c>
      <c r="F1589" s="5" t="n"/>
      <c r="G1589" s="5" t="n"/>
      <c r="H1589" s="5" t="n">
        <v>12</v>
      </c>
      <c r="I1589" s="5" t="n">
        <v>12</v>
      </c>
      <c r="J1589" s="5" t="n">
        <v>0</v>
      </c>
      <c r="K1589" s="10">
        <f>IF(F1589&gt;0,H1589/F1589,"")</f>
        <v/>
      </c>
      <c r="L1589" s="16">
        <f>IF(AND(G1589&gt;0,H1589&gt;0),G1589/H1589,"")</f>
        <v/>
      </c>
    </row>
    <row r="1590">
      <c r="A1590" s="4" t="inlineStr">
        <is>
          <t>455</t>
        </is>
      </c>
      <c r="B1590" s="4" t="n">
        <v>4</v>
      </c>
      <c r="C1590" s="4" t="inlineStr">
        <is>
          <t>mule deer</t>
        </is>
      </c>
      <c r="D1590" s="4" t="n">
        <v>2023</v>
      </c>
      <c r="E1590" s="15" t="inlineStr">
        <is>
          <t>Draw</t>
        </is>
      </c>
      <c r="F1590" s="5" t="n">
        <v>73</v>
      </c>
      <c r="G1590" s="5" t="n">
        <v>401</v>
      </c>
      <c r="H1590" s="5" t="n">
        <v>7</v>
      </c>
      <c r="I1590" s="5" t="n">
        <v>7</v>
      </c>
      <c r="J1590" s="5" t="n">
        <v>0</v>
      </c>
      <c r="K1590" s="10">
        <f>IF(F1590&gt;0,H1590/F1590,"")</f>
        <v/>
      </c>
      <c r="L1590" s="16">
        <f>IF(AND(G1590&gt;0,H1590&gt;0),G1590/H1590,"")</f>
        <v/>
      </c>
    </row>
    <row r="1591">
      <c r="A1591" s="4" t="inlineStr">
        <is>
          <t>455</t>
        </is>
      </c>
      <c r="B1591" s="4" t="n">
        <v>4</v>
      </c>
      <c r="C1591" s="4" t="inlineStr">
        <is>
          <t>mule deer</t>
        </is>
      </c>
      <c r="D1591" s="4" t="n">
        <v>2024</v>
      </c>
      <c r="E1591" s="15" t="inlineStr">
        <is>
          <t>Draw</t>
        </is>
      </c>
      <c r="F1591" s="5" t="n"/>
      <c r="G1591" s="5" t="n"/>
      <c r="H1591" s="5" t="n">
        <v>6</v>
      </c>
      <c r="I1591" s="5" t="n">
        <v>6</v>
      </c>
      <c r="J1591" s="5" t="n">
        <v>0</v>
      </c>
      <c r="K1591" s="10">
        <f>IF(F1591&gt;0,H1591/F1591,"")</f>
        <v/>
      </c>
      <c r="L1591" s="16">
        <f>IF(AND(G1591&gt;0,H1591&gt;0),G1591/H1591,"")</f>
        <v/>
      </c>
    </row>
    <row r="1592">
      <c r="A1592" s="4" t="inlineStr">
        <is>
          <t>455</t>
        </is>
      </c>
      <c r="B1592" s="4" t="n">
        <v>4</v>
      </c>
      <c r="C1592" s="4" t="inlineStr">
        <is>
          <t>mule deer</t>
        </is>
      </c>
      <c r="D1592" s="4" t="n">
        <v>2025</v>
      </c>
      <c r="E1592" s="15" t="inlineStr">
        <is>
          <t>Draw</t>
        </is>
      </c>
      <c r="F1592" s="5" t="n">
        <v>107</v>
      </c>
      <c r="G1592" s="5" t="n">
        <v>713</v>
      </c>
      <c r="H1592" s="5" t="n">
        <v>19</v>
      </c>
      <c r="I1592" s="5" t="n">
        <v>16</v>
      </c>
      <c r="J1592" s="5" t="n">
        <v>4</v>
      </c>
      <c r="K1592" s="10">
        <f>IF(F1592&gt;0,H1592/F1592,"")</f>
        <v/>
      </c>
      <c r="L1592" s="16">
        <f>IF(AND(G1592&gt;0,H1592&gt;0),G1592/H1592,"")</f>
        <v/>
      </c>
    </row>
    <row r="1593">
      <c r="A1593" s="4" t="inlineStr">
        <is>
          <t>471</t>
        </is>
      </c>
      <c r="B1593" s="4" t="n">
        <v>4</v>
      </c>
      <c r="C1593" s="4" t="inlineStr">
        <is>
          <t>mule deer</t>
        </is>
      </c>
      <c r="D1593" s="4" t="n">
        <v>2021</v>
      </c>
      <c r="E1593" s="13" t="inlineStr">
        <is>
          <t>General</t>
        </is>
      </c>
      <c r="F1593" s="5" t="n">
        <v>771</v>
      </c>
      <c r="G1593" s="5" t="n">
        <v>3574</v>
      </c>
      <c r="H1593" s="5" t="n">
        <v>423</v>
      </c>
      <c r="I1593" s="5" t="n">
        <v>366</v>
      </c>
      <c r="J1593" s="5" t="n">
        <v>57</v>
      </c>
      <c r="K1593" s="10">
        <f>IF(F1593&gt;0,H1593/F1593,"")</f>
        <v/>
      </c>
      <c r="L1593" s="16">
        <f>IF(AND(G1593&gt;0,H1593&gt;0),G1593/H1593,"")</f>
        <v/>
      </c>
    </row>
    <row r="1594">
      <c r="A1594" s="4" t="inlineStr">
        <is>
          <t>471</t>
        </is>
      </c>
      <c r="B1594" s="4" t="n">
        <v>4</v>
      </c>
      <c r="C1594" s="4" t="inlineStr">
        <is>
          <t>mule deer</t>
        </is>
      </c>
      <c r="D1594" s="4" t="n">
        <v>2022</v>
      </c>
      <c r="E1594" s="13" t="inlineStr">
        <is>
          <t>General</t>
        </is>
      </c>
      <c r="F1594" s="5" t="n"/>
      <c r="G1594" s="5" t="n"/>
      <c r="H1594" s="5" t="n">
        <v>408</v>
      </c>
      <c r="I1594" s="5" t="n">
        <v>338</v>
      </c>
      <c r="J1594" s="5" t="n">
        <v>70</v>
      </c>
      <c r="K1594" s="10">
        <f>IF(F1594&gt;0,H1594/F1594,"")</f>
        <v/>
      </c>
      <c r="L1594" s="16">
        <f>IF(AND(G1594&gt;0,H1594&gt;0),G1594/H1594,"")</f>
        <v/>
      </c>
    </row>
    <row r="1595">
      <c r="A1595" s="4" t="inlineStr">
        <is>
          <t>471</t>
        </is>
      </c>
      <c r="B1595" s="4" t="n">
        <v>4</v>
      </c>
      <c r="C1595" s="4" t="inlineStr">
        <is>
          <t>mule deer</t>
        </is>
      </c>
      <c r="D1595" s="4" t="n">
        <v>2023</v>
      </c>
      <c r="E1595" s="13" t="inlineStr">
        <is>
          <t>General</t>
        </is>
      </c>
      <c r="F1595" s="5" t="n">
        <v>813</v>
      </c>
      <c r="G1595" s="5" t="n">
        <v>3669</v>
      </c>
      <c r="H1595" s="5" t="n">
        <v>436</v>
      </c>
      <c r="I1595" s="5" t="n">
        <v>394</v>
      </c>
      <c r="J1595" s="5" t="n">
        <v>42</v>
      </c>
      <c r="K1595" s="10">
        <f>IF(F1595&gt;0,H1595/F1595,"")</f>
        <v/>
      </c>
      <c r="L1595" s="16">
        <f>IF(AND(G1595&gt;0,H1595&gt;0),G1595/H1595,"")</f>
        <v/>
      </c>
    </row>
    <row r="1596">
      <c r="A1596" s="4" t="inlineStr">
        <is>
          <t>471</t>
        </is>
      </c>
      <c r="B1596" s="4" t="n">
        <v>4</v>
      </c>
      <c r="C1596" s="4" t="inlineStr">
        <is>
          <t>mule deer</t>
        </is>
      </c>
      <c r="D1596" s="4" t="n">
        <v>2024</v>
      </c>
      <c r="E1596" s="13" t="inlineStr">
        <is>
          <t>General</t>
        </is>
      </c>
      <c r="F1596" s="5" t="n"/>
      <c r="G1596" s="5" t="n"/>
      <c r="H1596" s="5" t="n">
        <v>422</v>
      </c>
      <c r="I1596" s="5" t="n">
        <v>388</v>
      </c>
      <c r="J1596" s="5" t="n">
        <v>34</v>
      </c>
      <c r="K1596" s="10">
        <f>IF(F1596&gt;0,H1596/F1596,"")</f>
        <v/>
      </c>
      <c r="L1596" s="16">
        <f>IF(AND(G1596&gt;0,H1596&gt;0),G1596/H1596,"")</f>
        <v/>
      </c>
    </row>
    <row r="1597">
      <c r="A1597" s="4" t="inlineStr">
        <is>
          <t>471</t>
        </is>
      </c>
      <c r="B1597" s="4" t="n">
        <v>4</v>
      </c>
      <c r="C1597" s="4" t="inlineStr">
        <is>
          <t>mule deer</t>
        </is>
      </c>
      <c r="D1597" s="4" t="n">
        <v>2025</v>
      </c>
      <c r="E1597" s="13" t="inlineStr">
        <is>
          <t>General</t>
        </is>
      </c>
      <c r="F1597" s="5" t="n">
        <v>640</v>
      </c>
      <c r="G1597" s="5" t="n">
        <v>5298</v>
      </c>
      <c r="H1597" s="5" t="n">
        <v>284</v>
      </c>
      <c r="I1597" s="5" t="n">
        <v>266</v>
      </c>
      <c r="J1597" s="5" t="n">
        <v>18</v>
      </c>
      <c r="K1597" s="10">
        <f>IF(F1597&gt;0,H1597/F1597,"")</f>
        <v/>
      </c>
      <c r="L1597" s="16">
        <f>IF(AND(G1597&gt;0,H1597&gt;0),G1597/H1597,"")</f>
        <v/>
      </c>
    </row>
    <row r="1598">
      <c r="A1598" s="4" t="inlineStr">
        <is>
          <t>500</t>
        </is>
      </c>
      <c r="B1598" s="4" t="n">
        <v>5</v>
      </c>
      <c r="C1598" s="4" t="inlineStr">
        <is>
          <t>mule deer</t>
        </is>
      </c>
      <c r="D1598" s="4" t="n">
        <v>2021</v>
      </c>
      <c r="E1598" s="4" t="inlineStr"/>
      <c r="F1598" s="5" t="n">
        <v>2071</v>
      </c>
      <c r="G1598" s="5" t="n">
        <v>10264</v>
      </c>
      <c r="H1598" s="5" t="n">
        <v>751</v>
      </c>
      <c r="I1598" s="5" t="n">
        <v>479</v>
      </c>
      <c r="J1598" s="5" t="n">
        <v>257</v>
      </c>
      <c r="K1598" s="10">
        <f>IF(F1598&gt;0,H1598/F1598,"")</f>
        <v/>
      </c>
      <c r="L1598" s="16">
        <f>IF(AND(G1598&gt;0,H1598&gt;0),G1598/H1598,"")</f>
        <v/>
      </c>
    </row>
    <row r="1599">
      <c r="A1599" s="4" t="inlineStr">
        <is>
          <t>502</t>
        </is>
      </c>
      <c r="B1599" s="4" t="n">
        <v>5</v>
      </c>
      <c r="C1599" s="4" t="inlineStr">
        <is>
          <t>mule deer</t>
        </is>
      </c>
      <c r="D1599" s="4" t="n">
        <v>2021</v>
      </c>
      <c r="E1599" s="13" t="inlineStr">
        <is>
          <t>General</t>
        </is>
      </c>
      <c r="F1599" s="5" t="n">
        <v>1357</v>
      </c>
      <c r="G1599" s="5" t="n">
        <v>6709</v>
      </c>
      <c r="H1599" s="5" t="n">
        <v>477</v>
      </c>
      <c r="I1599" s="5" t="n">
        <v>350</v>
      </c>
      <c r="J1599" s="5" t="n">
        <v>127</v>
      </c>
      <c r="K1599" s="10">
        <f>IF(F1599&gt;0,H1599/F1599,"")</f>
        <v/>
      </c>
      <c r="L1599" s="16">
        <f>IF(AND(G1599&gt;0,H1599&gt;0),G1599/H1599,"")</f>
        <v/>
      </c>
    </row>
    <row r="1600">
      <c r="A1600" s="4" t="inlineStr">
        <is>
          <t>502</t>
        </is>
      </c>
      <c r="B1600" s="4" t="n">
        <v>5</v>
      </c>
      <c r="C1600" s="4" t="inlineStr">
        <is>
          <t>mule deer</t>
        </is>
      </c>
      <c r="D1600" s="4" t="n">
        <v>2022</v>
      </c>
      <c r="E1600" s="13" t="inlineStr">
        <is>
          <t>General</t>
        </is>
      </c>
      <c r="F1600" s="5" t="n"/>
      <c r="G1600" s="5" t="n"/>
      <c r="H1600" s="5" t="n">
        <v>633</v>
      </c>
      <c r="I1600" s="5" t="n">
        <v>458</v>
      </c>
      <c r="J1600" s="5" t="n">
        <v>176</v>
      </c>
      <c r="K1600" s="10">
        <f>IF(F1600&gt;0,H1600/F1600,"")</f>
        <v/>
      </c>
      <c r="L1600" s="16">
        <f>IF(AND(G1600&gt;0,H1600&gt;0),G1600/H1600,"")</f>
        <v/>
      </c>
    </row>
    <row r="1601">
      <c r="A1601" s="4" t="inlineStr">
        <is>
          <t>502</t>
        </is>
      </c>
      <c r="B1601" s="4" t="n">
        <v>5</v>
      </c>
      <c r="C1601" s="4" t="inlineStr">
        <is>
          <t>mule deer</t>
        </is>
      </c>
      <c r="D1601" s="4" t="n">
        <v>2023</v>
      </c>
      <c r="E1601" s="13" t="inlineStr">
        <is>
          <t>General</t>
        </is>
      </c>
      <c r="F1601" s="5" t="n">
        <v>1568</v>
      </c>
      <c r="G1601" s="5" t="n">
        <v>7793</v>
      </c>
      <c r="H1601" s="5" t="n">
        <v>565</v>
      </c>
      <c r="I1601" s="5" t="n">
        <v>427</v>
      </c>
      <c r="J1601" s="5" t="n">
        <v>134</v>
      </c>
      <c r="K1601" s="10">
        <f>IF(F1601&gt;0,H1601/F1601,"")</f>
        <v/>
      </c>
      <c r="L1601" s="16">
        <f>IF(AND(G1601&gt;0,H1601&gt;0),G1601/H1601,"")</f>
        <v/>
      </c>
    </row>
    <row r="1602">
      <c r="A1602" s="4" t="inlineStr">
        <is>
          <t>502</t>
        </is>
      </c>
      <c r="B1602" s="4" t="n">
        <v>5</v>
      </c>
      <c r="C1602" s="4" t="inlineStr">
        <is>
          <t>mule deer</t>
        </is>
      </c>
      <c r="D1602" s="4" t="n">
        <v>2024</v>
      </c>
      <c r="E1602" s="13" t="inlineStr">
        <is>
          <t>General</t>
        </is>
      </c>
      <c r="F1602" s="5" t="n"/>
      <c r="G1602" s="5" t="n"/>
      <c r="H1602" s="5" t="n">
        <v>506</v>
      </c>
      <c r="I1602" s="5" t="n">
        <v>435</v>
      </c>
      <c r="J1602" s="5" t="n">
        <v>71</v>
      </c>
      <c r="K1602" s="10">
        <f>IF(F1602&gt;0,H1602/F1602,"")</f>
        <v/>
      </c>
      <c r="L1602" s="16">
        <f>IF(AND(G1602&gt;0,H1602&gt;0),G1602/H1602,"")</f>
        <v/>
      </c>
    </row>
    <row r="1603">
      <c r="A1603" s="4" t="inlineStr">
        <is>
          <t>502</t>
        </is>
      </c>
      <c r="B1603" s="4" t="n">
        <v>5</v>
      </c>
      <c r="C1603" s="4" t="inlineStr">
        <is>
          <t>mule deer</t>
        </is>
      </c>
      <c r="D1603" s="4" t="n">
        <v>2025</v>
      </c>
      <c r="E1603" s="13" t="inlineStr">
        <is>
          <t>General</t>
        </is>
      </c>
      <c r="F1603" s="5" t="n">
        <v>1625</v>
      </c>
      <c r="G1603" s="5" t="n">
        <v>8330</v>
      </c>
      <c r="H1603" s="5" t="n">
        <v>650</v>
      </c>
      <c r="I1603" s="5" t="n">
        <v>552</v>
      </c>
      <c r="J1603" s="5" t="n">
        <v>96</v>
      </c>
      <c r="K1603" s="10">
        <f>IF(F1603&gt;0,H1603/F1603,"")</f>
        <v/>
      </c>
      <c r="L1603" s="16">
        <f>IF(AND(G1603&gt;0,H1603&gt;0),G1603/H1603,"")</f>
        <v/>
      </c>
    </row>
    <row r="1604">
      <c r="A1604" s="4" t="inlineStr">
        <is>
          <t>510</t>
        </is>
      </c>
      <c r="B1604" s="4" t="n">
        <v>5</v>
      </c>
      <c r="C1604" s="4" t="inlineStr">
        <is>
          <t>mule deer</t>
        </is>
      </c>
      <c r="D1604" s="4" t="n">
        <v>2021</v>
      </c>
      <c r="E1604" s="4" t="inlineStr"/>
      <c r="F1604" s="5" t="n">
        <v>383</v>
      </c>
      <c r="G1604" s="5" t="n">
        <v>1917</v>
      </c>
      <c r="H1604" s="5" t="n">
        <v>106</v>
      </c>
      <c r="I1604" s="5" t="n">
        <v>66</v>
      </c>
      <c r="J1604" s="5" t="n">
        <v>40</v>
      </c>
      <c r="K1604" s="10">
        <f>IF(F1604&gt;0,H1604/F1604,"")</f>
        <v/>
      </c>
      <c r="L1604" s="16">
        <f>IF(AND(G1604&gt;0,H1604&gt;0),G1604/H1604,"")</f>
        <v/>
      </c>
    </row>
    <row r="1605">
      <c r="A1605" s="4" t="inlineStr">
        <is>
          <t>511</t>
        </is>
      </c>
      <c r="B1605" s="4" t="n">
        <v>5</v>
      </c>
      <c r="C1605" s="4" t="inlineStr">
        <is>
          <t>mule deer</t>
        </is>
      </c>
      <c r="D1605" s="4" t="n">
        <v>2021</v>
      </c>
      <c r="E1605" s="4" t="inlineStr"/>
      <c r="F1605" s="5" t="n">
        <v>602</v>
      </c>
      <c r="G1605" s="5" t="n">
        <v>3070</v>
      </c>
      <c r="H1605" s="5" t="n">
        <v>148</v>
      </c>
      <c r="I1605" s="5" t="n">
        <v>140</v>
      </c>
      <c r="J1605" s="5" t="n">
        <v>8</v>
      </c>
      <c r="K1605" s="10">
        <f>IF(F1605&gt;0,H1605/F1605,"")</f>
        <v/>
      </c>
      <c r="L1605" s="16">
        <f>IF(AND(G1605&gt;0,H1605&gt;0),G1605/H1605,"")</f>
        <v/>
      </c>
    </row>
    <row r="1606">
      <c r="A1606" s="4" t="inlineStr">
        <is>
          <t>515</t>
        </is>
      </c>
      <c r="B1606" s="4" t="n">
        <v>5</v>
      </c>
      <c r="C1606" s="4" t="inlineStr">
        <is>
          <t>mule deer</t>
        </is>
      </c>
      <c r="D1606" s="4" t="n">
        <v>2022</v>
      </c>
      <c r="E1606" s="13" t="inlineStr">
        <is>
          <t>General</t>
        </is>
      </c>
      <c r="F1606" s="5" t="n"/>
      <c r="G1606" s="5" t="n"/>
      <c r="H1606" s="5" t="n">
        <v>809</v>
      </c>
      <c r="I1606" s="5" t="n">
        <v>606</v>
      </c>
      <c r="J1606" s="5" t="n">
        <v>196</v>
      </c>
      <c r="K1606" s="10">
        <f>IF(F1606&gt;0,H1606/F1606,"")</f>
        <v/>
      </c>
      <c r="L1606" s="16">
        <f>IF(AND(G1606&gt;0,H1606&gt;0),G1606/H1606,"")</f>
        <v/>
      </c>
    </row>
    <row r="1607">
      <c r="A1607" s="4" t="inlineStr">
        <is>
          <t>515</t>
        </is>
      </c>
      <c r="B1607" s="4" t="n">
        <v>5</v>
      </c>
      <c r="C1607" s="4" t="inlineStr">
        <is>
          <t>mule deer</t>
        </is>
      </c>
      <c r="D1607" s="4" t="n">
        <v>2023</v>
      </c>
      <c r="E1607" s="13" t="inlineStr">
        <is>
          <t>General</t>
        </is>
      </c>
      <c r="F1607" s="5" t="n">
        <v>2337</v>
      </c>
      <c r="G1607" s="5" t="n">
        <v>13017</v>
      </c>
      <c r="H1607" s="5" t="n">
        <v>747</v>
      </c>
      <c r="I1607" s="5" t="n">
        <v>491</v>
      </c>
      <c r="J1607" s="5" t="n">
        <v>256</v>
      </c>
      <c r="K1607" s="10">
        <f>IF(F1607&gt;0,H1607/F1607,"")</f>
        <v/>
      </c>
      <c r="L1607" s="16">
        <f>IF(AND(G1607&gt;0,H1607&gt;0),G1607/H1607,"")</f>
        <v/>
      </c>
    </row>
    <row r="1608">
      <c r="A1608" s="4" t="inlineStr">
        <is>
          <t>515</t>
        </is>
      </c>
      <c r="B1608" s="4" t="n">
        <v>5</v>
      </c>
      <c r="C1608" s="4" t="inlineStr">
        <is>
          <t>mule deer</t>
        </is>
      </c>
      <c r="D1608" s="4" t="n">
        <v>2024</v>
      </c>
      <c r="E1608" s="13" t="inlineStr">
        <is>
          <t>General</t>
        </is>
      </c>
      <c r="F1608" s="5" t="n"/>
      <c r="G1608" s="5" t="n"/>
      <c r="H1608" s="5" t="n">
        <v>719</v>
      </c>
      <c r="I1608" s="5" t="n">
        <v>648</v>
      </c>
      <c r="J1608" s="5" t="n">
        <v>68</v>
      </c>
      <c r="K1608" s="10">
        <f>IF(F1608&gt;0,H1608/F1608,"")</f>
        <v/>
      </c>
      <c r="L1608" s="16">
        <f>IF(AND(G1608&gt;0,H1608&gt;0),G1608/H1608,"")</f>
        <v/>
      </c>
    </row>
    <row r="1609">
      <c r="A1609" s="4" t="inlineStr">
        <is>
          <t>515</t>
        </is>
      </c>
      <c r="B1609" s="4" t="n">
        <v>5</v>
      </c>
      <c r="C1609" s="4" t="inlineStr">
        <is>
          <t>mule deer</t>
        </is>
      </c>
      <c r="D1609" s="4" t="n">
        <v>2025</v>
      </c>
      <c r="E1609" s="13" t="inlineStr">
        <is>
          <t>General</t>
        </is>
      </c>
      <c r="F1609" s="5" t="n">
        <v>2329</v>
      </c>
      <c r="G1609" s="5" t="n">
        <v>12505</v>
      </c>
      <c r="H1609" s="5" t="n">
        <v>680</v>
      </c>
      <c r="I1609" s="5" t="n">
        <v>646</v>
      </c>
      <c r="J1609" s="5" t="n">
        <v>34</v>
      </c>
      <c r="K1609" s="10">
        <f>IF(F1609&gt;0,H1609/F1609,"")</f>
        <v/>
      </c>
      <c r="L1609" s="16">
        <f>IF(AND(G1609&gt;0,H1609&gt;0),G1609/H1609,"")</f>
        <v/>
      </c>
    </row>
    <row r="1610">
      <c r="A1610" s="4" t="inlineStr">
        <is>
          <t>520</t>
        </is>
      </c>
      <c r="B1610" s="4" t="n">
        <v>5</v>
      </c>
      <c r="C1610" s="4" t="inlineStr">
        <is>
          <t>mule deer</t>
        </is>
      </c>
      <c r="D1610" s="4" t="n">
        <v>2021</v>
      </c>
      <c r="E1610" s="4" t="inlineStr"/>
      <c r="F1610" s="5" t="n">
        <v>1362</v>
      </c>
      <c r="G1610" s="5" t="n">
        <v>7893</v>
      </c>
      <c r="H1610" s="5" t="n">
        <v>187</v>
      </c>
      <c r="I1610" s="5" t="n">
        <v>123</v>
      </c>
      <c r="J1610" s="5" t="n">
        <v>64</v>
      </c>
      <c r="K1610" s="10">
        <f>IF(F1610&gt;0,H1610/F1610,"")</f>
        <v/>
      </c>
      <c r="L1610" s="16">
        <f>IF(AND(G1610&gt;0,H1610&gt;0),G1610/H1610,"")</f>
        <v/>
      </c>
    </row>
    <row r="1611">
      <c r="A1611" s="4" t="inlineStr">
        <is>
          <t>525</t>
        </is>
      </c>
      <c r="B1611" s="4" t="n">
        <v>5</v>
      </c>
      <c r="C1611" s="4" t="inlineStr">
        <is>
          <t>mule deer</t>
        </is>
      </c>
      <c r="D1611" s="4" t="n">
        <v>2022</v>
      </c>
      <c r="E1611" s="13" t="inlineStr">
        <is>
          <t>General</t>
        </is>
      </c>
      <c r="F1611" s="5" t="n"/>
      <c r="G1611" s="5" t="n"/>
      <c r="H1611" s="5" t="n">
        <v>395</v>
      </c>
      <c r="I1611" s="5" t="n">
        <v>350</v>
      </c>
      <c r="J1611" s="5" t="n">
        <v>42</v>
      </c>
      <c r="K1611" s="10">
        <f>IF(F1611&gt;0,H1611/F1611,"")</f>
        <v/>
      </c>
      <c r="L1611" s="16">
        <f>IF(AND(G1611&gt;0,H1611&gt;0),G1611/H1611,"")</f>
        <v/>
      </c>
    </row>
    <row r="1612">
      <c r="A1612" s="4" t="inlineStr">
        <is>
          <t>525</t>
        </is>
      </c>
      <c r="B1612" s="4" t="n">
        <v>5</v>
      </c>
      <c r="C1612" s="4" t="inlineStr">
        <is>
          <t>mule deer</t>
        </is>
      </c>
      <c r="D1612" s="4" t="n">
        <v>2023</v>
      </c>
      <c r="E1612" s="13" t="inlineStr">
        <is>
          <t>General</t>
        </is>
      </c>
      <c r="F1612" s="5" t="n">
        <v>2110</v>
      </c>
      <c r="G1612" s="5" t="n">
        <v>12779</v>
      </c>
      <c r="H1612" s="5" t="n">
        <v>377</v>
      </c>
      <c r="I1612" s="5" t="n">
        <v>332</v>
      </c>
      <c r="J1612" s="5" t="n">
        <v>42</v>
      </c>
      <c r="K1612" s="10">
        <f>IF(F1612&gt;0,H1612/F1612,"")</f>
        <v/>
      </c>
      <c r="L1612" s="16">
        <f>IF(AND(G1612&gt;0,H1612&gt;0),G1612/H1612,"")</f>
        <v/>
      </c>
    </row>
    <row r="1613">
      <c r="A1613" s="4" t="inlineStr">
        <is>
          <t>525</t>
        </is>
      </c>
      <c r="B1613" s="4" t="n">
        <v>5</v>
      </c>
      <c r="C1613" s="4" t="inlineStr">
        <is>
          <t>mule deer</t>
        </is>
      </c>
      <c r="D1613" s="4" t="n">
        <v>2024</v>
      </c>
      <c r="E1613" s="13" t="inlineStr">
        <is>
          <t>General</t>
        </is>
      </c>
      <c r="F1613" s="5" t="n"/>
      <c r="G1613" s="5" t="n"/>
      <c r="H1613" s="5" t="n">
        <v>398</v>
      </c>
      <c r="I1613" s="5" t="n">
        <v>362</v>
      </c>
      <c r="J1613" s="5" t="n">
        <v>36</v>
      </c>
      <c r="K1613" s="10">
        <f>IF(F1613&gt;0,H1613/F1613,"")</f>
        <v/>
      </c>
      <c r="L1613" s="16">
        <f>IF(AND(G1613&gt;0,H1613&gt;0),G1613/H1613,"")</f>
        <v/>
      </c>
    </row>
    <row r="1614">
      <c r="A1614" s="4" t="inlineStr">
        <is>
          <t>525</t>
        </is>
      </c>
      <c r="B1614" s="4" t="n">
        <v>5</v>
      </c>
      <c r="C1614" s="4" t="inlineStr">
        <is>
          <t>mule deer</t>
        </is>
      </c>
      <c r="D1614" s="4" t="n">
        <v>2025</v>
      </c>
      <c r="E1614" s="13" t="inlineStr">
        <is>
          <t>General</t>
        </is>
      </c>
      <c r="F1614" s="5" t="n">
        <v>2334</v>
      </c>
      <c r="G1614" s="5" t="n">
        <v>13051</v>
      </c>
      <c r="H1614" s="5" t="n">
        <v>484</v>
      </c>
      <c r="I1614" s="5" t="n">
        <v>447</v>
      </c>
      <c r="J1614" s="5" t="n">
        <v>37</v>
      </c>
      <c r="K1614" s="10">
        <f>IF(F1614&gt;0,H1614/F1614,"")</f>
        <v/>
      </c>
      <c r="L1614" s="16">
        <f>IF(AND(G1614&gt;0,H1614&gt;0),G1614/H1614,"")</f>
        <v/>
      </c>
    </row>
    <row r="1615">
      <c r="A1615" s="4" t="inlineStr">
        <is>
          <t>530</t>
        </is>
      </c>
      <c r="B1615" s="4" t="n">
        <v>5</v>
      </c>
      <c r="C1615" s="4" t="inlineStr">
        <is>
          <t>mule deer</t>
        </is>
      </c>
      <c r="D1615" s="4" t="n">
        <v>2021</v>
      </c>
      <c r="E1615" s="4" t="inlineStr"/>
      <c r="F1615" s="5" t="n">
        <v>1361</v>
      </c>
      <c r="G1615" s="5" t="n">
        <v>6875</v>
      </c>
      <c r="H1615" s="5" t="n">
        <v>460</v>
      </c>
      <c r="I1615" s="5" t="n">
        <v>270</v>
      </c>
      <c r="J1615" s="5" t="n">
        <v>191</v>
      </c>
      <c r="K1615" s="10">
        <f>IF(F1615&gt;0,H1615/F1615,"")</f>
        <v/>
      </c>
      <c r="L1615" s="16">
        <f>IF(AND(G1615&gt;0,H1615&gt;0),G1615/H1615,"")</f>
        <v/>
      </c>
    </row>
    <row r="1616">
      <c r="A1616" s="4" t="inlineStr">
        <is>
          <t>535</t>
        </is>
      </c>
      <c r="B1616" s="4" t="n">
        <v>5</v>
      </c>
      <c r="C1616" s="4" t="inlineStr">
        <is>
          <t>mule deer</t>
        </is>
      </c>
      <c r="D1616" s="4" t="n">
        <v>2022</v>
      </c>
      <c r="E1616" s="15" t="inlineStr">
        <is>
          <t>Draw</t>
        </is>
      </c>
      <c r="F1616" s="5" t="n"/>
      <c r="G1616" s="5" t="n"/>
      <c r="H1616" s="5" t="n">
        <v>392</v>
      </c>
      <c r="I1616" s="5" t="n">
        <v>296</v>
      </c>
      <c r="J1616" s="5" t="n">
        <v>95</v>
      </c>
      <c r="K1616" s="10">
        <f>IF(F1616&gt;0,H1616/F1616,"")</f>
        <v/>
      </c>
      <c r="L1616" s="16">
        <f>IF(AND(G1616&gt;0,H1616&gt;0),G1616/H1616,"")</f>
        <v/>
      </c>
    </row>
    <row r="1617">
      <c r="A1617" s="4" t="inlineStr">
        <is>
          <t>535</t>
        </is>
      </c>
      <c r="B1617" s="4" t="n">
        <v>5</v>
      </c>
      <c r="C1617" s="4" t="inlineStr">
        <is>
          <t>mule deer</t>
        </is>
      </c>
      <c r="D1617" s="4" t="n">
        <v>2023</v>
      </c>
      <c r="E1617" s="15" t="inlineStr">
        <is>
          <t>Draw</t>
        </is>
      </c>
      <c r="F1617" s="5" t="n">
        <v>1421</v>
      </c>
      <c r="G1617" s="5" t="n">
        <v>7337</v>
      </c>
      <c r="H1617" s="5" t="n">
        <v>423</v>
      </c>
      <c r="I1617" s="5" t="n">
        <v>324</v>
      </c>
      <c r="J1617" s="5" t="n">
        <v>89</v>
      </c>
      <c r="K1617" s="10">
        <f>IF(F1617&gt;0,H1617/F1617,"")</f>
        <v/>
      </c>
      <c r="L1617" s="16">
        <f>IF(AND(G1617&gt;0,H1617&gt;0),G1617/H1617,"")</f>
        <v/>
      </c>
    </row>
    <row r="1618">
      <c r="A1618" s="4" t="inlineStr">
        <is>
          <t>535</t>
        </is>
      </c>
      <c r="B1618" s="4" t="n">
        <v>5</v>
      </c>
      <c r="C1618" s="4" t="inlineStr">
        <is>
          <t>mule deer</t>
        </is>
      </c>
      <c r="D1618" s="4" t="n">
        <v>2024</v>
      </c>
      <c r="E1618" s="15" t="inlineStr">
        <is>
          <t>Draw</t>
        </is>
      </c>
      <c r="F1618" s="5" t="n"/>
      <c r="G1618" s="5" t="n"/>
      <c r="H1618" s="5" t="n">
        <v>264</v>
      </c>
      <c r="I1618" s="5" t="n">
        <v>237</v>
      </c>
      <c r="J1618" s="5" t="n">
        <v>28</v>
      </c>
      <c r="K1618" s="10">
        <f>IF(F1618&gt;0,H1618/F1618,"")</f>
        <v/>
      </c>
      <c r="L1618" s="16">
        <f>IF(AND(G1618&gt;0,H1618&gt;0),G1618/H1618,"")</f>
        <v/>
      </c>
    </row>
    <row r="1619">
      <c r="A1619" s="4" t="inlineStr">
        <is>
          <t>535</t>
        </is>
      </c>
      <c r="B1619" s="4" t="n">
        <v>5</v>
      </c>
      <c r="C1619" s="4" t="inlineStr">
        <is>
          <t>mule deer</t>
        </is>
      </c>
      <c r="D1619" s="4" t="n">
        <v>2025</v>
      </c>
      <c r="E1619" s="15" t="inlineStr">
        <is>
          <t>Draw</t>
        </is>
      </c>
      <c r="F1619" s="5" t="n">
        <v>1219</v>
      </c>
      <c r="G1619" s="5" t="n">
        <v>7321</v>
      </c>
      <c r="H1619" s="5" t="n">
        <v>311</v>
      </c>
      <c r="I1619" s="5" t="n">
        <v>286</v>
      </c>
      <c r="J1619" s="5" t="n">
        <v>21</v>
      </c>
      <c r="K1619" s="10">
        <f>IF(F1619&gt;0,H1619/F1619,"")</f>
        <v/>
      </c>
      <c r="L1619" s="16">
        <f>IF(AND(G1619&gt;0,H1619&gt;0),G1619/H1619,"")</f>
        <v/>
      </c>
    </row>
    <row r="1620">
      <c r="A1620" s="4" t="inlineStr">
        <is>
          <t>540</t>
        </is>
      </c>
      <c r="B1620" s="4" t="n">
        <v>5</v>
      </c>
      <c r="C1620" s="4" t="inlineStr">
        <is>
          <t>mule deer</t>
        </is>
      </c>
      <c r="D1620" s="4" t="n">
        <v>2021</v>
      </c>
      <c r="E1620" s="13" t="inlineStr">
        <is>
          <t>General</t>
        </is>
      </c>
      <c r="F1620" s="5" t="n">
        <v>826</v>
      </c>
      <c r="G1620" s="5" t="n">
        <v>4844</v>
      </c>
      <c r="H1620" s="5" t="n">
        <v>133</v>
      </c>
      <c r="I1620" s="5" t="n">
        <v>124</v>
      </c>
      <c r="J1620" s="5" t="n">
        <v>10</v>
      </c>
      <c r="K1620" s="10">
        <f>IF(F1620&gt;0,H1620/F1620,"")</f>
        <v/>
      </c>
      <c r="L1620" s="16">
        <f>IF(AND(G1620&gt;0,H1620&gt;0),G1620/H1620,"")</f>
        <v/>
      </c>
    </row>
    <row r="1621">
      <c r="A1621" s="4" t="inlineStr">
        <is>
          <t>540</t>
        </is>
      </c>
      <c r="B1621" s="4" t="n">
        <v>5</v>
      </c>
      <c r="C1621" s="4" t="inlineStr">
        <is>
          <t>mule deer</t>
        </is>
      </c>
      <c r="D1621" s="4" t="n">
        <v>2022</v>
      </c>
      <c r="E1621" s="13" t="inlineStr">
        <is>
          <t>General</t>
        </is>
      </c>
      <c r="F1621" s="5" t="n"/>
      <c r="G1621" s="5" t="n"/>
      <c r="H1621" s="5" t="n">
        <v>141</v>
      </c>
      <c r="I1621" s="5" t="n">
        <v>125</v>
      </c>
      <c r="J1621" s="5" t="n">
        <v>16</v>
      </c>
      <c r="K1621" s="10">
        <f>IF(F1621&gt;0,H1621/F1621,"")</f>
        <v/>
      </c>
      <c r="L1621" s="16">
        <f>IF(AND(G1621&gt;0,H1621&gt;0),G1621/H1621,"")</f>
        <v/>
      </c>
    </row>
    <row r="1622">
      <c r="A1622" s="4" t="inlineStr">
        <is>
          <t>540</t>
        </is>
      </c>
      <c r="B1622" s="4" t="n">
        <v>5</v>
      </c>
      <c r="C1622" s="4" t="inlineStr">
        <is>
          <t>mule deer</t>
        </is>
      </c>
      <c r="D1622" s="4" t="n">
        <v>2023</v>
      </c>
      <c r="E1622" s="13" t="inlineStr">
        <is>
          <t>General</t>
        </is>
      </c>
      <c r="F1622" s="5" t="n">
        <v>739</v>
      </c>
      <c r="G1622" s="5" t="n">
        <v>4201</v>
      </c>
      <c r="H1622" s="5" t="n">
        <v>82</v>
      </c>
      <c r="I1622" s="5" t="n">
        <v>78</v>
      </c>
      <c r="J1622" s="5" t="n">
        <v>3</v>
      </c>
      <c r="K1622" s="10">
        <f>IF(F1622&gt;0,H1622/F1622,"")</f>
        <v/>
      </c>
      <c r="L1622" s="16">
        <f>IF(AND(G1622&gt;0,H1622&gt;0),G1622/H1622,"")</f>
        <v/>
      </c>
    </row>
    <row r="1623">
      <c r="A1623" s="4" t="inlineStr">
        <is>
          <t>540</t>
        </is>
      </c>
      <c r="B1623" s="4" t="n">
        <v>5</v>
      </c>
      <c r="C1623" s="4" t="inlineStr">
        <is>
          <t>mule deer</t>
        </is>
      </c>
      <c r="D1623" s="4" t="n">
        <v>2024</v>
      </c>
      <c r="E1623" s="13" t="inlineStr">
        <is>
          <t>General</t>
        </is>
      </c>
      <c r="F1623" s="5" t="n"/>
      <c r="G1623" s="5" t="n"/>
      <c r="H1623" s="5" t="n">
        <v>102</v>
      </c>
      <c r="I1623" s="5" t="n">
        <v>99</v>
      </c>
      <c r="J1623" s="5" t="n">
        <v>3</v>
      </c>
      <c r="K1623" s="10">
        <f>IF(F1623&gt;0,H1623/F1623,"")</f>
        <v/>
      </c>
      <c r="L1623" s="16">
        <f>IF(AND(G1623&gt;0,H1623&gt;0),G1623/H1623,"")</f>
        <v/>
      </c>
    </row>
    <row r="1624">
      <c r="A1624" s="4" t="inlineStr">
        <is>
          <t>540</t>
        </is>
      </c>
      <c r="B1624" s="4" t="n">
        <v>5</v>
      </c>
      <c r="C1624" s="4" t="inlineStr">
        <is>
          <t>mule deer</t>
        </is>
      </c>
      <c r="D1624" s="4" t="n">
        <v>2025</v>
      </c>
      <c r="E1624" s="13" t="inlineStr">
        <is>
          <t>General</t>
        </is>
      </c>
      <c r="F1624" s="5" t="n">
        <v>859</v>
      </c>
      <c r="G1624" s="5" t="n">
        <v>5251</v>
      </c>
      <c r="H1624" s="5" t="n">
        <v>123</v>
      </c>
      <c r="I1624" s="5" t="n">
        <v>112</v>
      </c>
      <c r="J1624" s="5" t="n">
        <v>11</v>
      </c>
      <c r="K1624" s="10">
        <f>IF(F1624&gt;0,H1624/F1624,"")</f>
        <v/>
      </c>
      <c r="L1624" s="16">
        <f>IF(AND(G1624&gt;0,H1624&gt;0),G1624/H1624,"")</f>
        <v/>
      </c>
    </row>
    <row r="1625">
      <c r="A1625" s="4" t="inlineStr">
        <is>
          <t>555</t>
        </is>
      </c>
      <c r="B1625" s="4" t="n">
        <v>5</v>
      </c>
      <c r="C1625" s="4" t="inlineStr">
        <is>
          <t>mule deer</t>
        </is>
      </c>
      <c r="D1625" s="4" t="n">
        <v>2022</v>
      </c>
      <c r="E1625" s="13" t="inlineStr">
        <is>
          <t>General</t>
        </is>
      </c>
      <c r="F1625" s="5" t="n"/>
      <c r="G1625" s="5" t="n"/>
      <c r="H1625" s="5" t="n">
        <v>106</v>
      </c>
      <c r="I1625" s="5" t="n">
        <v>78</v>
      </c>
      <c r="J1625" s="5" t="n">
        <v>28</v>
      </c>
      <c r="K1625" s="10">
        <f>IF(F1625&gt;0,H1625/F1625,"")</f>
        <v/>
      </c>
      <c r="L1625" s="16">
        <f>IF(AND(G1625&gt;0,H1625&gt;0),G1625/H1625,"")</f>
        <v/>
      </c>
    </row>
    <row r="1626">
      <c r="A1626" s="4" t="inlineStr">
        <is>
          <t>555</t>
        </is>
      </c>
      <c r="B1626" s="4" t="n">
        <v>5</v>
      </c>
      <c r="C1626" s="4" t="inlineStr">
        <is>
          <t>mule deer</t>
        </is>
      </c>
      <c r="D1626" s="4" t="n">
        <v>2023</v>
      </c>
      <c r="E1626" s="13" t="inlineStr">
        <is>
          <t>General</t>
        </is>
      </c>
      <c r="F1626" s="5" t="n">
        <v>443</v>
      </c>
      <c r="G1626" s="5" t="n">
        <v>2480</v>
      </c>
      <c r="H1626" s="5" t="n">
        <v>172</v>
      </c>
      <c r="I1626" s="5" t="n">
        <v>106</v>
      </c>
      <c r="J1626" s="5" t="n">
        <v>66</v>
      </c>
      <c r="K1626" s="10">
        <f>IF(F1626&gt;0,H1626/F1626,"")</f>
        <v/>
      </c>
      <c r="L1626" s="16">
        <f>IF(AND(G1626&gt;0,H1626&gt;0),G1626/H1626,"")</f>
        <v/>
      </c>
    </row>
    <row r="1627">
      <c r="A1627" s="4" t="inlineStr">
        <is>
          <t>555</t>
        </is>
      </c>
      <c r="B1627" s="4" t="n">
        <v>5</v>
      </c>
      <c r="C1627" s="4" t="inlineStr">
        <is>
          <t>mule deer</t>
        </is>
      </c>
      <c r="D1627" s="4" t="n">
        <v>2024</v>
      </c>
      <c r="E1627" s="13" t="inlineStr">
        <is>
          <t>General</t>
        </is>
      </c>
      <c r="F1627" s="5" t="n"/>
      <c r="G1627" s="5" t="n"/>
      <c r="H1627" s="5" t="n">
        <v>159</v>
      </c>
      <c r="I1627" s="5" t="n">
        <v>124</v>
      </c>
      <c r="J1627" s="5" t="n">
        <v>36</v>
      </c>
      <c r="K1627" s="10">
        <f>IF(F1627&gt;0,H1627/F1627,"")</f>
        <v/>
      </c>
      <c r="L1627" s="16">
        <f>IF(AND(G1627&gt;0,H1627&gt;0),G1627/H1627,"")</f>
        <v/>
      </c>
    </row>
    <row r="1628">
      <c r="A1628" s="4" t="inlineStr">
        <is>
          <t>555</t>
        </is>
      </c>
      <c r="B1628" s="4" t="n">
        <v>5</v>
      </c>
      <c r="C1628" s="4" t="inlineStr">
        <is>
          <t>mule deer</t>
        </is>
      </c>
      <c r="D1628" s="4" t="n">
        <v>2025</v>
      </c>
      <c r="E1628" s="13" t="inlineStr">
        <is>
          <t>General</t>
        </is>
      </c>
      <c r="F1628" s="5" t="n">
        <v>578</v>
      </c>
      <c r="G1628" s="5" t="n">
        <v>3339</v>
      </c>
      <c r="H1628" s="5" t="n">
        <v>174</v>
      </c>
      <c r="I1628" s="5" t="n">
        <v>123</v>
      </c>
      <c r="J1628" s="5" t="n">
        <v>50</v>
      </c>
      <c r="K1628" s="10">
        <f>IF(F1628&gt;0,H1628/F1628,"")</f>
        <v/>
      </c>
      <c r="L1628" s="16">
        <f>IF(AND(G1628&gt;0,H1628&gt;0),G1628/H1628,"")</f>
        <v/>
      </c>
    </row>
    <row r="1629">
      <c r="A1629" s="4" t="inlineStr">
        <is>
          <t>560</t>
        </is>
      </c>
      <c r="B1629" s="4" t="n">
        <v>5</v>
      </c>
      <c r="C1629" s="4" t="inlineStr">
        <is>
          <t>mule deer</t>
        </is>
      </c>
      <c r="D1629" s="4" t="n">
        <v>2021</v>
      </c>
      <c r="E1629" s="4" t="inlineStr"/>
      <c r="F1629" s="5" t="n">
        <v>1203</v>
      </c>
      <c r="G1629" s="5" t="n">
        <v>6185</v>
      </c>
      <c r="H1629" s="5" t="n">
        <v>263</v>
      </c>
      <c r="I1629" s="5" t="n">
        <v>235</v>
      </c>
      <c r="J1629" s="5" t="n">
        <v>28</v>
      </c>
      <c r="K1629" s="10">
        <f>IF(F1629&gt;0,H1629/F1629,"")</f>
        <v/>
      </c>
      <c r="L1629" s="16">
        <f>IF(AND(G1629&gt;0,H1629&gt;0),G1629/H1629,"")</f>
        <v/>
      </c>
    </row>
    <row r="1630">
      <c r="A1630" s="4" t="inlineStr">
        <is>
          <t>565</t>
        </is>
      </c>
      <c r="B1630" s="4" t="n">
        <v>5</v>
      </c>
      <c r="C1630" s="4" t="inlineStr">
        <is>
          <t>mule deer</t>
        </is>
      </c>
      <c r="D1630" s="4" t="n">
        <v>2022</v>
      </c>
      <c r="E1630" s="13" t="inlineStr">
        <is>
          <t>General</t>
        </is>
      </c>
      <c r="F1630" s="5" t="n"/>
      <c r="G1630" s="5" t="n"/>
      <c r="H1630" s="5" t="n">
        <v>22</v>
      </c>
      <c r="I1630" s="5" t="n">
        <v>22</v>
      </c>
      <c r="J1630" s="5" t="n">
        <v>0</v>
      </c>
      <c r="K1630" s="10">
        <f>IF(F1630&gt;0,H1630/F1630,"")</f>
        <v/>
      </c>
      <c r="L1630" s="16">
        <f>IF(AND(G1630&gt;0,H1630&gt;0),G1630/H1630,"")</f>
        <v/>
      </c>
    </row>
    <row r="1631">
      <c r="A1631" s="4" t="inlineStr">
        <is>
          <t>565</t>
        </is>
      </c>
      <c r="B1631" s="4" t="n">
        <v>5</v>
      </c>
      <c r="C1631" s="4" t="inlineStr">
        <is>
          <t>mule deer</t>
        </is>
      </c>
      <c r="D1631" s="4" t="n">
        <v>2023</v>
      </c>
      <c r="E1631" s="13" t="inlineStr">
        <is>
          <t>General</t>
        </is>
      </c>
      <c r="F1631" s="5" t="n">
        <v>86</v>
      </c>
      <c r="G1631" s="5" t="n">
        <v>510</v>
      </c>
      <c r="H1631" s="5" t="n">
        <v>3</v>
      </c>
      <c r="I1631" s="5" t="n">
        <v>3</v>
      </c>
      <c r="J1631" s="5" t="n">
        <v>0</v>
      </c>
      <c r="K1631" s="10">
        <f>IF(F1631&gt;0,H1631/F1631,"")</f>
        <v/>
      </c>
      <c r="L1631" s="16">
        <f>IF(AND(G1631&gt;0,H1631&gt;0),G1631/H1631,"")</f>
        <v/>
      </c>
    </row>
    <row r="1632">
      <c r="A1632" s="4" t="inlineStr">
        <is>
          <t>565</t>
        </is>
      </c>
      <c r="B1632" s="4" t="n">
        <v>5</v>
      </c>
      <c r="C1632" s="4" t="inlineStr">
        <is>
          <t>mule deer</t>
        </is>
      </c>
      <c r="D1632" s="4" t="n">
        <v>2024</v>
      </c>
      <c r="E1632" s="13" t="inlineStr">
        <is>
          <t>General</t>
        </is>
      </c>
      <c r="F1632" s="5" t="n"/>
      <c r="G1632" s="5" t="n"/>
      <c r="H1632" s="5" t="n">
        <v>9</v>
      </c>
      <c r="I1632" s="5" t="n">
        <v>9</v>
      </c>
      <c r="J1632" s="5" t="n">
        <v>0</v>
      </c>
      <c r="K1632" s="10">
        <f>IF(F1632&gt;0,H1632/F1632,"")</f>
        <v/>
      </c>
      <c r="L1632" s="16">
        <f>IF(AND(G1632&gt;0,H1632&gt;0),G1632/H1632,"")</f>
        <v/>
      </c>
    </row>
    <row r="1633">
      <c r="A1633" s="4" t="inlineStr">
        <is>
          <t>565</t>
        </is>
      </c>
      <c r="B1633" s="4" t="n">
        <v>5</v>
      </c>
      <c r="C1633" s="4" t="inlineStr">
        <is>
          <t>mule deer</t>
        </is>
      </c>
      <c r="D1633" s="4" t="n">
        <v>2025</v>
      </c>
      <c r="E1633" s="13" t="inlineStr">
        <is>
          <t>General</t>
        </is>
      </c>
      <c r="F1633" s="5" t="n">
        <v>108</v>
      </c>
      <c r="G1633" s="5" t="n">
        <v>704</v>
      </c>
      <c r="H1633" s="5" t="n">
        <v>14</v>
      </c>
      <c r="I1633" s="5" t="n">
        <v>14</v>
      </c>
      <c r="J1633" s="5" t="n">
        <v>0</v>
      </c>
      <c r="K1633" s="10">
        <f>IF(F1633&gt;0,H1633/F1633,"")</f>
        <v/>
      </c>
      <c r="L1633" s="16">
        <f>IF(AND(G1633&gt;0,H1633&gt;0),G1633/H1633,"")</f>
        <v/>
      </c>
    </row>
    <row r="1634">
      <c r="A1634" s="4" t="inlineStr">
        <is>
          <t>570</t>
        </is>
      </c>
      <c r="B1634" s="4" t="n">
        <v>5</v>
      </c>
      <c r="C1634" s="4" t="inlineStr">
        <is>
          <t>mule deer</t>
        </is>
      </c>
      <c r="D1634" s="4" t="n">
        <v>2021</v>
      </c>
      <c r="E1634" s="4" t="inlineStr"/>
      <c r="F1634" s="5" t="n">
        <v>1206</v>
      </c>
      <c r="G1634" s="5" t="n">
        <v>5896</v>
      </c>
      <c r="H1634" s="5" t="n">
        <v>312</v>
      </c>
      <c r="I1634" s="5" t="n">
        <v>270</v>
      </c>
      <c r="J1634" s="5" t="n">
        <v>42</v>
      </c>
      <c r="K1634" s="10">
        <f>IF(F1634&gt;0,H1634/F1634,"")</f>
        <v/>
      </c>
      <c r="L1634" s="16">
        <f>IF(AND(G1634&gt;0,H1634&gt;0),G1634/H1634,"")</f>
        <v/>
      </c>
    </row>
    <row r="1635">
      <c r="A1635" s="4" t="inlineStr">
        <is>
          <t>575</t>
        </is>
      </c>
      <c r="B1635" s="4" t="n">
        <v>5</v>
      </c>
      <c r="C1635" s="4" t="inlineStr">
        <is>
          <t>mule deer</t>
        </is>
      </c>
      <c r="D1635" s="4" t="n">
        <v>2021</v>
      </c>
      <c r="E1635" s="13" t="inlineStr">
        <is>
          <t>General</t>
        </is>
      </c>
      <c r="F1635" s="5" t="n">
        <v>1731</v>
      </c>
      <c r="G1635" s="5" t="n">
        <v>9393</v>
      </c>
      <c r="H1635" s="5" t="n">
        <v>660</v>
      </c>
      <c r="I1635" s="5" t="n">
        <v>403</v>
      </c>
      <c r="J1635" s="5" t="n">
        <v>257</v>
      </c>
      <c r="K1635" s="10">
        <f>IF(F1635&gt;0,H1635/F1635,"")</f>
        <v/>
      </c>
      <c r="L1635" s="16">
        <f>IF(AND(G1635&gt;0,H1635&gt;0),G1635/H1635,"")</f>
        <v/>
      </c>
    </row>
    <row r="1636">
      <c r="A1636" s="4" t="inlineStr">
        <is>
          <t>575</t>
        </is>
      </c>
      <c r="B1636" s="4" t="n">
        <v>5</v>
      </c>
      <c r="C1636" s="4" t="inlineStr">
        <is>
          <t>mule deer</t>
        </is>
      </c>
      <c r="D1636" s="4" t="n">
        <v>2022</v>
      </c>
      <c r="E1636" s="13" t="inlineStr">
        <is>
          <t>General</t>
        </is>
      </c>
      <c r="F1636" s="5" t="n"/>
      <c r="G1636" s="5" t="n"/>
      <c r="H1636" s="5" t="n">
        <v>654</v>
      </c>
      <c r="I1636" s="5" t="n">
        <v>438</v>
      </c>
      <c r="J1636" s="5" t="n">
        <v>211</v>
      </c>
      <c r="K1636" s="10">
        <f>IF(F1636&gt;0,H1636/F1636,"")</f>
        <v/>
      </c>
      <c r="L1636" s="16">
        <f>IF(AND(G1636&gt;0,H1636&gt;0),G1636/H1636,"")</f>
        <v/>
      </c>
    </row>
    <row r="1637">
      <c r="A1637" s="4" t="inlineStr">
        <is>
          <t>575</t>
        </is>
      </c>
      <c r="B1637" s="4" t="n">
        <v>5</v>
      </c>
      <c r="C1637" s="4" t="inlineStr">
        <is>
          <t>mule deer</t>
        </is>
      </c>
      <c r="D1637" s="4" t="n">
        <v>2023</v>
      </c>
      <c r="E1637" s="13" t="inlineStr">
        <is>
          <t>General</t>
        </is>
      </c>
      <c r="F1637" s="5" t="n">
        <v>1970</v>
      </c>
      <c r="G1637" s="5" t="n">
        <v>11695</v>
      </c>
      <c r="H1637" s="5" t="n">
        <v>612</v>
      </c>
      <c r="I1637" s="5" t="n">
        <v>409</v>
      </c>
      <c r="J1637" s="5" t="n">
        <v>197</v>
      </c>
      <c r="K1637" s="10">
        <f>IF(F1637&gt;0,H1637/F1637,"")</f>
        <v/>
      </c>
      <c r="L1637" s="16">
        <f>IF(AND(G1637&gt;0,H1637&gt;0),G1637/H1637,"")</f>
        <v/>
      </c>
    </row>
    <row r="1638">
      <c r="A1638" s="4" t="inlineStr">
        <is>
          <t>575</t>
        </is>
      </c>
      <c r="B1638" s="4" t="n">
        <v>5</v>
      </c>
      <c r="C1638" s="4" t="inlineStr">
        <is>
          <t>mule deer</t>
        </is>
      </c>
      <c r="D1638" s="4" t="n">
        <v>2024</v>
      </c>
      <c r="E1638" s="13" t="inlineStr">
        <is>
          <t>General</t>
        </is>
      </c>
      <c r="F1638" s="5" t="n"/>
      <c r="G1638" s="5" t="n"/>
      <c r="H1638" s="5" t="n">
        <v>659</v>
      </c>
      <c r="I1638" s="5" t="n">
        <v>441</v>
      </c>
      <c r="J1638" s="5" t="n">
        <v>218</v>
      </c>
      <c r="K1638" s="10">
        <f>IF(F1638&gt;0,H1638/F1638,"")</f>
        <v/>
      </c>
      <c r="L1638" s="16">
        <f>IF(AND(G1638&gt;0,H1638&gt;0),G1638/H1638,"")</f>
        <v/>
      </c>
    </row>
    <row r="1639">
      <c r="A1639" s="4" t="inlineStr">
        <is>
          <t>575</t>
        </is>
      </c>
      <c r="B1639" s="4" t="n">
        <v>5</v>
      </c>
      <c r="C1639" s="4" t="inlineStr">
        <is>
          <t>mule deer</t>
        </is>
      </c>
      <c r="D1639" s="4" t="n">
        <v>2025</v>
      </c>
      <c r="E1639" s="13" t="inlineStr">
        <is>
          <t>General</t>
        </is>
      </c>
      <c r="F1639" s="5" t="n">
        <v>2007</v>
      </c>
      <c r="G1639" s="5" t="n">
        <v>11128</v>
      </c>
      <c r="H1639" s="5" t="n">
        <v>609</v>
      </c>
      <c r="I1639" s="5" t="n">
        <v>419</v>
      </c>
      <c r="J1639" s="5" t="n">
        <v>190</v>
      </c>
      <c r="K1639" s="10">
        <f>IF(F1639&gt;0,H1639/F1639,"")</f>
        <v/>
      </c>
      <c r="L1639" s="16">
        <f>IF(AND(G1639&gt;0,H1639&gt;0),G1639/H1639,"")</f>
        <v/>
      </c>
    </row>
    <row r="1640">
      <c r="A1640" s="4" t="inlineStr">
        <is>
          <t>580</t>
        </is>
      </c>
      <c r="B1640" s="4" t="n">
        <v>5</v>
      </c>
      <c r="C1640" s="4" t="inlineStr">
        <is>
          <t>mule deer</t>
        </is>
      </c>
      <c r="D1640" s="4" t="n">
        <v>2021</v>
      </c>
      <c r="E1640" s="13" t="inlineStr">
        <is>
          <t>General</t>
        </is>
      </c>
      <c r="F1640" s="5" t="n">
        <v>1137</v>
      </c>
      <c r="G1640" s="5" t="n">
        <v>5129</v>
      </c>
      <c r="H1640" s="5" t="n">
        <v>197</v>
      </c>
      <c r="I1640" s="5" t="n">
        <v>158</v>
      </c>
      <c r="J1640" s="5" t="n">
        <v>38</v>
      </c>
      <c r="K1640" s="10">
        <f>IF(F1640&gt;0,H1640/F1640,"")</f>
        <v/>
      </c>
      <c r="L1640" s="16">
        <f>IF(AND(G1640&gt;0,H1640&gt;0),G1640/H1640,"")</f>
        <v/>
      </c>
    </row>
    <row r="1641">
      <c r="A1641" s="4" t="inlineStr">
        <is>
          <t>580</t>
        </is>
      </c>
      <c r="B1641" s="4" t="n">
        <v>5</v>
      </c>
      <c r="C1641" s="4" t="inlineStr">
        <is>
          <t>mule deer</t>
        </is>
      </c>
      <c r="D1641" s="4" t="n">
        <v>2022</v>
      </c>
      <c r="E1641" s="13" t="inlineStr">
        <is>
          <t>General</t>
        </is>
      </c>
      <c r="F1641" s="5" t="n"/>
      <c r="G1641" s="5" t="n"/>
      <c r="H1641" s="5" t="n">
        <v>226</v>
      </c>
      <c r="I1641" s="5" t="n">
        <v>209</v>
      </c>
      <c r="J1641" s="5" t="n">
        <v>18</v>
      </c>
      <c r="K1641" s="10">
        <f>IF(F1641&gt;0,H1641/F1641,"")</f>
        <v/>
      </c>
      <c r="L1641" s="16">
        <f>IF(AND(G1641&gt;0,H1641&gt;0),G1641/H1641,"")</f>
        <v/>
      </c>
    </row>
    <row r="1642">
      <c r="A1642" s="4" t="inlineStr">
        <is>
          <t>580</t>
        </is>
      </c>
      <c r="B1642" s="4" t="n">
        <v>5</v>
      </c>
      <c r="C1642" s="4" t="inlineStr">
        <is>
          <t>mule deer</t>
        </is>
      </c>
      <c r="D1642" s="4" t="n">
        <v>2023</v>
      </c>
      <c r="E1642" s="13" t="inlineStr">
        <is>
          <t>General</t>
        </is>
      </c>
      <c r="F1642" s="5" t="n">
        <v>1145</v>
      </c>
      <c r="G1642" s="5" t="n">
        <v>5774</v>
      </c>
      <c r="H1642" s="5" t="n">
        <v>204</v>
      </c>
      <c r="I1642" s="5" t="n">
        <v>178</v>
      </c>
      <c r="J1642" s="5" t="n">
        <v>26</v>
      </c>
      <c r="K1642" s="10">
        <f>IF(F1642&gt;0,H1642/F1642,"")</f>
        <v/>
      </c>
      <c r="L1642" s="16">
        <f>IF(AND(G1642&gt;0,H1642&gt;0),G1642/H1642,"")</f>
        <v/>
      </c>
    </row>
    <row r="1643">
      <c r="A1643" s="4" t="inlineStr">
        <is>
          <t>580</t>
        </is>
      </c>
      <c r="B1643" s="4" t="n">
        <v>5</v>
      </c>
      <c r="C1643" s="4" t="inlineStr">
        <is>
          <t>mule deer</t>
        </is>
      </c>
      <c r="D1643" s="4" t="n">
        <v>2024</v>
      </c>
      <c r="E1643" s="13" t="inlineStr">
        <is>
          <t>General</t>
        </is>
      </c>
      <c r="F1643" s="5" t="n"/>
      <c r="G1643" s="5" t="n"/>
      <c r="H1643" s="5" t="n">
        <v>217</v>
      </c>
      <c r="I1643" s="5" t="n">
        <v>204</v>
      </c>
      <c r="J1643" s="5" t="n">
        <v>13</v>
      </c>
      <c r="K1643" s="10">
        <f>IF(F1643&gt;0,H1643/F1643,"")</f>
        <v/>
      </c>
      <c r="L1643" s="16">
        <f>IF(AND(G1643&gt;0,H1643&gt;0),G1643/H1643,"")</f>
        <v/>
      </c>
    </row>
    <row r="1644">
      <c r="A1644" s="4" t="inlineStr">
        <is>
          <t>580</t>
        </is>
      </c>
      <c r="B1644" s="4" t="n">
        <v>5</v>
      </c>
      <c r="C1644" s="4" t="inlineStr">
        <is>
          <t>mule deer</t>
        </is>
      </c>
      <c r="D1644" s="4" t="n">
        <v>2025</v>
      </c>
      <c r="E1644" s="13" t="inlineStr">
        <is>
          <t>General</t>
        </is>
      </c>
      <c r="F1644" s="5" t="n">
        <v>1399</v>
      </c>
      <c r="G1644" s="5" t="n">
        <v>7790</v>
      </c>
      <c r="H1644" s="5" t="n">
        <v>231</v>
      </c>
      <c r="I1644" s="5" t="n">
        <v>204</v>
      </c>
      <c r="J1644" s="5" t="n">
        <v>28</v>
      </c>
      <c r="K1644" s="10">
        <f>IF(F1644&gt;0,H1644/F1644,"")</f>
        <v/>
      </c>
      <c r="L1644" s="16">
        <f>IF(AND(G1644&gt;0,H1644&gt;0),G1644/H1644,"")</f>
        <v/>
      </c>
    </row>
    <row r="1645">
      <c r="A1645" s="4" t="inlineStr">
        <is>
          <t>590</t>
        </is>
      </c>
      <c r="B1645" s="4" t="n">
        <v>5</v>
      </c>
      <c r="C1645" s="4" t="inlineStr">
        <is>
          <t>mule deer</t>
        </is>
      </c>
      <c r="D1645" s="4" t="n">
        <v>2021</v>
      </c>
      <c r="E1645" s="13" t="inlineStr">
        <is>
          <t>General</t>
        </is>
      </c>
      <c r="F1645" s="5" t="n">
        <v>3920</v>
      </c>
      <c r="G1645" s="5" t="n">
        <v>24128</v>
      </c>
      <c r="H1645" s="5" t="n">
        <v>1001</v>
      </c>
      <c r="I1645" s="5" t="n">
        <v>728</v>
      </c>
      <c r="J1645" s="5" t="n">
        <v>272</v>
      </c>
      <c r="K1645" s="10">
        <f>IF(F1645&gt;0,H1645/F1645,"")</f>
        <v/>
      </c>
      <c r="L1645" s="16">
        <f>IF(AND(G1645&gt;0,H1645&gt;0),G1645/H1645,"")</f>
        <v/>
      </c>
    </row>
    <row r="1646">
      <c r="A1646" s="4" t="inlineStr">
        <is>
          <t>590</t>
        </is>
      </c>
      <c r="B1646" s="4" t="n">
        <v>5</v>
      </c>
      <c r="C1646" s="4" t="inlineStr">
        <is>
          <t>mule deer</t>
        </is>
      </c>
      <c r="D1646" s="4" t="n">
        <v>2022</v>
      </c>
      <c r="E1646" s="13" t="inlineStr">
        <is>
          <t>General</t>
        </is>
      </c>
      <c r="F1646" s="5" t="n"/>
      <c r="G1646" s="5" t="n"/>
      <c r="H1646" s="5" t="n">
        <v>1034</v>
      </c>
      <c r="I1646" s="5" t="n">
        <v>797</v>
      </c>
      <c r="J1646" s="5" t="n">
        <v>226</v>
      </c>
      <c r="K1646" s="10">
        <f>IF(F1646&gt;0,H1646/F1646,"")</f>
        <v/>
      </c>
      <c r="L1646" s="16">
        <f>IF(AND(G1646&gt;0,H1646&gt;0),G1646/H1646,"")</f>
        <v/>
      </c>
    </row>
    <row r="1647">
      <c r="A1647" s="4" t="inlineStr">
        <is>
          <t>590</t>
        </is>
      </c>
      <c r="B1647" s="4" t="n">
        <v>5</v>
      </c>
      <c r="C1647" s="4" t="inlineStr">
        <is>
          <t>mule deer</t>
        </is>
      </c>
      <c r="D1647" s="4" t="n">
        <v>2023</v>
      </c>
      <c r="E1647" s="13" t="inlineStr">
        <is>
          <t>General</t>
        </is>
      </c>
      <c r="F1647" s="5" t="n">
        <v>3941</v>
      </c>
      <c r="G1647" s="5" t="n">
        <v>23209</v>
      </c>
      <c r="H1647" s="5" t="n">
        <v>1033</v>
      </c>
      <c r="I1647" s="5" t="n">
        <v>758</v>
      </c>
      <c r="J1647" s="5" t="n">
        <v>262</v>
      </c>
      <c r="K1647" s="10">
        <f>IF(F1647&gt;0,H1647/F1647,"")</f>
        <v/>
      </c>
      <c r="L1647" s="16">
        <f>IF(AND(G1647&gt;0,H1647&gt;0),G1647/H1647,"")</f>
        <v/>
      </c>
    </row>
    <row r="1648">
      <c r="A1648" s="4" t="inlineStr">
        <is>
          <t>590</t>
        </is>
      </c>
      <c r="B1648" s="4" t="n">
        <v>5</v>
      </c>
      <c r="C1648" s="4" t="inlineStr">
        <is>
          <t>mule deer</t>
        </is>
      </c>
      <c r="D1648" s="4" t="n">
        <v>2024</v>
      </c>
      <c r="E1648" s="13" t="inlineStr">
        <is>
          <t>General</t>
        </is>
      </c>
      <c r="F1648" s="5" t="n"/>
      <c r="G1648" s="5" t="n"/>
      <c r="H1648" s="5" t="n">
        <v>957</v>
      </c>
      <c r="I1648" s="5" t="n">
        <v>893</v>
      </c>
      <c r="J1648" s="5" t="n">
        <v>64</v>
      </c>
      <c r="K1648" s="10">
        <f>IF(F1648&gt;0,H1648/F1648,"")</f>
        <v/>
      </c>
      <c r="L1648" s="16">
        <f>IF(AND(G1648&gt;0,H1648&gt;0),G1648/H1648,"")</f>
        <v/>
      </c>
    </row>
    <row r="1649">
      <c r="A1649" s="4" t="inlineStr">
        <is>
          <t>590</t>
        </is>
      </c>
      <c r="B1649" s="4" t="n">
        <v>5</v>
      </c>
      <c r="C1649" s="4" t="inlineStr">
        <is>
          <t>mule deer</t>
        </is>
      </c>
      <c r="D1649" s="4" t="n">
        <v>2025</v>
      </c>
      <c r="E1649" s="13" t="inlineStr">
        <is>
          <t>General</t>
        </is>
      </c>
      <c r="F1649" s="5" t="n">
        <v>3919</v>
      </c>
      <c r="G1649" s="5" t="n">
        <v>24766</v>
      </c>
      <c r="H1649" s="5" t="n">
        <v>1003</v>
      </c>
      <c r="I1649" s="5" t="n">
        <v>948</v>
      </c>
      <c r="J1649" s="5" t="n">
        <v>56</v>
      </c>
      <c r="K1649" s="10">
        <f>IF(F1649&gt;0,H1649/F1649,"")</f>
        <v/>
      </c>
      <c r="L1649" s="16">
        <f>IF(AND(G1649&gt;0,H1649&gt;0),G1649/H1649,"")</f>
        <v/>
      </c>
    </row>
    <row r="1650">
      <c r="A1650" s="4" t="inlineStr">
        <is>
          <t>600</t>
        </is>
      </c>
      <c r="B1650" s="4" t="n">
        <v>6</v>
      </c>
      <c r="C1650" s="4" t="inlineStr">
        <is>
          <t>mule deer</t>
        </is>
      </c>
      <c r="D1650" s="4" t="n">
        <v>2021</v>
      </c>
      <c r="E1650" s="13" t="inlineStr">
        <is>
          <t>General</t>
        </is>
      </c>
      <c r="F1650" s="5" t="n">
        <v>2272</v>
      </c>
      <c r="G1650" s="5" t="n">
        <v>12924</v>
      </c>
      <c r="H1650" s="5" t="n">
        <v>1352</v>
      </c>
      <c r="I1650" s="5" t="n">
        <v>883</v>
      </c>
      <c r="J1650" s="5" t="n">
        <v>469</v>
      </c>
      <c r="K1650" s="10">
        <f>IF(F1650&gt;0,H1650/F1650,"")</f>
        <v/>
      </c>
      <c r="L1650" s="16">
        <f>IF(AND(G1650&gt;0,H1650&gt;0),G1650/H1650,"")</f>
        <v/>
      </c>
    </row>
    <row r="1651">
      <c r="A1651" s="4" t="inlineStr">
        <is>
          <t>600</t>
        </is>
      </c>
      <c r="B1651" s="4" t="n">
        <v>6</v>
      </c>
      <c r="C1651" s="4" t="inlineStr">
        <is>
          <t>mule deer</t>
        </is>
      </c>
      <c r="D1651" s="4" t="n">
        <v>2022</v>
      </c>
      <c r="E1651" s="13" t="inlineStr">
        <is>
          <t>General</t>
        </is>
      </c>
      <c r="F1651" s="5" t="n"/>
      <c r="G1651" s="5" t="n"/>
      <c r="H1651" s="5" t="n">
        <v>999</v>
      </c>
      <c r="I1651" s="5" t="n">
        <v>687</v>
      </c>
      <c r="J1651" s="5" t="n">
        <v>308</v>
      </c>
      <c r="K1651" s="10">
        <f>IF(F1651&gt;0,H1651/F1651,"")</f>
        <v/>
      </c>
      <c r="L1651" s="16">
        <f>IF(AND(G1651&gt;0,H1651&gt;0),G1651/H1651,"")</f>
        <v/>
      </c>
    </row>
    <row r="1652">
      <c r="A1652" s="4" t="inlineStr">
        <is>
          <t>600</t>
        </is>
      </c>
      <c r="B1652" s="4" t="n">
        <v>6</v>
      </c>
      <c r="C1652" s="4" t="inlineStr">
        <is>
          <t>mule deer</t>
        </is>
      </c>
      <c r="D1652" s="4" t="n">
        <v>2023</v>
      </c>
      <c r="E1652" s="13" t="inlineStr">
        <is>
          <t>General</t>
        </is>
      </c>
      <c r="F1652" s="5" t="n">
        <v>2398</v>
      </c>
      <c r="G1652" s="5" t="n">
        <v>14035</v>
      </c>
      <c r="H1652" s="5" t="n">
        <v>1021</v>
      </c>
      <c r="I1652" s="5" t="n">
        <v>603</v>
      </c>
      <c r="J1652" s="5" t="n">
        <v>408</v>
      </c>
      <c r="K1652" s="10">
        <f>IF(F1652&gt;0,H1652/F1652,"")</f>
        <v/>
      </c>
      <c r="L1652" s="16">
        <f>IF(AND(G1652&gt;0,H1652&gt;0),G1652/H1652,"")</f>
        <v/>
      </c>
    </row>
    <row r="1653">
      <c r="A1653" s="4" t="inlineStr">
        <is>
          <t>600</t>
        </is>
      </c>
      <c r="B1653" s="4" t="n">
        <v>6</v>
      </c>
      <c r="C1653" s="4" t="inlineStr">
        <is>
          <t>mule deer</t>
        </is>
      </c>
      <c r="D1653" s="4" t="n">
        <v>2024</v>
      </c>
      <c r="E1653" s="13" t="inlineStr">
        <is>
          <t>General</t>
        </is>
      </c>
      <c r="F1653" s="5" t="n"/>
      <c r="G1653" s="5" t="n"/>
      <c r="H1653" s="5" t="n">
        <v>865</v>
      </c>
      <c r="I1653" s="5" t="n">
        <v>623</v>
      </c>
      <c r="J1653" s="5" t="n">
        <v>242</v>
      </c>
      <c r="K1653" s="10">
        <f>IF(F1653&gt;0,H1653/F1653,"")</f>
        <v/>
      </c>
      <c r="L1653" s="16">
        <f>IF(AND(G1653&gt;0,H1653&gt;0),G1653/H1653,"")</f>
        <v/>
      </c>
    </row>
    <row r="1654">
      <c r="A1654" s="4" t="inlineStr">
        <is>
          <t>600</t>
        </is>
      </c>
      <c r="B1654" s="4" t="n">
        <v>6</v>
      </c>
      <c r="C1654" s="4" t="inlineStr">
        <is>
          <t>mule deer</t>
        </is>
      </c>
      <c r="D1654" s="4" t="n">
        <v>2025</v>
      </c>
      <c r="E1654" s="13" t="inlineStr">
        <is>
          <t>General</t>
        </is>
      </c>
      <c r="F1654" s="5" t="n">
        <v>1998</v>
      </c>
      <c r="G1654" s="5" t="n">
        <v>10849</v>
      </c>
      <c r="H1654" s="5" t="n">
        <v>783</v>
      </c>
      <c r="I1654" s="5" t="n">
        <v>568</v>
      </c>
      <c r="J1654" s="5" t="n">
        <v>211</v>
      </c>
      <c r="K1654" s="10">
        <f>IF(F1654&gt;0,H1654/F1654,"")</f>
        <v/>
      </c>
      <c r="L1654" s="16">
        <f>IF(AND(G1654&gt;0,H1654&gt;0),G1654/H1654,"")</f>
        <v/>
      </c>
    </row>
    <row r="1655">
      <c r="A1655" s="4" t="inlineStr">
        <is>
          <t>620</t>
        </is>
      </c>
      <c r="B1655" s="4" t="n">
        <v>6</v>
      </c>
      <c r="C1655" s="4" t="inlineStr">
        <is>
          <t>mule deer</t>
        </is>
      </c>
      <c r="D1655" s="4" t="n">
        <v>2021</v>
      </c>
      <c r="E1655" s="13" t="inlineStr">
        <is>
          <t>General</t>
        </is>
      </c>
      <c r="F1655" s="5" t="n">
        <v>1760</v>
      </c>
      <c r="G1655" s="5" t="n">
        <v>9970</v>
      </c>
      <c r="H1655" s="5" t="n">
        <v>958</v>
      </c>
      <c r="I1655" s="5" t="n">
        <v>580</v>
      </c>
      <c r="J1655" s="5" t="n">
        <v>378</v>
      </c>
      <c r="K1655" s="10">
        <f>IF(F1655&gt;0,H1655/F1655,"")</f>
        <v/>
      </c>
      <c r="L1655" s="16">
        <f>IF(AND(G1655&gt;0,H1655&gt;0),G1655/H1655,"")</f>
        <v/>
      </c>
    </row>
    <row r="1656">
      <c r="A1656" s="4" t="inlineStr">
        <is>
          <t>620</t>
        </is>
      </c>
      <c r="B1656" s="4" t="n">
        <v>6</v>
      </c>
      <c r="C1656" s="4" t="inlineStr">
        <is>
          <t>mule deer</t>
        </is>
      </c>
      <c r="D1656" s="4" t="n">
        <v>2022</v>
      </c>
      <c r="E1656" s="13" t="inlineStr">
        <is>
          <t>General</t>
        </is>
      </c>
      <c r="F1656" s="5" t="n"/>
      <c r="G1656" s="5" t="n"/>
      <c r="H1656" s="5" t="n">
        <v>556</v>
      </c>
      <c r="I1656" s="5" t="n">
        <v>444</v>
      </c>
      <c r="J1656" s="5" t="n">
        <v>112</v>
      </c>
      <c r="K1656" s="10">
        <f>IF(F1656&gt;0,H1656/F1656,"")</f>
        <v/>
      </c>
      <c r="L1656" s="16">
        <f>IF(AND(G1656&gt;0,H1656&gt;0),G1656/H1656,"")</f>
        <v/>
      </c>
    </row>
    <row r="1657">
      <c r="A1657" s="4" t="inlineStr">
        <is>
          <t>620</t>
        </is>
      </c>
      <c r="B1657" s="4" t="n">
        <v>6</v>
      </c>
      <c r="C1657" s="4" t="inlineStr">
        <is>
          <t>mule deer</t>
        </is>
      </c>
      <c r="D1657" s="4" t="n">
        <v>2023</v>
      </c>
      <c r="E1657" s="13" t="inlineStr">
        <is>
          <t>General</t>
        </is>
      </c>
      <c r="F1657" s="5" t="n">
        <v>1326</v>
      </c>
      <c r="G1657" s="5" t="n">
        <v>7199</v>
      </c>
      <c r="H1657" s="5" t="n">
        <v>474</v>
      </c>
      <c r="I1657" s="5" t="n">
        <v>366</v>
      </c>
      <c r="J1657" s="5" t="n">
        <v>107</v>
      </c>
      <c r="K1657" s="10">
        <f>IF(F1657&gt;0,H1657/F1657,"")</f>
        <v/>
      </c>
      <c r="L1657" s="16">
        <f>IF(AND(G1657&gt;0,H1657&gt;0),G1657/H1657,"")</f>
        <v/>
      </c>
    </row>
    <row r="1658">
      <c r="A1658" s="4" t="inlineStr">
        <is>
          <t>620</t>
        </is>
      </c>
      <c r="B1658" s="4" t="n">
        <v>6</v>
      </c>
      <c r="C1658" s="4" t="inlineStr">
        <is>
          <t>mule deer</t>
        </is>
      </c>
      <c r="D1658" s="4" t="n">
        <v>2024</v>
      </c>
      <c r="E1658" s="13" t="inlineStr">
        <is>
          <t>General</t>
        </is>
      </c>
      <c r="F1658" s="5" t="n"/>
      <c r="G1658" s="5" t="n"/>
      <c r="H1658" s="5" t="n">
        <v>332</v>
      </c>
      <c r="I1658" s="5" t="n">
        <v>294</v>
      </c>
      <c r="J1658" s="5" t="n">
        <v>38</v>
      </c>
      <c r="K1658" s="10">
        <f>IF(F1658&gt;0,H1658/F1658,"")</f>
        <v/>
      </c>
      <c r="L1658" s="16">
        <f>IF(AND(G1658&gt;0,H1658&gt;0),G1658/H1658,"")</f>
        <v/>
      </c>
    </row>
    <row r="1659">
      <c r="A1659" s="4" t="inlineStr">
        <is>
          <t>620</t>
        </is>
      </c>
      <c r="B1659" s="4" t="n">
        <v>6</v>
      </c>
      <c r="C1659" s="4" t="inlineStr">
        <is>
          <t>mule deer</t>
        </is>
      </c>
      <c r="D1659" s="4" t="n">
        <v>2025</v>
      </c>
      <c r="E1659" s="13" t="inlineStr">
        <is>
          <t>General</t>
        </is>
      </c>
      <c r="F1659" s="5" t="n">
        <v>1199</v>
      </c>
      <c r="G1659" s="5" t="n">
        <v>6966</v>
      </c>
      <c r="H1659" s="5" t="n">
        <v>392</v>
      </c>
      <c r="I1659" s="5" t="n">
        <v>369</v>
      </c>
      <c r="J1659" s="5" t="n">
        <v>23</v>
      </c>
      <c r="K1659" s="10">
        <f>IF(F1659&gt;0,H1659/F1659,"")</f>
        <v/>
      </c>
      <c r="L1659" s="16">
        <f>IF(AND(G1659&gt;0,H1659&gt;0),G1659/H1659,"")</f>
        <v/>
      </c>
    </row>
    <row r="1660">
      <c r="A1660" s="4" t="inlineStr">
        <is>
          <t>621</t>
        </is>
      </c>
      <c r="B1660" s="4" t="n">
        <v>6</v>
      </c>
      <c r="C1660" s="4" t="inlineStr">
        <is>
          <t>mule deer</t>
        </is>
      </c>
      <c r="D1660" s="4" t="n">
        <v>2021</v>
      </c>
      <c r="E1660" s="13" t="inlineStr">
        <is>
          <t>General</t>
        </is>
      </c>
      <c r="F1660" s="5" t="n">
        <v>1035</v>
      </c>
      <c r="G1660" s="5" t="n">
        <v>5980</v>
      </c>
      <c r="H1660" s="5" t="n">
        <v>403</v>
      </c>
      <c r="I1660" s="5" t="n">
        <v>297</v>
      </c>
      <c r="J1660" s="5" t="n">
        <v>107</v>
      </c>
      <c r="K1660" s="10">
        <f>IF(F1660&gt;0,H1660/F1660,"")</f>
        <v/>
      </c>
      <c r="L1660" s="16">
        <f>IF(AND(G1660&gt;0,H1660&gt;0),G1660/H1660,"")</f>
        <v/>
      </c>
    </row>
    <row r="1661">
      <c r="A1661" s="4" t="inlineStr">
        <is>
          <t>621</t>
        </is>
      </c>
      <c r="B1661" s="4" t="n">
        <v>6</v>
      </c>
      <c r="C1661" s="4" t="inlineStr">
        <is>
          <t>mule deer</t>
        </is>
      </c>
      <c r="D1661" s="4" t="n">
        <v>2022</v>
      </c>
      <c r="E1661" s="13" t="inlineStr">
        <is>
          <t>General</t>
        </is>
      </c>
      <c r="F1661" s="5" t="n"/>
      <c r="G1661" s="5" t="n"/>
      <c r="H1661" s="5" t="n">
        <v>218</v>
      </c>
      <c r="I1661" s="5" t="n">
        <v>184</v>
      </c>
      <c r="J1661" s="5" t="n">
        <v>34</v>
      </c>
      <c r="K1661" s="10">
        <f>IF(F1661&gt;0,H1661/F1661,"")</f>
        <v/>
      </c>
      <c r="L1661" s="16">
        <f>IF(AND(G1661&gt;0,H1661&gt;0),G1661/H1661,"")</f>
        <v/>
      </c>
    </row>
    <row r="1662">
      <c r="A1662" s="4" t="inlineStr">
        <is>
          <t>621</t>
        </is>
      </c>
      <c r="B1662" s="4" t="n">
        <v>6</v>
      </c>
      <c r="C1662" s="4" t="inlineStr">
        <is>
          <t>mule deer</t>
        </is>
      </c>
      <c r="D1662" s="4" t="n">
        <v>2023</v>
      </c>
      <c r="E1662" s="13" t="inlineStr">
        <is>
          <t>General</t>
        </is>
      </c>
      <c r="F1662" s="5" t="n">
        <v>824</v>
      </c>
      <c r="G1662" s="5" t="n">
        <v>4743</v>
      </c>
      <c r="H1662" s="5" t="n">
        <v>242</v>
      </c>
      <c r="I1662" s="5" t="n">
        <v>227</v>
      </c>
      <c r="J1662" s="5" t="n">
        <v>15</v>
      </c>
      <c r="K1662" s="10">
        <f>IF(F1662&gt;0,H1662/F1662,"")</f>
        <v/>
      </c>
      <c r="L1662" s="16">
        <f>IF(AND(G1662&gt;0,H1662&gt;0),G1662/H1662,"")</f>
        <v/>
      </c>
    </row>
    <row r="1663">
      <c r="A1663" s="4" t="inlineStr">
        <is>
          <t>621</t>
        </is>
      </c>
      <c r="B1663" s="4" t="n">
        <v>6</v>
      </c>
      <c r="C1663" s="4" t="inlineStr">
        <is>
          <t>mule deer</t>
        </is>
      </c>
      <c r="D1663" s="4" t="n">
        <v>2024</v>
      </c>
      <c r="E1663" s="13" t="inlineStr">
        <is>
          <t>General</t>
        </is>
      </c>
      <c r="F1663" s="5" t="n"/>
      <c r="G1663" s="5" t="n"/>
      <c r="H1663" s="5" t="n">
        <v>260</v>
      </c>
      <c r="I1663" s="5" t="n">
        <v>260</v>
      </c>
      <c r="J1663" s="5" t="n">
        <v>0</v>
      </c>
      <c r="K1663" s="10">
        <f>IF(F1663&gt;0,H1663/F1663,"")</f>
        <v/>
      </c>
      <c r="L1663" s="16">
        <f>IF(AND(G1663&gt;0,H1663&gt;0),G1663/H1663,"")</f>
        <v/>
      </c>
    </row>
    <row r="1664">
      <c r="A1664" s="4" t="inlineStr">
        <is>
          <t>621</t>
        </is>
      </c>
      <c r="B1664" s="4" t="n">
        <v>6</v>
      </c>
      <c r="C1664" s="4" t="inlineStr">
        <is>
          <t>mule deer</t>
        </is>
      </c>
      <c r="D1664" s="4" t="n">
        <v>2025</v>
      </c>
      <c r="E1664" s="13" t="inlineStr">
        <is>
          <t>General</t>
        </is>
      </c>
      <c r="F1664" s="5" t="n">
        <v>764</v>
      </c>
      <c r="G1664" s="5" t="n">
        <v>5003</v>
      </c>
      <c r="H1664" s="5" t="n">
        <v>229</v>
      </c>
      <c r="I1664" s="5" t="n">
        <v>217</v>
      </c>
      <c r="J1664" s="5" t="n">
        <v>12</v>
      </c>
      <c r="K1664" s="10">
        <f>IF(F1664&gt;0,H1664/F1664,"")</f>
        <v/>
      </c>
      <c r="L1664" s="16">
        <f>IF(AND(G1664&gt;0,H1664&gt;0),G1664/H1664,"")</f>
        <v/>
      </c>
    </row>
    <row r="1665">
      <c r="A1665" s="4" t="inlineStr">
        <is>
          <t>622</t>
        </is>
      </c>
      <c r="B1665" s="4" t="n">
        <v>6</v>
      </c>
      <c r="C1665" s="4" t="inlineStr">
        <is>
          <t>mule deer</t>
        </is>
      </c>
      <c r="D1665" s="4" t="n">
        <v>2021</v>
      </c>
      <c r="E1665" s="13" t="inlineStr">
        <is>
          <t>General</t>
        </is>
      </c>
      <c r="F1665" s="5" t="n">
        <v>633</v>
      </c>
      <c r="G1665" s="5" t="n">
        <v>3156</v>
      </c>
      <c r="H1665" s="5" t="n">
        <v>250</v>
      </c>
      <c r="I1665" s="5" t="n">
        <v>198</v>
      </c>
      <c r="J1665" s="5" t="n">
        <v>51</v>
      </c>
      <c r="K1665" s="10">
        <f>IF(F1665&gt;0,H1665/F1665,"")</f>
        <v/>
      </c>
      <c r="L1665" s="16">
        <f>IF(AND(G1665&gt;0,H1665&gt;0),G1665/H1665,"")</f>
        <v/>
      </c>
    </row>
    <row r="1666">
      <c r="A1666" s="4" t="inlineStr">
        <is>
          <t>622</t>
        </is>
      </c>
      <c r="B1666" s="4" t="n">
        <v>6</v>
      </c>
      <c r="C1666" s="4" t="inlineStr">
        <is>
          <t>mule deer</t>
        </is>
      </c>
      <c r="D1666" s="4" t="n">
        <v>2022</v>
      </c>
      <c r="E1666" s="13" t="inlineStr">
        <is>
          <t>General</t>
        </is>
      </c>
      <c r="F1666" s="5" t="n"/>
      <c r="G1666" s="5" t="n"/>
      <c r="H1666" s="5" t="n">
        <v>124</v>
      </c>
      <c r="I1666" s="5" t="n">
        <v>112</v>
      </c>
      <c r="J1666" s="5" t="n">
        <v>11</v>
      </c>
      <c r="K1666" s="10">
        <f>IF(F1666&gt;0,H1666/F1666,"")</f>
        <v/>
      </c>
      <c r="L1666" s="16">
        <f>IF(AND(G1666&gt;0,H1666&gt;0),G1666/H1666,"")</f>
        <v/>
      </c>
    </row>
    <row r="1667">
      <c r="A1667" s="4" t="inlineStr">
        <is>
          <t>622</t>
        </is>
      </c>
      <c r="B1667" s="4" t="n">
        <v>6</v>
      </c>
      <c r="C1667" s="4" t="inlineStr">
        <is>
          <t>mule deer</t>
        </is>
      </c>
      <c r="D1667" s="4" t="n">
        <v>2023</v>
      </c>
      <c r="E1667" s="13" t="inlineStr">
        <is>
          <t>General</t>
        </is>
      </c>
      <c r="F1667" s="5" t="n">
        <v>475</v>
      </c>
      <c r="G1667" s="5" t="n">
        <v>2343</v>
      </c>
      <c r="H1667" s="5" t="n">
        <v>167</v>
      </c>
      <c r="I1667" s="5" t="n">
        <v>162</v>
      </c>
      <c r="J1667" s="5" t="n">
        <v>5</v>
      </c>
      <c r="K1667" s="10">
        <f>IF(F1667&gt;0,H1667/F1667,"")</f>
        <v/>
      </c>
      <c r="L1667" s="16">
        <f>IF(AND(G1667&gt;0,H1667&gt;0),G1667/H1667,"")</f>
        <v/>
      </c>
    </row>
    <row r="1668">
      <c r="A1668" s="4" t="inlineStr">
        <is>
          <t>622</t>
        </is>
      </c>
      <c r="B1668" s="4" t="n">
        <v>6</v>
      </c>
      <c r="C1668" s="4" t="inlineStr">
        <is>
          <t>mule deer</t>
        </is>
      </c>
      <c r="D1668" s="4" t="n">
        <v>2024</v>
      </c>
      <c r="E1668" s="13" t="inlineStr">
        <is>
          <t>General</t>
        </is>
      </c>
      <c r="F1668" s="5" t="n"/>
      <c r="G1668" s="5" t="n"/>
      <c r="H1668" s="5" t="n">
        <v>127</v>
      </c>
      <c r="I1668" s="5" t="n">
        <v>124</v>
      </c>
      <c r="J1668" s="5" t="n">
        <v>3</v>
      </c>
      <c r="K1668" s="10">
        <f>IF(F1668&gt;0,H1668/F1668,"")</f>
        <v/>
      </c>
      <c r="L1668" s="16">
        <f>IF(AND(G1668&gt;0,H1668&gt;0),G1668/H1668,"")</f>
        <v/>
      </c>
    </row>
    <row r="1669">
      <c r="A1669" s="4" t="inlineStr">
        <is>
          <t>622</t>
        </is>
      </c>
      <c r="B1669" s="4" t="n">
        <v>6</v>
      </c>
      <c r="C1669" s="4" t="inlineStr">
        <is>
          <t>mule deer</t>
        </is>
      </c>
      <c r="D1669" s="4" t="n">
        <v>2025</v>
      </c>
      <c r="E1669" s="13" t="inlineStr">
        <is>
          <t>General</t>
        </is>
      </c>
      <c r="F1669" s="5" t="n">
        <v>434</v>
      </c>
      <c r="G1669" s="5" t="n">
        <v>2493</v>
      </c>
      <c r="H1669" s="5" t="n">
        <v>75</v>
      </c>
      <c r="I1669" s="5" t="n">
        <v>72</v>
      </c>
      <c r="J1669" s="5" t="n">
        <v>3</v>
      </c>
      <c r="K1669" s="10">
        <f>IF(F1669&gt;0,H1669/F1669,"")</f>
        <v/>
      </c>
      <c r="L1669" s="16">
        <f>IF(AND(G1669&gt;0,H1669&gt;0),G1669/H1669,"")</f>
        <v/>
      </c>
    </row>
    <row r="1670">
      <c r="A1670" s="4" t="inlineStr">
        <is>
          <t>630</t>
        </is>
      </c>
      <c r="B1670" s="4" t="n">
        <v>6</v>
      </c>
      <c r="C1670" s="4" t="inlineStr">
        <is>
          <t>mule deer</t>
        </is>
      </c>
      <c r="D1670" s="4" t="n">
        <v>2021</v>
      </c>
      <c r="E1670" s="13" t="inlineStr">
        <is>
          <t>General</t>
        </is>
      </c>
      <c r="F1670" s="5" t="n">
        <v>1931</v>
      </c>
      <c r="G1670" s="5" t="n">
        <v>10362</v>
      </c>
      <c r="H1670" s="5" t="n">
        <v>1101</v>
      </c>
      <c r="I1670" s="5" t="n">
        <v>738</v>
      </c>
      <c r="J1670" s="5" t="n">
        <v>364</v>
      </c>
      <c r="K1670" s="10">
        <f>IF(F1670&gt;0,H1670/F1670,"")</f>
        <v/>
      </c>
      <c r="L1670" s="16">
        <f>IF(AND(G1670&gt;0,H1670&gt;0),G1670/H1670,"")</f>
        <v/>
      </c>
    </row>
    <row r="1671">
      <c r="A1671" s="4" t="inlineStr">
        <is>
          <t>630</t>
        </is>
      </c>
      <c r="B1671" s="4" t="n">
        <v>6</v>
      </c>
      <c r="C1671" s="4" t="inlineStr">
        <is>
          <t>mule deer</t>
        </is>
      </c>
      <c r="D1671" s="4" t="n">
        <v>2022</v>
      </c>
      <c r="E1671" s="13" t="inlineStr">
        <is>
          <t>General</t>
        </is>
      </c>
      <c r="F1671" s="5" t="n"/>
      <c r="G1671" s="5" t="n"/>
      <c r="H1671" s="5" t="n">
        <v>811</v>
      </c>
      <c r="I1671" s="5" t="n">
        <v>651</v>
      </c>
      <c r="J1671" s="5" t="n">
        <v>157</v>
      </c>
      <c r="K1671" s="10">
        <f>IF(F1671&gt;0,H1671/F1671,"")</f>
        <v/>
      </c>
      <c r="L1671" s="16">
        <f>IF(AND(G1671&gt;0,H1671&gt;0),G1671/H1671,"")</f>
        <v/>
      </c>
    </row>
    <row r="1672">
      <c r="A1672" s="4" t="inlineStr">
        <is>
          <t>630</t>
        </is>
      </c>
      <c r="B1672" s="4" t="n">
        <v>6</v>
      </c>
      <c r="C1672" s="4" t="inlineStr">
        <is>
          <t>mule deer</t>
        </is>
      </c>
      <c r="D1672" s="4" t="n">
        <v>2023</v>
      </c>
      <c r="E1672" s="13" t="inlineStr">
        <is>
          <t>General</t>
        </is>
      </c>
      <c r="F1672" s="5" t="n">
        <v>1964</v>
      </c>
      <c r="G1672" s="5" t="n">
        <v>10722</v>
      </c>
      <c r="H1672" s="5" t="n">
        <v>954</v>
      </c>
      <c r="I1672" s="5" t="n">
        <v>757</v>
      </c>
      <c r="J1672" s="5" t="n">
        <v>191</v>
      </c>
      <c r="K1672" s="10">
        <f>IF(F1672&gt;0,H1672/F1672,"")</f>
        <v/>
      </c>
      <c r="L1672" s="16">
        <f>IF(AND(G1672&gt;0,H1672&gt;0),G1672/H1672,"")</f>
        <v/>
      </c>
    </row>
    <row r="1673">
      <c r="A1673" s="4" t="inlineStr">
        <is>
          <t>630</t>
        </is>
      </c>
      <c r="B1673" s="4" t="n">
        <v>6</v>
      </c>
      <c r="C1673" s="4" t="inlineStr">
        <is>
          <t>mule deer</t>
        </is>
      </c>
      <c r="D1673" s="4" t="n">
        <v>2024</v>
      </c>
      <c r="E1673" s="13" t="inlineStr">
        <is>
          <t>General</t>
        </is>
      </c>
      <c r="F1673" s="5" t="n"/>
      <c r="G1673" s="5" t="n"/>
      <c r="H1673" s="5" t="n">
        <v>654</v>
      </c>
      <c r="I1673" s="5" t="n">
        <v>588</v>
      </c>
      <c r="J1673" s="5" t="n">
        <v>65</v>
      </c>
      <c r="K1673" s="10">
        <f>IF(F1673&gt;0,H1673/F1673,"")</f>
        <v/>
      </c>
      <c r="L1673" s="16">
        <f>IF(AND(G1673&gt;0,H1673&gt;0),G1673/H1673,"")</f>
        <v/>
      </c>
    </row>
    <row r="1674">
      <c r="A1674" s="4" t="inlineStr">
        <is>
          <t>630</t>
        </is>
      </c>
      <c r="B1674" s="4" t="n">
        <v>6</v>
      </c>
      <c r="C1674" s="4" t="inlineStr">
        <is>
          <t>mule deer</t>
        </is>
      </c>
      <c r="D1674" s="4" t="n">
        <v>2025</v>
      </c>
      <c r="E1674" s="13" t="inlineStr">
        <is>
          <t>General</t>
        </is>
      </c>
      <c r="F1674" s="5" t="n">
        <v>1664</v>
      </c>
      <c r="G1674" s="5" t="n">
        <v>11316</v>
      </c>
      <c r="H1674" s="5" t="n">
        <v>598</v>
      </c>
      <c r="I1674" s="5" t="n">
        <v>556</v>
      </c>
      <c r="J1674" s="5" t="n">
        <v>42</v>
      </c>
      <c r="K1674" s="10">
        <f>IF(F1674&gt;0,H1674/F1674,"")</f>
        <v/>
      </c>
      <c r="L1674" s="16">
        <f>IF(AND(G1674&gt;0,H1674&gt;0),G1674/H1674,"")</f>
        <v/>
      </c>
    </row>
    <row r="1675">
      <c r="A1675" s="4" t="inlineStr">
        <is>
          <t>631</t>
        </is>
      </c>
      <c r="B1675" s="4" t="n">
        <v>6</v>
      </c>
      <c r="C1675" s="4" t="inlineStr">
        <is>
          <t>mule deer</t>
        </is>
      </c>
      <c r="D1675" s="4" t="n">
        <v>2021</v>
      </c>
      <c r="E1675" s="4" t="inlineStr"/>
      <c r="F1675" s="5" t="n">
        <v>315</v>
      </c>
      <c r="G1675" s="5" t="n">
        <v>1625</v>
      </c>
      <c r="H1675" s="5" t="n">
        <v>112</v>
      </c>
      <c r="I1675" s="5" t="n">
        <v>79</v>
      </c>
      <c r="J1675" s="5" t="n">
        <v>33</v>
      </c>
      <c r="K1675" s="10">
        <f>IF(F1675&gt;0,H1675/F1675,"")</f>
        <v/>
      </c>
      <c r="L1675" s="16">
        <f>IF(AND(G1675&gt;0,H1675&gt;0),G1675/H1675,"")</f>
        <v/>
      </c>
    </row>
    <row r="1676">
      <c r="A1676" s="4" t="inlineStr">
        <is>
          <t>632</t>
        </is>
      </c>
      <c r="B1676" s="4" t="n">
        <v>6</v>
      </c>
      <c r="C1676" s="4" t="inlineStr">
        <is>
          <t>mule deer</t>
        </is>
      </c>
      <c r="D1676" s="4" t="n">
        <v>2021</v>
      </c>
      <c r="E1676" s="4" t="inlineStr"/>
      <c r="F1676" s="5" t="n">
        <v>405</v>
      </c>
      <c r="G1676" s="5" t="n">
        <v>2379</v>
      </c>
      <c r="H1676" s="5" t="n">
        <v>207</v>
      </c>
      <c r="I1676" s="5" t="n">
        <v>180</v>
      </c>
      <c r="J1676" s="5" t="n">
        <v>28</v>
      </c>
      <c r="K1676" s="10">
        <f>IF(F1676&gt;0,H1676/F1676,"")</f>
        <v/>
      </c>
      <c r="L1676" s="16">
        <f>IF(AND(G1676&gt;0,H1676&gt;0),G1676/H1676,"")</f>
        <v/>
      </c>
    </row>
    <row r="1677">
      <c r="A1677" s="4" t="inlineStr">
        <is>
          <t>640</t>
        </is>
      </c>
      <c r="B1677" s="4" t="n">
        <v>6</v>
      </c>
      <c r="C1677" s="4" t="inlineStr">
        <is>
          <t>mule deer</t>
        </is>
      </c>
      <c r="D1677" s="4" t="n">
        <v>2021</v>
      </c>
      <c r="E1677" s="13" t="inlineStr">
        <is>
          <t>General</t>
        </is>
      </c>
      <c r="F1677" s="5" t="n">
        <v>2867</v>
      </c>
      <c r="G1677" s="5" t="n">
        <v>16531</v>
      </c>
      <c r="H1677" s="5" t="n">
        <v>1962</v>
      </c>
      <c r="I1677" s="5" t="n">
        <v>1160</v>
      </c>
      <c r="J1677" s="5" t="n">
        <v>794</v>
      </c>
      <c r="K1677" s="10">
        <f>IF(F1677&gt;0,H1677/F1677,"")</f>
        <v/>
      </c>
      <c r="L1677" s="16">
        <f>IF(AND(G1677&gt;0,H1677&gt;0),G1677/H1677,"")</f>
        <v/>
      </c>
    </row>
    <row r="1678">
      <c r="A1678" s="4" t="inlineStr">
        <is>
          <t>640</t>
        </is>
      </c>
      <c r="B1678" s="4" t="n">
        <v>6</v>
      </c>
      <c r="C1678" s="4" t="inlineStr">
        <is>
          <t>mule deer</t>
        </is>
      </c>
      <c r="D1678" s="4" t="n">
        <v>2022</v>
      </c>
      <c r="E1678" s="13" t="inlineStr">
        <is>
          <t>General</t>
        </is>
      </c>
      <c r="F1678" s="5" t="n"/>
      <c r="G1678" s="5" t="n"/>
      <c r="H1678" s="5" t="n">
        <v>1811</v>
      </c>
      <c r="I1678" s="5" t="n">
        <v>1214</v>
      </c>
      <c r="J1678" s="5" t="n">
        <v>584</v>
      </c>
      <c r="K1678" s="10">
        <f>IF(F1678&gt;0,H1678/F1678,"")</f>
        <v/>
      </c>
      <c r="L1678" s="16">
        <f>IF(AND(G1678&gt;0,H1678&gt;0),G1678/H1678,"")</f>
        <v/>
      </c>
    </row>
    <row r="1679">
      <c r="A1679" s="4" t="inlineStr">
        <is>
          <t>640</t>
        </is>
      </c>
      <c r="B1679" s="4" t="n">
        <v>6</v>
      </c>
      <c r="C1679" s="4" t="inlineStr">
        <is>
          <t>mule deer</t>
        </is>
      </c>
      <c r="D1679" s="4" t="n">
        <v>2023</v>
      </c>
      <c r="E1679" s="13" t="inlineStr">
        <is>
          <t>General</t>
        </is>
      </c>
      <c r="F1679" s="5" t="n">
        <v>3542</v>
      </c>
      <c r="G1679" s="5" t="n">
        <v>20669</v>
      </c>
      <c r="H1679" s="5" t="n">
        <v>2230</v>
      </c>
      <c r="I1679" s="5" t="n">
        <v>1393</v>
      </c>
      <c r="J1679" s="5" t="n">
        <v>829</v>
      </c>
      <c r="K1679" s="10">
        <f>IF(F1679&gt;0,H1679/F1679,"")</f>
        <v/>
      </c>
      <c r="L1679" s="16">
        <f>IF(AND(G1679&gt;0,H1679&gt;0),G1679/H1679,"")</f>
        <v/>
      </c>
    </row>
    <row r="1680">
      <c r="A1680" s="4" t="inlineStr">
        <is>
          <t>640</t>
        </is>
      </c>
      <c r="B1680" s="4" t="n">
        <v>6</v>
      </c>
      <c r="C1680" s="4" t="inlineStr">
        <is>
          <t>mule deer</t>
        </is>
      </c>
      <c r="D1680" s="4" t="n">
        <v>2024</v>
      </c>
      <c r="E1680" s="13" t="inlineStr">
        <is>
          <t>General</t>
        </is>
      </c>
      <c r="F1680" s="5" t="n"/>
      <c r="G1680" s="5" t="n"/>
      <c r="H1680" s="5" t="n">
        <v>1678</v>
      </c>
      <c r="I1680" s="5" t="n">
        <v>1265</v>
      </c>
      <c r="J1680" s="5" t="n">
        <v>413</v>
      </c>
      <c r="K1680" s="10">
        <f>IF(F1680&gt;0,H1680/F1680,"")</f>
        <v/>
      </c>
      <c r="L1680" s="16">
        <f>IF(AND(G1680&gt;0,H1680&gt;0),G1680/H1680,"")</f>
        <v/>
      </c>
    </row>
    <row r="1681">
      <c r="A1681" s="4" t="inlineStr">
        <is>
          <t>640</t>
        </is>
      </c>
      <c r="B1681" s="4" t="n">
        <v>6</v>
      </c>
      <c r="C1681" s="4" t="inlineStr">
        <is>
          <t>mule deer</t>
        </is>
      </c>
      <c r="D1681" s="4" t="n">
        <v>2025</v>
      </c>
      <c r="E1681" s="13" t="inlineStr">
        <is>
          <t>General</t>
        </is>
      </c>
      <c r="F1681" s="5" t="n">
        <v>2776</v>
      </c>
      <c r="G1681" s="5" t="n">
        <v>17162</v>
      </c>
      <c r="H1681" s="5" t="n">
        <v>1225</v>
      </c>
      <c r="I1681" s="5" t="n">
        <v>993</v>
      </c>
      <c r="J1681" s="5" t="n">
        <v>230</v>
      </c>
      <c r="K1681" s="10">
        <f>IF(F1681&gt;0,H1681/F1681,"")</f>
        <v/>
      </c>
      <c r="L1681" s="16">
        <f>IF(AND(G1681&gt;0,H1681&gt;0),G1681/H1681,"")</f>
        <v/>
      </c>
    </row>
    <row r="1682">
      <c r="A1682" s="4" t="inlineStr">
        <is>
          <t>650</t>
        </is>
      </c>
      <c r="B1682" s="4" t="n">
        <v>6</v>
      </c>
      <c r="C1682" s="4" t="inlineStr">
        <is>
          <t>mule deer</t>
        </is>
      </c>
      <c r="D1682" s="4" t="n">
        <v>2021</v>
      </c>
      <c r="E1682" s="13" t="inlineStr">
        <is>
          <t>General</t>
        </is>
      </c>
      <c r="F1682" s="5" t="n">
        <v>2635</v>
      </c>
      <c r="G1682" s="5" t="n">
        <v>14152</v>
      </c>
      <c r="H1682" s="5" t="n">
        <v>2002</v>
      </c>
      <c r="I1682" s="5" t="n">
        <v>1151</v>
      </c>
      <c r="J1682" s="5" t="n">
        <v>851</v>
      </c>
      <c r="K1682" s="10">
        <f>IF(F1682&gt;0,H1682/F1682,"")</f>
        <v/>
      </c>
      <c r="L1682" s="16">
        <f>IF(AND(G1682&gt;0,H1682&gt;0),G1682/H1682,"")</f>
        <v/>
      </c>
    </row>
    <row r="1683">
      <c r="A1683" s="4" t="inlineStr">
        <is>
          <t>650</t>
        </is>
      </c>
      <c r="B1683" s="4" t="n">
        <v>6</v>
      </c>
      <c r="C1683" s="4" t="inlineStr">
        <is>
          <t>mule deer</t>
        </is>
      </c>
      <c r="D1683" s="4" t="n">
        <v>2022</v>
      </c>
      <c r="E1683" s="13" t="inlineStr">
        <is>
          <t>General</t>
        </is>
      </c>
      <c r="F1683" s="5" t="n"/>
      <c r="G1683" s="5" t="n"/>
      <c r="H1683" s="5" t="n">
        <v>1443</v>
      </c>
      <c r="I1683" s="5" t="n">
        <v>1002</v>
      </c>
      <c r="J1683" s="5" t="n">
        <v>428</v>
      </c>
      <c r="K1683" s="10">
        <f>IF(F1683&gt;0,H1683/F1683,"")</f>
        <v/>
      </c>
      <c r="L1683" s="16">
        <f>IF(AND(G1683&gt;0,H1683&gt;0),G1683/H1683,"")</f>
        <v/>
      </c>
    </row>
    <row r="1684">
      <c r="A1684" s="4" t="inlineStr">
        <is>
          <t>650</t>
        </is>
      </c>
      <c r="B1684" s="4" t="n">
        <v>6</v>
      </c>
      <c r="C1684" s="4" t="inlineStr">
        <is>
          <t>mule deer</t>
        </is>
      </c>
      <c r="D1684" s="4" t="n">
        <v>2023</v>
      </c>
      <c r="E1684" s="13" t="inlineStr">
        <is>
          <t>General</t>
        </is>
      </c>
      <c r="F1684" s="5" t="n">
        <v>2538</v>
      </c>
      <c r="G1684" s="5" t="n">
        <v>13513</v>
      </c>
      <c r="H1684" s="5" t="n">
        <v>1334</v>
      </c>
      <c r="I1684" s="5" t="n">
        <v>907</v>
      </c>
      <c r="J1684" s="5" t="n">
        <v>425</v>
      </c>
      <c r="K1684" s="10">
        <f>IF(F1684&gt;0,H1684/F1684,"")</f>
        <v/>
      </c>
      <c r="L1684" s="16">
        <f>IF(AND(G1684&gt;0,H1684&gt;0),G1684/H1684,"")</f>
        <v/>
      </c>
    </row>
    <row r="1685">
      <c r="A1685" s="4" t="inlineStr">
        <is>
          <t>650</t>
        </is>
      </c>
      <c r="B1685" s="4" t="n">
        <v>6</v>
      </c>
      <c r="C1685" s="4" t="inlineStr">
        <is>
          <t>mule deer</t>
        </is>
      </c>
      <c r="D1685" s="4" t="n">
        <v>2024</v>
      </c>
      <c r="E1685" s="13" t="inlineStr">
        <is>
          <t>General</t>
        </is>
      </c>
      <c r="F1685" s="5" t="n"/>
      <c r="G1685" s="5" t="n"/>
      <c r="H1685" s="5" t="n">
        <v>981</v>
      </c>
      <c r="I1685" s="5" t="n">
        <v>844</v>
      </c>
      <c r="J1685" s="5" t="n">
        <v>138</v>
      </c>
      <c r="K1685" s="10">
        <f>IF(F1685&gt;0,H1685/F1685,"")</f>
        <v/>
      </c>
      <c r="L1685" s="16">
        <f>IF(AND(G1685&gt;0,H1685&gt;0),G1685/H1685,"")</f>
        <v/>
      </c>
    </row>
    <row r="1686">
      <c r="A1686" s="4" t="inlineStr">
        <is>
          <t>650</t>
        </is>
      </c>
      <c r="B1686" s="4" t="n">
        <v>6</v>
      </c>
      <c r="C1686" s="4" t="inlineStr">
        <is>
          <t>mule deer</t>
        </is>
      </c>
      <c r="D1686" s="4" t="n">
        <v>2025</v>
      </c>
      <c r="E1686" s="13" t="inlineStr">
        <is>
          <t>General</t>
        </is>
      </c>
      <c r="F1686" s="5" t="n">
        <v>2010</v>
      </c>
      <c r="G1686" s="5" t="n">
        <v>12283</v>
      </c>
      <c r="H1686" s="5" t="n">
        <v>843</v>
      </c>
      <c r="I1686" s="5" t="n">
        <v>796</v>
      </c>
      <c r="J1686" s="5" t="n">
        <v>47</v>
      </c>
      <c r="K1686" s="10">
        <f>IF(F1686&gt;0,H1686/F1686,"")</f>
        <v/>
      </c>
      <c r="L1686" s="16">
        <f>IF(AND(G1686&gt;0,H1686&gt;0),G1686/H1686,"")</f>
        <v/>
      </c>
    </row>
    <row r="1687">
      <c r="A1687" s="4" t="inlineStr">
        <is>
          <t>652</t>
        </is>
      </c>
      <c r="B1687" s="4" t="n">
        <v>6</v>
      </c>
      <c r="C1687" s="4" t="inlineStr">
        <is>
          <t>mule deer</t>
        </is>
      </c>
      <c r="D1687" s="4" t="n">
        <v>2021</v>
      </c>
      <c r="E1687" s="15" t="inlineStr">
        <is>
          <t>Draw</t>
        </is>
      </c>
      <c r="F1687" s="5" t="n">
        <v>169</v>
      </c>
      <c r="G1687" s="5" t="n">
        <v>1200</v>
      </c>
      <c r="H1687" s="5" t="n">
        <v>156</v>
      </c>
      <c r="I1687" s="5" t="n">
        <v>123</v>
      </c>
      <c r="J1687" s="5" t="n">
        <v>34</v>
      </c>
      <c r="K1687" s="10">
        <f>IF(F1687&gt;0,H1687/F1687,"")</f>
        <v/>
      </c>
      <c r="L1687" s="16">
        <f>IF(AND(G1687&gt;0,H1687&gt;0),G1687/H1687,"")</f>
        <v/>
      </c>
    </row>
    <row r="1688">
      <c r="A1688" s="4" t="inlineStr">
        <is>
          <t>652</t>
        </is>
      </c>
      <c r="B1688" s="4" t="n">
        <v>6</v>
      </c>
      <c r="C1688" s="4" t="inlineStr">
        <is>
          <t>mule deer</t>
        </is>
      </c>
      <c r="D1688" s="4" t="n">
        <v>2022</v>
      </c>
      <c r="E1688" s="15" t="inlineStr">
        <is>
          <t>Draw</t>
        </is>
      </c>
      <c r="F1688" s="5" t="n"/>
      <c r="G1688" s="5" t="n"/>
      <c r="H1688" s="5" t="n">
        <v>104</v>
      </c>
      <c r="I1688" s="5" t="n">
        <v>81</v>
      </c>
      <c r="J1688" s="5" t="n">
        <v>23</v>
      </c>
      <c r="K1688" s="10">
        <f>IF(F1688&gt;0,H1688/F1688,"")</f>
        <v/>
      </c>
      <c r="L1688" s="16">
        <f>IF(AND(G1688&gt;0,H1688&gt;0),G1688/H1688,"")</f>
        <v/>
      </c>
    </row>
    <row r="1689">
      <c r="A1689" s="4" t="inlineStr">
        <is>
          <t>652</t>
        </is>
      </c>
      <c r="B1689" s="4" t="n">
        <v>6</v>
      </c>
      <c r="C1689" s="4" t="inlineStr">
        <is>
          <t>mule deer</t>
        </is>
      </c>
      <c r="D1689" s="4" t="n">
        <v>2023</v>
      </c>
      <c r="E1689" s="15" t="inlineStr">
        <is>
          <t>Draw</t>
        </is>
      </c>
      <c r="F1689" s="5" t="n">
        <v>173</v>
      </c>
      <c r="G1689" s="5" t="n">
        <v>978</v>
      </c>
      <c r="H1689" s="5" t="n">
        <v>87</v>
      </c>
      <c r="I1689" s="5" t="n">
        <v>74</v>
      </c>
      <c r="J1689" s="5" t="n">
        <v>14</v>
      </c>
      <c r="K1689" s="10">
        <f>IF(F1689&gt;0,H1689/F1689,"")</f>
        <v/>
      </c>
      <c r="L1689" s="16">
        <f>IF(AND(G1689&gt;0,H1689&gt;0),G1689/H1689,"")</f>
        <v/>
      </c>
    </row>
    <row r="1690">
      <c r="A1690" s="4" t="inlineStr">
        <is>
          <t>652</t>
        </is>
      </c>
      <c r="B1690" s="4" t="n">
        <v>6</v>
      </c>
      <c r="C1690" s="4" t="inlineStr">
        <is>
          <t>mule deer</t>
        </is>
      </c>
      <c r="D1690" s="4" t="n">
        <v>2024</v>
      </c>
      <c r="E1690" s="15" t="inlineStr">
        <is>
          <t>Draw</t>
        </is>
      </c>
      <c r="F1690" s="5" t="n"/>
      <c r="G1690" s="5" t="n"/>
      <c r="H1690" s="5" t="n">
        <v>64</v>
      </c>
      <c r="I1690" s="5" t="n">
        <v>62</v>
      </c>
      <c r="J1690" s="5" t="n">
        <v>3</v>
      </c>
      <c r="K1690" s="10">
        <f>IF(F1690&gt;0,H1690/F1690,"")</f>
        <v/>
      </c>
      <c r="L1690" s="16">
        <f>IF(AND(G1690&gt;0,H1690&gt;0),G1690/H1690,"")</f>
        <v/>
      </c>
    </row>
    <row r="1691">
      <c r="A1691" s="4" t="inlineStr">
        <is>
          <t>652</t>
        </is>
      </c>
      <c r="B1691" s="4" t="n">
        <v>6</v>
      </c>
      <c r="C1691" s="4" t="inlineStr">
        <is>
          <t>mule deer</t>
        </is>
      </c>
      <c r="D1691" s="4" t="n">
        <v>2025</v>
      </c>
      <c r="E1691" s="15" t="inlineStr">
        <is>
          <t>Draw</t>
        </is>
      </c>
      <c r="F1691" s="5" t="n">
        <v>123</v>
      </c>
      <c r="G1691" s="5" t="n">
        <v>734</v>
      </c>
      <c r="H1691" s="5" t="n">
        <v>52</v>
      </c>
      <c r="I1691" s="5" t="n">
        <v>48</v>
      </c>
      <c r="J1691" s="5" t="n">
        <v>4</v>
      </c>
      <c r="K1691" s="10">
        <f>IF(F1691&gt;0,H1691/F1691,"")</f>
        <v/>
      </c>
      <c r="L1691" s="16">
        <f>IF(AND(G1691&gt;0,H1691&gt;0),G1691/H1691,"")</f>
        <v/>
      </c>
    </row>
    <row r="1692">
      <c r="A1692" s="4" t="inlineStr">
        <is>
          <t>670</t>
        </is>
      </c>
      <c r="B1692" s="4" t="n">
        <v>6</v>
      </c>
      <c r="C1692" s="4" t="inlineStr">
        <is>
          <t>mule deer</t>
        </is>
      </c>
      <c r="D1692" s="4" t="n">
        <v>2021</v>
      </c>
      <c r="E1692" s="13" t="inlineStr">
        <is>
          <t>General</t>
        </is>
      </c>
      <c r="F1692" s="5" t="n">
        <v>3853</v>
      </c>
      <c r="G1692" s="5" t="n">
        <v>19975</v>
      </c>
      <c r="H1692" s="5" t="n">
        <v>2917</v>
      </c>
      <c r="I1692" s="5" t="n">
        <v>1696</v>
      </c>
      <c r="J1692" s="5" t="n">
        <v>1213</v>
      </c>
      <c r="K1692" s="10">
        <f>IF(F1692&gt;0,H1692/F1692,"")</f>
        <v/>
      </c>
      <c r="L1692" s="16">
        <f>IF(AND(G1692&gt;0,H1692&gt;0),G1692/H1692,"")</f>
        <v/>
      </c>
    </row>
    <row r="1693">
      <c r="A1693" s="4" t="inlineStr">
        <is>
          <t>670</t>
        </is>
      </c>
      <c r="B1693" s="4" t="n">
        <v>6</v>
      </c>
      <c r="C1693" s="4" t="inlineStr">
        <is>
          <t>mule deer</t>
        </is>
      </c>
      <c r="D1693" s="4" t="n">
        <v>2022</v>
      </c>
      <c r="E1693" s="13" t="inlineStr">
        <is>
          <t>General</t>
        </is>
      </c>
      <c r="F1693" s="5" t="n"/>
      <c r="G1693" s="5" t="n"/>
      <c r="H1693" s="5" t="n">
        <v>2306</v>
      </c>
      <c r="I1693" s="5" t="n">
        <v>1550</v>
      </c>
      <c r="J1693" s="5" t="n">
        <v>752</v>
      </c>
      <c r="K1693" s="10">
        <f>IF(F1693&gt;0,H1693/F1693,"")</f>
        <v/>
      </c>
      <c r="L1693" s="16">
        <f>IF(AND(G1693&gt;0,H1693&gt;0),G1693/H1693,"")</f>
        <v/>
      </c>
    </row>
    <row r="1694">
      <c r="A1694" s="4" t="inlineStr">
        <is>
          <t>670</t>
        </is>
      </c>
      <c r="B1694" s="4" t="n">
        <v>6</v>
      </c>
      <c r="C1694" s="4" t="inlineStr">
        <is>
          <t>mule deer</t>
        </is>
      </c>
      <c r="D1694" s="4" t="n">
        <v>2023</v>
      </c>
      <c r="E1694" s="13" t="inlineStr">
        <is>
          <t>General</t>
        </is>
      </c>
      <c r="F1694" s="5" t="n">
        <v>3574</v>
      </c>
      <c r="G1694" s="5" t="n">
        <v>19455</v>
      </c>
      <c r="H1694" s="5" t="n">
        <v>1923</v>
      </c>
      <c r="I1694" s="5" t="n">
        <v>1354</v>
      </c>
      <c r="J1694" s="5" t="n">
        <v>566</v>
      </c>
      <c r="K1694" s="10">
        <f>IF(F1694&gt;0,H1694/F1694,"")</f>
        <v/>
      </c>
      <c r="L1694" s="16">
        <f>IF(AND(G1694&gt;0,H1694&gt;0),G1694/H1694,"")</f>
        <v/>
      </c>
    </row>
    <row r="1695">
      <c r="A1695" s="4" t="inlineStr">
        <is>
          <t>670</t>
        </is>
      </c>
      <c r="B1695" s="4" t="n">
        <v>6</v>
      </c>
      <c r="C1695" s="4" t="inlineStr">
        <is>
          <t>mule deer</t>
        </is>
      </c>
      <c r="D1695" s="4" t="n">
        <v>2024</v>
      </c>
      <c r="E1695" s="13" t="inlineStr">
        <is>
          <t>General</t>
        </is>
      </c>
      <c r="F1695" s="5" t="n"/>
      <c r="G1695" s="5" t="n"/>
      <c r="H1695" s="5" t="n">
        <v>1200</v>
      </c>
      <c r="I1695" s="5" t="n">
        <v>978</v>
      </c>
      <c r="J1695" s="5" t="n">
        <v>220</v>
      </c>
      <c r="K1695" s="10">
        <f>IF(F1695&gt;0,H1695/F1695,"")</f>
        <v/>
      </c>
      <c r="L1695" s="16">
        <f>IF(AND(G1695&gt;0,H1695&gt;0),G1695/H1695,"")</f>
        <v/>
      </c>
    </row>
    <row r="1696">
      <c r="A1696" s="4" t="inlineStr">
        <is>
          <t>670</t>
        </is>
      </c>
      <c r="B1696" s="4" t="n">
        <v>6</v>
      </c>
      <c r="C1696" s="4" t="inlineStr">
        <is>
          <t>mule deer</t>
        </is>
      </c>
      <c r="D1696" s="4" t="n">
        <v>2025</v>
      </c>
      <c r="E1696" s="13" t="inlineStr">
        <is>
          <t>General</t>
        </is>
      </c>
      <c r="F1696" s="5" t="n">
        <v>2456</v>
      </c>
      <c r="G1696" s="5" t="n">
        <v>14292</v>
      </c>
      <c r="H1696" s="5" t="n">
        <v>955</v>
      </c>
      <c r="I1696" s="5" t="n">
        <v>873</v>
      </c>
      <c r="J1696" s="5" t="n">
        <v>82</v>
      </c>
      <c r="K1696" s="10">
        <f>IF(F1696&gt;0,H1696/F1696,"")</f>
        <v/>
      </c>
      <c r="L1696" s="16">
        <f>IF(AND(G1696&gt;0,H1696&gt;0),G1696/H1696,"")</f>
        <v/>
      </c>
    </row>
    <row r="1697">
      <c r="A1697" s="4" t="inlineStr">
        <is>
          <t>690</t>
        </is>
      </c>
      <c r="B1697" s="4" t="n">
        <v>6</v>
      </c>
      <c r="C1697" s="4" t="inlineStr">
        <is>
          <t>mule deer</t>
        </is>
      </c>
      <c r="D1697" s="4" t="n">
        <v>2021</v>
      </c>
      <c r="E1697" s="13" t="inlineStr">
        <is>
          <t>General</t>
        </is>
      </c>
      <c r="F1697" s="5" t="n">
        <v>3447</v>
      </c>
      <c r="G1697" s="5" t="n">
        <v>17101</v>
      </c>
      <c r="H1697" s="5" t="n">
        <v>2362</v>
      </c>
      <c r="I1697" s="5" t="n">
        <v>1565</v>
      </c>
      <c r="J1697" s="5" t="n">
        <v>797</v>
      </c>
      <c r="K1697" s="10">
        <f>IF(F1697&gt;0,H1697/F1697,"")</f>
        <v/>
      </c>
      <c r="L1697" s="16">
        <f>IF(AND(G1697&gt;0,H1697&gt;0),G1697/H1697,"")</f>
        <v/>
      </c>
    </row>
    <row r="1698">
      <c r="A1698" s="4" t="inlineStr">
        <is>
          <t>690</t>
        </is>
      </c>
      <c r="B1698" s="4" t="n">
        <v>6</v>
      </c>
      <c r="C1698" s="4" t="inlineStr">
        <is>
          <t>mule deer</t>
        </is>
      </c>
      <c r="D1698" s="4" t="n">
        <v>2022</v>
      </c>
      <c r="E1698" s="13" t="inlineStr">
        <is>
          <t>General</t>
        </is>
      </c>
      <c r="F1698" s="5" t="n"/>
      <c r="G1698" s="5" t="n"/>
      <c r="H1698" s="5" t="n">
        <v>1692</v>
      </c>
      <c r="I1698" s="5" t="n">
        <v>1221</v>
      </c>
      <c r="J1698" s="5" t="n">
        <v>468</v>
      </c>
      <c r="K1698" s="10">
        <f>IF(F1698&gt;0,H1698/F1698,"")</f>
        <v/>
      </c>
      <c r="L1698" s="16">
        <f>IF(AND(G1698&gt;0,H1698&gt;0),G1698/H1698,"")</f>
        <v/>
      </c>
    </row>
    <row r="1699">
      <c r="A1699" s="4" t="inlineStr">
        <is>
          <t>690</t>
        </is>
      </c>
      <c r="B1699" s="4" t="n">
        <v>6</v>
      </c>
      <c r="C1699" s="4" t="inlineStr">
        <is>
          <t>mule deer</t>
        </is>
      </c>
      <c r="D1699" s="4" t="n">
        <v>2023</v>
      </c>
      <c r="E1699" s="13" t="inlineStr">
        <is>
          <t>General</t>
        </is>
      </c>
      <c r="F1699" s="5" t="n">
        <v>3038</v>
      </c>
      <c r="G1699" s="5" t="n">
        <v>16683</v>
      </c>
      <c r="H1699" s="5" t="n">
        <v>1520</v>
      </c>
      <c r="I1699" s="5" t="n">
        <v>1253</v>
      </c>
      <c r="J1699" s="5" t="n">
        <v>254</v>
      </c>
      <c r="K1699" s="10">
        <f>IF(F1699&gt;0,H1699/F1699,"")</f>
        <v/>
      </c>
      <c r="L1699" s="16">
        <f>IF(AND(G1699&gt;0,H1699&gt;0),G1699/H1699,"")</f>
        <v/>
      </c>
    </row>
    <row r="1700">
      <c r="A1700" s="4" t="inlineStr">
        <is>
          <t>690</t>
        </is>
      </c>
      <c r="B1700" s="4" t="n">
        <v>6</v>
      </c>
      <c r="C1700" s="4" t="inlineStr">
        <is>
          <t>mule deer</t>
        </is>
      </c>
      <c r="D1700" s="4" t="n">
        <v>2024</v>
      </c>
      <c r="E1700" s="13" t="inlineStr">
        <is>
          <t>General</t>
        </is>
      </c>
      <c r="F1700" s="5" t="n"/>
      <c r="G1700" s="5" t="n"/>
      <c r="H1700" s="5" t="n">
        <v>1315</v>
      </c>
      <c r="I1700" s="5" t="n">
        <v>1174</v>
      </c>
      <c r="J1700" s="5" t="n">
        <v>139</v>
      </c>
      <c r="K1700" s="10">
        <f>IF(F1700&gt;0,H1700/F1700,"")</f>
        <v/>
      </c>
      <c r="L1700" s="16">
        <f>IF(AND(G1700&gt;0,H1700&gt;0),G1700/H1700,"")</f>
        <v/>
      </c>
    </row>
    <row r="1701">
      <c r="A1701" s="4" t="inlineStr">
        <is>
          <t>690</t>
        </is>
      </c>
      <c r="B1701" s="4" t="n">
        <v>6</v>
      </c>
      <c r="C1701" s="4" t="inlineStr">
        <is>
          <t>mule deer</t>
        </is>
      </c>
      <c r="D1701" s="4" t="n">
        <v>2025</v>
      </c>
      <c r="E1701" s="13" t="inlineStr">
        <is>
          <t>General</t>
        </is>
      </c>
      <c r="F1701" s="5" t="n">
        <v>2914</v>
      </c>
      <c r="G1701" s="5" t="n">
        <v>15526</v>
      </c>
      <c r="H1701" s="5" t="n">
        <v>1194</v>
      </c>
      <c r="I1701" s="5" t="n">
        <v>1087</v>
      </c>
      <c r="J1701" s="5" t="n">
        <v>98</v>
      </c>
      <c r="K1701" s="10">
        <f>IF(F1701&gt;0,H1701/F1701,"")</f>
        <v/>
      </c>
      <c r="L1701" s="16">
        <f>IF(AND(G1701&gt;0,H1701&gt;0),G1701/H1701,"")</f>
        <v/>
      </c>
    </row>
    <row r="1702">
      <c r="A1702" s="4" t="inlineStr">
        <is>
          <t>700</t>
        </is>
      </c>
      <c r="B1702" s="4" t="n">
        <v>7</v>
      </c>
      <c r="C1702" s="4" t="inlineStr">
        <is>
          <t>mule deer</t>
        </is>
      </c>
      <c r="D1702" s="4" t="n">
        <v>2021</v>
      </c>
      <c r="E1702" s="13" t="inlineStr">
        <is>
          <t>General</t>
        </is>
      </c>
      <c r="F1702" s="5" t="n">
        <v>4493</v>
      </c>
      <c r="G1702" s="5" t="n">
        <v>26648</v>
      </c>
      <c r="H1702" s="5" t="n">
        <v>2100</v>
      </c>
      <c r="I1702" s="5" t="n">
        <v>1575</v>
      </c>
      <c r="J1702" s="5" t="n">
        <v>525</v>
      </c>
      <c r="K1702" s="10">
        <f>IF(F1702&gt;0,H1702/F1702,"")</f>
        <v/>
      </c>
      <c r="L1702" s="16">
        <f>IF(AND(G1702&gt;0,H1702&gt;0),G1702/H1702,"")</f>
        <v/>
      </c>
    </row>
    <row r="1703">
      <c r="A1703" s="4" t="inlineStr">
        <is>
          <t>700</t>
        </is>
      </c>
      <c r="B1703" s="4" t="n">
        <v>7</v>
      </c>
      <c r="C1703" s="4" t="inlineStr">
        <is>
          <t>mule deer</t>
        </is>
      </c>
      <c r="D1703" s="4" t="n">
        <v>2022</v>
      </c>
      <c r="E1703" s="13" t="inlineStr">
        <is>
          <t>General</t>
        </is>
      </c>
      <c r="F1703" s="5" t="n"/>
      <c r="G1703" s="5" t="n"/>
      <c r="H1703" s="5" t="n">
        <v>1316</v>
      </c>
      <c r="I1703" s="5" t="n">
        <v>1027</v>
      </c>
      <c r="J1703" s="5" t="n">
        <v>286</v>
      </c>
      <c r="K1703" s="10">
        <f>IF(F1703&gt;0,H1703/F1703,"")</f>
        <v/>
      </c>
      <c r="L1703" s="16">
        <f>IF(AND(G1703&gt;0,H1703&gt;0),G1703/H1703,"")</f>
        <v/>
      </c>
    </row>
    <row r="1704">
      <c r="A1704" s="4" t="inlineStr">
        <is>
          <t>700</t>
        </is>
      </c>
      <c r="B1704" s="4" t="n">
        <v>7</v>
      </c>
      <c r="C1704" s="4" t="inlineStr">
        <is>
          <t>mule deer</t>
        </is>
      </c>
      <c r="D1704" s="4" t="n">
        <v>2023</v>
      </c>
      <c r="E1704" s="13" t="inlineStr">
        <is>
          <t>General</t>
        </is>
      </c>
      <c r="F1704" s="5" t="n">
        <v>3467</v>
      </c>
      <c r="G1704" s="5" t="n">
        <v>21061</v>
      </c>
      <c r="H1704" s="5" t="n">
        <v>1163</v>
      </c>
      <c r="I1704" s="5" t="n">
        <v>1059</v>
      </c>
      <c r="J1704" s="5" t="n">
        <v>104</v>
      </c>
      <c r="K1704" s="10">
        <f>IF(F1704&gt;0,H1704/F1704,"")</f>
        <v/>
      </c>
      <c r="L1704" s="16">
        <f>IF(AND(G1704&gt;0,H1704&gt;0),G1704/H1704,"")</f>
        <v/>
      </c>
    </row>
    <row r="1705">
      <c r="A1705" s="4" t="inlineStr">
        <is>
          <t>700</t>
        </is>
      </c>
      <c r="B1705" s="4" t="n">
        <v>7</v>
      </c>
      <c r="C1705" s="4" t="inlineStr">
        <is>
          <t>mule deer</t>
        </is>
      </c>
      <c r="D1705" s="4" t="n">
        <v>2024</v>
      </c>
      <c r="E1705" s="13" t="inlineStr">
        <is>
          <t>General</t>
        </is>
      </c>
      <c r="F1705" s="5" t="n"/>
      <c r="G1705" s="5" t="n"/>
      <c r="H1705" s="5" t="n">
        <v>835</v>
      </c>
      <c r="I1705" s="5" t="n">
        <v>721</v>
      </c>
      <c r="J1705" s="5" t="n">
        <v>114</v>
      </c>
      <c r="K1705" s="10">
        <f>IF(F1705&gt;0,H1705/F1705,"")</f>
        <v/>
      </c>
      <c r="L1705" s="16">
        <f>IF(AND(G1705&gt;0,H1705&gt;0),G1705/H1705,"")</f>
        <v/>
      </c>
    </row>
    <row r="1706">
      <c r="A1706" s="4" t="inlineStr">
        <is>
          <t>700</t>
        </is>
      </c>
      <c r="B1706" s="4" t="n">
        <v>7</v>
      </c>
      <c r="C1706" s="4" t="inlineStr">
        <is>
          <t>mule deer</t>
        </is>
      </c>
      <c r="D1706" s="4" t="n">
        <v>2025</v>
      </c>
      <c r="E1706" s="13" t="inlineStr">
        <is>
          <t>General</t>
        </is>
      </c>
      <c r="F1706" s="5" t="n">
        <v>3259</v>
      </c>
      <c r="G1706" s="5" t="n">
        <v>23783</v>
      </c>
      <c r="H1706" s="5" t="n">
        <v>1015</v>
      </c>
      <c r="I1706" s="5" t="n">
        <v>886</v>
      </c>
      <c r="J1706" s="5" t="n">
        <v>126</v>
      </c>
      <c r="K1706" s="10">
        <f>IF(F1706&gt;0,H1706/F1706,"")</f>
        <v/>
      </c>
      <c r="L1706" s="16">
        <f>IF(AND(G1706&gt;0,H1706&gt;0),G1706/H1706,"")</f>
        <v/>
      </c>
    </row>
    <row r="1707">
      <c r="A1707" s="4" t="inlineStr">
        <is>
          <t>701</t>
        </is>
      </c>
      <c r="B1707" s="4" t="n">
        <v>7</v>
      </c>
      <c r="C1707" s="4" t="inlineStr">
        <is>
          <t>mule deer</t>
        </is>
      </c>
      <c r="D1707" s="4" t="n">
        <v>2021</v>
      </c>
      <c r="E1707" s="13" t="inlineStr">
        <is>
          <t>General</t>
        </is>
      </c>
      <c r="F1707" s="5" t="n">
        <v>3629</v>
      </c>
      <c r="G1707" s="5" t="n">
        <v>18129</v>
      </c>
      <c r="H1707" s="5" t="n">
        <v>1561</v>
      </c>
      <c r="I1707" s="5" t="n">
        <v>1232</v>
      </c>
      <c r="J1707" s="5" t="n">
        <v>324</v>
      </c>
      <c r="K1707" s="10">
        <f>IF(F1707&gt;0,H1707/F1707,"")</f>
        <v/>
      </c>
      <c r="L1707" s="16">
        <f>IF(AND(G1707&gt;0,H1707&gt;0),G1707/H1707,"")</f>
        <v/>
      </c>
    </row>
    <row r="1708">
      <c r="A1708" s="4" t="inlineStr">
        <is>
          <t>701</t>
        </is>
      </c>
      <c r="B1708" s="4" t="n">
        <v>7</v>
      </c>
      <c r="C1708" s="4" t="inlineStr">
        <is>
          <t>mule deer</t>
        </is>
      </c>
      <c r="D1708" s="4" t="n">
        <v>2022</v>
      </c>
      <c r="E1708" s="13" t="inlineStr">
        <is>
          <t>General</t>
        </is>
      </c>
      <c r="F1708" s="5" t="n"/>
      <c r="G1708" s="5" t="n"/>
      <c r="H1708" s="5" t="n">
        <v>1376</v>
      </c>
      <c r="I1708" s="5" t="n">
        <v>1081</v>
      </c>
      <c r="J1708" s="5" t="n">
        <v>292</v>
      </c>
      <c r="K1708" s="10">
        <f>IF(F1708&gt;0,H1708/F1708,"")</f>
        <v/>
      </c>
      <c r="L1708" s="16">
        <f>IF(AND(G1708&gt;0,H1708&gt;0),G1708/H1708,"")</f>
        <v/>
      </c>
    </row>
    <row r="1709">
      <c r="A1709" s="4" t="inlineStr">
        <is>
          <t>701</t>
        </is>
      </c>
      <c r="B1709" s="4" t="n">
        <v>7</v>
      </c>
      <c r="C1709" s="4" t="inlineStr">
        <is>
          <t>mule deer</t>
        </is>
      </c>
      <c r="D1709" s="4" t="n">
        <v>2023</v>
      </c>
      <c r="E1709" s="13" t="inlineStr">
        <is>
          <t>General</t>
        </is>
      </c>
      <c r="F1709" s="5" t="n">
        <v>3415</v>
      </c>
      <c r="G1709" s="5" t="n">
        <v>18809</v>
      </c>
      <c r="H1709" s="5" t="n">
        <v>1038</v>
      </c>
      <c r="I1709" s="5" t="n">
        <v>962</v>
      </c>
      <c r="J1709" s="5" t="n">
        <v>73</v>
      </c>
      <c r="K1709" s="10">
        <f>IF(F1709&gt;0,H1709/F1709,"")</f>
        <v/>
      </c>
      <c r="L1709" s="16">
        <f>IF(AND(G1709&gt;0,H1709&gt;0),G1709/H1709,"")</f>
        <v/>
      </c>
    </row>
    <row r="1710">
      <c r="A1710" s="4" t="inlineStr">
        <is>
          <t>701</t>
        </is>
      </c>
      <c r="B1710" s="4" t="n">
        <v>7</v>
      </c>
      <c r="C1710" s="4" t="inlineStr">
        <is>
          <t>mule deer</t>
        </is>
      </c>
      <c r="D1710" s="4" t="n">
        <v>2024</v>
      </c>
      <c r="E1710" s="13" t="inlineStr">
        <is>
          <t>General</t>
        </is>
      </c>
      <c r="F1710" s="5" t="n"/>
      <c r="G1710" s="5" t="n"/>
      <c r="H1710" s="5" t="n">
        <v>1181</v>
      </c>
      <c r="I1710" s="5" t="n">
        <v>1071</v>
      </c>
      <c r="J1710" s="5" t="n">
        <v>110</v>
      </c>
      <c r="K1710" s="10">
        <f>IF(F1710&gt;0,H1710/F1710,"")</f>
        <v/>
      </c>
      <c r="L1710" s="16">
        <f>IF(AND(G1710&gt;0,H1710&gt;0),G1710/H1710,"")</f>
        <v/>
      </c>
    </row>
    <row r="1711">
      <c r="A1711" s="4" t="inlineStr">
        <is>
          <t>701</t>
        </is>
      </c>
      <c r="B1711" s="4" t="n">
        <v>7</v>
      </c>
      <c r="C1711" s="4" t="inlineStr">
        <is>
          <t>mule deer</t>
        </is>
      </c>
      <c r="D1711" s="4" t="n">
        <v>2025</v>
      </c>
      <c r="E1711" s="13" t="inlineStr">
        <is>
          <t>General</t>
        </is>
      </c>
      <c r="F1711" s="5" t="n">
        <v>3286</v>
      </c>
      <c r="G1711" s="5" t="n">
        <v>18840</v>
      </c>
      <c r="H1711" s="5" t="n">
        <v>920</v>
      </c>
      <c r="I1711" s="5" t="n">
        <v>838</v>
      </c>
      <c r="J1711" s="5" t="n">
        <v>82</v>
      </c>
      <c r="K1711" s="10">
        <f>IF(F1711&gt;0,H1711/F1711,"")</f>
        <v/>
      </c>
      <c r="L1711" s="16">
        <f>IF(AND(G1711&gt;0,H1711&gt;0),G1711/H1711,"")</f>
        <v/>
      </c>
    </row>
    <row r="1712">
      <c r="A1712" s="4" t="inlineStr">
        <is>
          <t>702</t>
        </is>
      </c>
      <c r="B1712" s="4" t="n">
        <v>7</v>
      </c>
      <c r="C1712" s="4" t="inlineStr">
        <is>
          <t>mule deer</t>
        </is>
      </c>
      <c r="D1712" s="4" t="n">
        <v>2021</v>
      </c>
      <c r="E1712" s="13" t="inlineStr">
        <is>
          <t>General</t>
        </is>
      </c>
      <c r="F1712" s="5" t="n">
        <v>1842</v>
      </c>
      <c r="G1712" s="5" t="n">
        <v>10611</v>
      </c>
      <c r="H1712" s="5" t="n">
        <v>797</v>
      </c>
      <c r="I1712" s="5" t="n">
        <v>639</v>
      </c>
      <c r="J1712" s="5" t="n">
        <v>158</v>
      </c>
      <c r="K1712" s="10">
        <f>IF(F1712&gt;0,H1712/F1712,"")</f>
        <v/>
      </c>
      <c r="L1712" s="16">
        <f>IF(AND(G1712&gt;0,H1712&gt;0),G1712/H1712,"")</f>
        <v/>
      </c>
    </row>
    <row r="1713">
      <c r="A1713" s="4" t="inlineStr">
        <is>
          <t>702</t>
        </is>
      </c>
      <c r="B1713" s="4" t="n">
        <v>7</v>
      </c>
      <c r="C1713" s="4" t="inlineStr">
        <is>
          <t>mule deer</t>
        </is>
      </c>
      <c r="D1713" s="4" t="n">
        <v>2022</v>
      </c>
      <c r="E1713" s="13" t="inlineStr">
        <is>
          <t>General</t>
        </is>
      </c>
      <c r="F1713" s="5" t="n"/>
      <c r="G1713" s="5" t="n"/>
      <c r="H1713" s="5" t="n">
        <v>875</v>
      </c>
      <c r="I1713" s="5" t="n">
        <v>739</v>
      </c>
      <c r="J1713" s="5" t="n">
        <v>133</v>
      </c>
      <c r="K1713" s="10">
        <f>IF(F1713&gt;0,H1713/F1713,"")</f>
        <v/>
      </c>
      <c r="L1713" s="16">
        <f>IF(AND(G1713&gt;0,H1713&gt;0),G1713/H1713,"")</f>
        <v/>
      </c>
    </row>
    <row r="1714">
      <c r="A1714" s="4" t="inlineStr">
        <is>
          <t>702</t>
        </is>
      </c>
      <c r="B1714" s="4" t="n">
        <v>7</v>
      </c>
      <c r="C1714" s="4" t="inlineStr">
        <is>
          <t>mule deer</t>
        </is>
      </c>
      <c r="D1714" s="4" t="n">
        <v>2023</v>
      </c>
      <c r="E1714" s="13" t="inlineStr">
        <is>
          <t>General</t>
        </is>
      </c>
      <c r="F1714" s="5" t="n">
        <v>2028</v>
      </c>
      <c r="G1714" s="5" t="n">
        <v>11142</v>
      </c>
      <c r="H1714" s="5" t="n">
        <v>798</v>
      </c>
      <c r="I1714" s="5" t="n">
        <v>736</v>
      </c>
      <c r="J1714" s="5" t="n">
        <v>62</v>
      </c>
      <c r="K1714" s="10">
        <f>IF(F1714&gt;0,H1714/F1714,"")</f>
        <v/>
      </c>
      <c r="L1714" s="16">
        <f>IF(AND(G1714&gt;0,H1714&gt;0),G1714/H1714,"")</f>
        <v/>
      </c>
    </row>
    <row r="1715">
      <c r="A1715" s="4" t="inlineStr">
        <is>
          <t>702</t>
        </is>
      </c>
      <c r="B1715" s="4" t="n">
        <v>7</v>
      </c>
      <c r="C1715" s="4" t="inlineStr">
        <is>
          <t>mule deer</t>
        </is>
      </c>
      <c r="D1715" s="4" t="n">
        <v>2024</v>
      </c>
      <c r="E1715" s="13" t="inlineStr">
        <is>
          <t>General</t>
        </is>
      </c>
      <c r="F1715" s="5" t="n"/>
      <c r="G1715" s="5" t="n"/>
      <c r="H1715" s="5" t="n">
        <v>819</v>
      </c>
      <c r="I1715" s="5" t="n">
        <v>732</v>
      </c>
      <c r="J1715" s="5" t="n">
        <v>88</v>
      </c>
      <c r="K1715" s="10">
        <f>IF(F1715&gt;0,H1715/F1715,"")</f>
        <v/>
      </c>
      <c r="L1715" s="16">
        <f>IF(AND(G1715&gt;0,H1715&gt;0),G1715/H1715,"")</f>
        <v/>
      </c>
    </row>
    <row r="1716">
      <c r="A1716" s="4" t="inlineStr">
        <is>
          <t>702</t>
        </is>
      </c>
      <c r="B1716" s="4" t="n">
        <v>7</v>
      </c>
      <c r="C1716" s="4" t="inlineStr">
        <is>
          <t>mule deer</t>
        </is>
      </c>
      <c r="D1716" s="4" t="n">
        <v>2025</v>
      </c>
      <c r="E1716" s="13" t="inlineStr">
        <is>
          <t>General</t>
        </is>
      </c>
      <c r="F1716" s="5" t="n">
        <v>1740</v>
      </c>
      <c r="G1716" s="5" t="n">
        <v>9567</v>
      </c>
      <c r="H1716" s="5" t="n">
        <v>631</v>
      </c>
      <c r="I1716" s="5" t="n">
        <v>560</v>
      </c>
      <c r="J1716" s="5" t="n">
        <v>68</v>
      </c>
      <c r="K1716" s="10">
        <f>IF(F1716&gt;0,H1716/F1716,"")</f>
        <v/>
      </c>
      <c r="L1716" s="16">
        <f>IF(AND(G1716&gt;0,H1716&gt;0),G1716/H1716,"")</f>
        <v/>
      </c>
    </row>
    <row r="1717">
      <c r="A1717" s="4" t="inlineStr">
        <is>
          <t>703</t>
        </is>
      </c>
      <c r="B1717" s="4" t="n">
        <v>7</v>
      </c>
      <c r="C1717" s="4" t="inlineStr">
        <is>
          <t>mule deer</t>
        </is>
      </c>
      <c r="D1717" s="4" t="n">
        <v>2021</v>
      </c>
      <c r="E1717" s="13" t="inlineStr">
        <is>
          <t>General</t>
        </is>
      </c>
      <c r="F1717" s="5" t="n">
        <v>3853</v>
      </c>
      <c r="G1717" s="5" t="n">
        <v>21574</v>
      </c>
      <c r="H1717" s="5" t="n">
        <v>1917</v>
      </c>
      <c r="I1717" s="5" t="n">
        <v>1420</v>
      </c>
      <c r="J1717" s="5" t="n">
        <v>493</v>
      </c>
      <c r="K1717" s="10">
        <f>IF(F1717&gt;0,H1717/F1717,"")</f>
        <v/>
      </c>
      <c r="L1717" s="16">
        <f>IF(AND(G1717&gt;0,H1717&gt;0),G1717/H1717,"")</f>
        <v/>
      </c>
    </row>
    <row r="1718">
      <c r="A1718" s="4" t="inlineStr">
        <is>
          <t>703</t>
        </is>
      </c>
      <c r="B1718" s="4" t="n">
        <v>7</v>
      </c>
      <c r="C1718" s="4" t="inlineStr">
        <is>
          <t>mule deer</t>
        </is>
      </c>
      <c r="D1718" s="4" t="n">
        <v>2022</v>
      </c>
      <c r="E1718" s="13" t="inlineStr">
        <is>
          <t>General</t>
        </is>
      </c>
      <c r="F1718" s="5" t="n"/>
      <c r="G1718" s="5" t="n"/>
      <c r="H1718" s="5" t="n">
        <v>1665</v>
      </c>
      <c r="I1718" s="5" t="n">
        <v>1256</v>
      </c>
      <c r="J1718" s="5" t="n">
        <v>403</v>
      </c>
      <c r="K1718" s="10">
        <f>IF(F1718&gt;0,H1718/F1718,"")</f>
        <v/>
      </c>
      <c r="L1718" s="16">
        <f>IF(AND(G1718&gt;0,H1718&gt;0),G1718/H1718,"")</f>
        <v/>
      </c>
    </row>
    <row r="1719">
      <c r="A1719" s="4" t="inlineStr">
        <is>
          <t>703</t>
        </is>
      </c>
      <c r="B1719" s="4" t="n">
        <v>7</v>
      </c>
      <c r="C1719" s="4" t="inlineStr">
        <is>
          <t>mule deer</t>
        </is>
      </c>
      <c r="D1719" s="4" t="n">
        <v>2023</v>
      </c>
      <c r="E1719" s="13" t="inlineStr">
        <is>
          <t>General</t>
        </is>
      </c>
      <c r="F1719" s="5" t="n">
        <v>3673</v>
      </c>
      <c r="G1719" s="5" t="n">
        <v>20696</v>
      </c>
      <c r="H1719" s="5" t="n">
        <v>1448</v>
      </c>
      <c r="I1719" s="5" t="n">
        <v>1368</v>
      </c>
      <c r="J1719" s="5" t="n">
        <v>80</v>
      </c>
      <c r="K1719" s="10">
        <f>IF(F1719&gt;0,H1719/F1719,"")</f>
        <v/>
      </c>
      <c r="L1719" s="16">
        <f>IF(AND(G1719&gt;0,H1719&gt;0),G1719/H1719,"")</f>
        <v/>
      </c>
    </row>
    <row r="1720">
      <c r="A1720" s="4" t="inlineStr">
        <is>
          <t>703</t>
        </is>
      </c>
      <c r="B1720" s="4" t="n">
        <v>7</v>
      </c>
      <c r="C1720" s="4" t="inlineStr">
        <is>
          <t>mule deer</t>
        </is>
      </c>
      <c r="D1720" s="4" t="n">
        <v>2024</v>
      </c>
      <c r="E1720" s="13" t="inlineStr">
        <is>
          <t>General</t>
        </is>
      </c>
      <c r="F1720" s="5" t="n"/>
      <c r="G1720" s="5" t="n"/>
      <c r="H1720" s="5" t="n">
        <v>1421</v>
      </c>
      <c r="I1720" s="5" t="n">
        <v>1286</v>
      </c>
      <c r="J1720" s="5" t="n">
        <v>132</v>
      </c>
      <c r="K1720" s="10">
        <f>IF(F1720&gt;0,H1720/F1720,"")</f>
        <v/>
      </c>
      <c r="L1720" s="16">
        <f>IF(AND(G1720&gt;0,H1720&gt;0),G1720/H1720,"")</f>
        <v/>
      </c>
    </row>
    <row r="1721">
      <c r="A1721" s="4" t="inlineStr">
        <is>
          <t>703</t>
        </is>
      </c>
      <c r="B1721" s="4" t="n">
        <v>7</v>
      </c>
      <c r="C1721" s="4" t="inlineStr">
        <is>
          <t>mule deer</t>
        </is>
      </c>
      <c r="D1721" s="4" t="n">
        <v>2025</v>
      </c>
      <c r="E1721" s="13" t="inlineStr">
        <is>
          <t>General</t>
        </is>
      </c>
      <c r="F1721" s="5" t="n">
        <v>3447</v>
      </c>
      <c r="G1721" s="5" t="n">
        <v>21223</v>
      </c>
      <c r="H1721" s="5" t="n">
        <v>1277</v>
      </c>
      <c r="I1721" s="5" t="n">
        <v>1196</v>
      </c>
      <c r="J1721" s="5" t="n">
        <v>81</v>
      </c>
      <c r="K1721" s="10">
        <f>IF(F1721&gt;0,H1721/F1721,"")</f>
        <v/>
      </c>
      <c r="L1721" s="16">
        <f>IF(AND(G1721&gt;0,H1721&gt;0),G1721/H1721,"")</f>
        <v/>
      </c>
    </row>
    <row r="1722">
      <c r="A1722" s="4" t="inlineStr">
        <is>
          <t>704</t>
        </is>
      </c>
      <c r="B1722" s="4" t="n">
        <v>7</v>
      </c>
      <c r="C1722" s="4" t="inlineStr">
        <is>
          <t>mule deer</t>
        </is>
      </c>
      <c r="D1722" s="4" t="n">
        <v>2021</v>
      </c>
      <c r="E1722" s="13" t="inlineStr">
        <is>
          <t>General</t>
        </is>
      </c>
      <c r="F1722" s="5" t="n">
        <v>5005</v>
      </c>
      <c r="G1722" s="5" t="n">
        <v>26625</v>
      </c>
      <c r="H1722" s="5" t="n">
        <v>2295</v>
      </c>
      <c r="I1722" s="5" t="n">
        <v>1823</v>
      </c>
      <c r="J1722" s="5" t="n">
        <v>472</v>
      </c>
      <c r="K1722" s="10">
        <f>IF(F1722&gt;0,H1722/F1722,"")</f>
        <v/>
      </c>
      <c r="L1722" s="16">
        <f>IF(AND(G1722&gt;0,H1722&gt;0),G1722/H1722,"")</f>
        <v/>
      </c>
    </row>
    <row r="1723">
      <c r="A1723" s="4" t="inlineStr">
        <is>
          <t>704</t>
        </is>
      </c>
      <c r="B1723" s="4" t="n">
        <v>7</v>
      </c>
      <c r="C1723" s="4" t="inlineStr">
        <is>
          <t>mule deer</t>
        </is>
      </c>
      <c r="D1723" s="4" t="n">
        <v>2022</v>
      </c>
      <c r="E1723" s="13" t="inlineStr">
        <is>
          <t>General</t>
        </is>
      </c>
      <c r="F1723" s="5" t="n"/>
      <c r="G1723" s="5" t="n"/>
      <c r="H1723" s="5" t="n">
        <v>1780</v>
      </c>
      <c r="I1723" s="5" t="n">
        <v>1450</v>
      </c>
      <c r="J1723" s="5" t="n">
        <v>327</v>
      </c>
      <c r="K1723" s="10">
        <f>IF(F1723&gt;0,H1723/F1723,"")</f>
        <v/>
      </c>
      <c r="L1723" s="16">
        <f>IF(AND(G1723&gt;0,H1723&gt;0),G1723/H1723,"")</f>
        <v/>
      </c>
    </row>
    <row r="1724">
      <c r="A1724" s="4" t="inlineStr">
        <is>
          <t>704</t>
        </is>
      </c>
      <c r="B1724" s="4" t="n">
        <v>7</v>
      </c>
      <c r="C1724" s="4" t="inlineStr">
        <is>
          <t>mule deer</t>
        </is>
      </c>
      <c r="D1724" s="4" t="n">
        <v>2023</v>
      </c>
      <c r="E1724" s="13" t="inlineStr">
        <is>
          <t>General</t>
        </is>
      </c>
      <c r="F1724" s="5" t="n">
        <v>4258</v>
      </c>
      <c r="G1724" s="5" t="n">
        <v>23302</v>
      </c>
      <c r="H1724" s="5" t="n">
        <v>1703</v>
      </c>
      <c r="I1724" s="5" t="n">
        <v>1596</v>
      </c>
      <c r="J1724" s="5" t="n">
        <v>107</v>
      </c>
      <c r="K1724" s="10">
        <f>IF(F1724&gt;0,H1724/F1724,"")</f>
        <v/>
      </c>
      <c r="L1724" s="16">
        <f>IF(AND(G1724&gt;0,H1724&gt;0),G1724/H1724,"")</f>
        <v/>
      </c>
    </row>
    <row r="1725">
      <c r="A1725" s="4" t="inlineStr">
        <is>
          <t>704</t>
        </is>
      </c>
      <c r="B1725" s="4" t="n">
        <v>7</v>
      </c>
      <c r="C1725" s="4" t="inlineStr">
        <is>
          <t>mule deer</t>
        </is>
      </c>
      <c r="D1725" s="4" t="n">
        <v>2024</v>
      </c>
      <c r="E1725" s="13" t="inlineStr">
        <is>
          <t>General</t>
        </is>
      </c>
      <c r="F1725" s="5" t="n"/>
      <c r="G1725" s="5" t="n"/>
      <c r="H1725" s="5" t="n">
        <v>1572</v>
      </c>
      <c r="I1725" s="5" t="n">
        <v>1526</v>
      </c>
      <c r="J1725" s="5" t="n">
        <v>42</v>
      </c>
      <c r="K1725" s="10">
        <f>IF(F1725&gt;0,H1725/F1725,"")</f>
        <v/>
      </c>
      <c r="L1725" s="16">
        <f>IF(AND(G1725&gt;0,H1725&gt;0),G1725/H1725,"")</f>
        <v/>
      </c>
    </row>
    <row r="1726">
      <c r="A1726" s="4" t="inlineStr">
        <is>
          <t>704</t>
        </is>
      </c>
      <c r="B1726" s="4" t="n">
        <v>7</v>
      </c>
      <c r="C1726" s="4" t="inlineStr">
        <is>
          <t>mule deer</t>
        </is>
      </c>
      <c r="D1726" s="4" t="n">
        <v>2025</v>
      </c>
      <c r="E1726" s="13" t="inlineStr">
        <is>
          <t>General</t>
        </is>
      </c>
      <c r="F1726" s="5" t="n">
        <v>4306</v>
      </c>
      <c r="G1726" s="5" t="n">
        <v>25609</v>
      </c>
      <c r="H1726" s="5" t="n">
        <v>1770</v>
      </c>
      <c r="I1726" s="5" t="n">
        <v>1720</v>
      </c>
      <c r="J1726" s="5" t="n">
        <v>50</v>
      </c>
      <c r="K1726" s="10">
        <f>IF(F1726&gt;0,H1726/F1726,"")</f>
        <v/>
      </c>
      <c r="L1726" s="16">
        <f>IF(AND(G1726&gt;0,H1726&gt;0),G1726/H1726,"")</f>
        <v/>
      </c>
    </row>
    <row r="1727">
      <c r="A1727" s="4" t="inlineStr">
        <is>
          <t>705</t>
        </is>
      </c>
      <c r="B1727" s="4" t="n">
        <v>7</v>
      </c>
      <c r="C1727" s="4" t="inlineStr">
        <is>
          <t>mule deer</t>
        </is>
      </c>
      <c r="D1727" s="4" t="n">
        <v>2021</v>
      </c>
      <c r="E1727" s="13" t="inlineStr">
        <is>
          <t>General</t>
        </is>
      </c>
      <c r="F1727" s="5" t="n">
        <v>5464</v>
      </c>
      <c r="G1727" s="5" t="n">
        <v>28793</v>
      </c>
      <c r="H1727" s="5" t="n">
        <v>2561</v>
      </c>
      <c r="I1727" s="5" t="n">
        <v>1872</v>
      </c>
      <c r="J1727" s="5" t="n">
        <v>686</v>
      </c>
      <c r="K1727" s="10">
        <f>IF(F1727&gt;0,H1727/F1727,"")</f>
        <v/>
      </c>
      <c r="L1727" s="16">
        <f>IF(AND(G1727&gt;0,H1727&gt;0),G1727/H1727,"")</f>
        <v/>
      </c>
    </row>
    <row r="1728">
      <c r="A1728" s="4" t="inlineStr">
        <is>
          <t>705</t>
        </is>
      </c>
      <c r="B1728" s="4" t="n">
        <v>7</v>
      </c>
      <c r="C1728" s="4" t="inlineStr">
        <is>
          <t>mule deer</t>
        </is>
      </c>
      <c r="D1728" s="4" t="n">
        <v>2022</v>
      </c>
      <c r="E1728" s="13" t="inlineStr">
        <is>
          <t>General</t>
        </is>
      </c>
      <c r="F1728" s="5" t="n"/>
      <c r="G1728" s="5" t="n"/>
      <c r="H1728" s="5" t="n">
        <v>1759</v>
      </c>
      <c r="I1728" s="5" t="n">
        <v>1382</v>
      </c>
      <c r="J1728" s="5" t="n">
        <v>369</v>
      </c>
      <c r="K1728" s="10">
        <f>IF(F1728&gt;0,H1728/F1728,"")</f>
        <v/>
      </c>
      <c r="L1728" s="16">
        <f>IF(AND(G1728&gt;0,H1728&gt;0),G1728/H1728,"")</f>
        <v/>
      </c>
    </row>
    <row r="1729">
      <c r="A1729" s="4" t="inlineStr">
        <is>
          <t>705</t>
        </is>
      </c>
      <c r="B1729" s="4" t="n">
        <v>7</v>
      </c>
      <c r="C1729" s="4" t="inlineStr">
        <is>
          <t>mule deer</t>
        </is>
      </c>
      <c r="D1729" s="4" t="n">
        <v>2023</v>
      </c>
      <c r="E1729" s="13" t="inlineStr">
        <is>
          <t>General</t>
        </is>
      </c>
      <c r="F1729" s="5" t="n">
        <v>3682</v>
      </c>
      <c r="G1729" s="5" t="n">
        <v>19348</v>
      </c>
      <c r="H1729" s="5" t="n">
        <v>1294</v>
      </c>
      <c r="I1729" s="5" t="n">
        <v>1208</v>
      </c>
      <c r="J1729" s="5" t="n">
        <v>84</v>
      </c>
      <c r="K1729" s="10">
        <f>IF(F1729&gt;0,H1729/F1729,"")</f>
        <v/>
      </c>
      <c r="L1729" s="16">
        <f>IF(AND(G1729&gt;0,H1729&gt;0),G1729/H1729,"")</f>
        <v/>
      </c>
    </row>
    <row r="1730">
      <c r="A1730" s="4" t="inlineStr">
        <is>
          <t>705</t>
        </is>
      </c>
      <c r="B1730" s="4" t="n">
        <v>7</v>
      </c>
      <c r="C1730" s="4" t="inlineStr">
        <is>
          <t>mule deer</t>
        </is>
      </c>
      <c r="D1730" s="4" t="n">
        <v>2024</v>
      </c>
      <c r="E1730" s="13" t="inlineStr">
        <is>
          <t>General</t>
        </is>
      </c>
      <c r="F1730" s="5" t="n"/>
      <c r="G1730" s="5" t="n"/>
      <c r="H1730" s="5" t="n">
        <v>1374</v>
      </c>
      <c r="I1730" s="5" t="n">
        <v>1325</v>
      </c>
      <c r="J1730" s="5" t="n">
        <v>49</v>
      </c>
      <c r="K1730" s="10">
        <f>IF(F1730&gt;0,H1730/F1730,"")</f>
        <v/>
      </c>
      <c r="L1730" s="16">
        <f>IF(AND(G1730&gt;0,H1730&gt;0),G1730/H1730,"")</f>
        <v/>
      </c>
    </row>
    <row r="1731">
      <c r="A1731" s="4" t="inlineStr">
        <is>
          <t>705</t>
        </is>
      </c>
      <c r="B1731" s="4" t="n">
        <v>7</v>
      </c>
      <c r="C1731" s="4" t="inlineStr">
        <is>
          <t>mule deer</t>
        </is>
      </c>
      <c r="D1731" s="4" t="n">
        <v>2025</v>
      </c>
      <c r="E1731" s="13" t="inlineStr">
        <is>
          <t>General</t>
        </is>
      </c>
      <c r="F1731" s="5" t="n">
        <v>3585</v>
      </c>
      <c r="G1731" s="5" t="n">
        <v>20671</v>
      </c>
      <c r="H1731" s="5" t="n">
        <v>1463</v>
      </c>
      <c r="I1731" s="5" t="n">
        <v>1409</v>
      </c>
      <c r="J1731" s="5" t="n">
        <v>52</v>
      </c>
      <c r="K1731" s="10">
        <f>IF(F1731&gt;0,H1731/F1731,"")</f>
        <v/>
      </c>
      <c r="L1731" s="16">
        <f>IF(AND(G1731&gt;0,H1731&gt;0),G1731/H1731,"")</f>
        <v/>
      </c>
    </row>
    <row r="1732">
      <c r="A1732" s="4" t="inlineStr">
        <is>
          <t>100</t>
        </is>
      </c>
      <c r="B1732" s="4" t="n">
        <v>1</v>
      </c>
      <c r="C1732" s="4" t="inlineStr">
        <is>
          <t>whitetail</t>
        </is>
      </c>
      <c r="D1732" s="4" t="n">
        <v>2021</v>
      </c>
      <c r="E1732" s="13" t="inlineStr">
        <is>
          <t>General</t>
        </is>
      </c>
      <c r="F1732" s="5" t="n">
        <v>2402</v>
      </c>
      <c r="G1732" s="5" t="n">
        <v>17422</v>
      </c>
      <c r="H1732" s="5" t="n">
        <v>1272</v>
      </c>
      <c r="I1732" s="5" t="n">
        <v>900</v>
      </c>
      <c r="J1732" s="5" t="n">
        <v>368</v>
      </c>
      <c r="K1732" s="10">
        <f>IF(F1732&gt;0,H1732/F1732,"")</f>
        <v/>
      </c>
      <c r="L1732" s="16">
        <f>IF(AND(G1732&gt;0,H1732&gt;0),G1732/H1732,"")</f>
        <v/>
      </c>
    </row>
    <row r="1733">
      <c r="A1733" s="4" t="inlineStr">
        <is>
          <t>100</t>
        </is>
      </c>
      <c r="B1733" s="4" t="n">
        <v>1</v>
      </c>
      <c r="C1733" s="4" t="inlineStr">
        <is>
          <t>whitetail</t>
        </is>
      </c>
      <c r="D1733" s="4" t="n">
        <v>2022</v>
      </c>
      <c r="E1733" s="13" t="inlineStr">
        <is>
          <t>General</t>
        </is>
      </c>
      <c r="F1733" s="5" t="n"/>
      <c r="G1733" s="5" t="n"/>
      <c r="H1733" s="5" t="n">
        <v>1127</v>
      </c>
      <c r="I1733" s="5" t="n">
        <v>746</v>
      </c>
      <c r="J1733" s="5" t="n">
        <v>378</v>
      </c>
      <c r="K1733" s="10">
        <f>IF(F1733&gt;0,H1733/F1733,"")</f>
        <v/>
      </c>
      <c r="L1733" s="16">
        <f>IF(AND(G1733&gt;0,H1733&gt;0),G1733/H1733,"")</f>
        <v/>
      </c>
    </row>
    <row r="1734">
      <c r="A1734" s="4" t="inlineStr">
        <is>
          <t>100</t>
        </is>
      </c>
      <c r="B1734" s="4" t="n">
        <v>1</v>
      </c>
      <c r="C1734" s="4" t="inlineStr">
        <is>
          <t>whitetail</t>
        </is>
      </c>
      <c r="D1734" s="4" t="n">
        <v>2023</v>
      </c>
      <c r="E1734" s="13" t="inlineStr">
        <is>
          <t>General</t>
        </is>
      </c>
      <c r="F1734" s="5" t="n">
        <v>2846</v>
      </c>
      <c r="G1734" s="5" t="n">
        <v>23556</v>
      </c>
      <c r="H1734" s="5" t="n">
        <v>1035</v>
      </c>
      <c r="I1734" s="5" t="n">
        <v>780</v>
      </c>
      <c r="J1734" s="5" t="n">
        <v>252</v>
      </c>
      <c r="K1734" s="10">
        <f>IF(F1734&gt;0,H1734/F1734,"")</f>
        <v/>
      </c>
      <c r="L1734" s="16">
        <f>IF(AND(G1734&gt;0,H1734&gt;0),G1734/H1734,"")</f>
        <v/>
      </c>
    </row>
    <row r="1735">
      <c r="A1735" s="4" t="inlineStr">
        <is>
          <t>100</t>
        </is>
      </c>
      <c r="B1735" s="4" t="n">
        <v>1</v>
      </c>
      <c r="C1735" s="4" t="inlineStr">
        <is>
          <t>whitetail</t>
        </is>
      </c>
      <c r="D1735" s="4" t="n">
        <v>2024</v>
      </c>
      <c r="E1735" s="13" t="inlineStr">
        <is>
          <t>General</t>
        </is>
      </c>
      <c r="F1735" s="5" t="n"/>
      <c r="G1735" s="5" t="n"/>
      <c r="H1735" s="5" t="n">
        <v>1034</v>
      </c>
      <c r="I1735" s="5" t="n">
        <v>777</v>
      </c>
      <c r="J1735" s="5" t="n">
        <v>251</v>
      </c>
      <c r="K1735" s="10">
        <f>IF(F1735&gt;0,H1735/F1735,"")</f>
        <v/>
      </c>
      <c r="L1735" s="16">
        <f>IF(AND(G1735&gt;0,H1735&gt;0),G1735/H1735,"")</f>
        <v/>
      </c>
    </row>
    <row r="1736">
      <c r="A1736" s="4" t="inlineStr">
        <is>
          <t>100</t>
        </is>
      </c>
      <c r="B1736" s="4" t="n">
        <v>1</v>
      </c>
      <c r="C1736" s="4" t="inlineStr">
        <is>
          <t>whitetail</t>
        </is>
      </c>
      <c r="D1736" s="4" t="n">
        <v>2025</v>
      </c>
      <c r="E1736" s="13" t="inlineStr">
        <is>
          <t>General</t>
        </is>
      </c>
      <c r="F1736" s="5" t="n">
        <v>2765</v>
      </c>
      <c r="G1736" s="5" t="n">
        <v>22537</v>
      </c>
      <c r="H1736" s="5" t="n">
        <v>1021</v>
      </c>
      <c r="I1736" s="5" t="n">
        <v>750</v>
      </c>
      <c r="J1736" s="5" t="n">
        <v>264</v>
      </c>
      <c r="K1736" s="10">
        <f>IF(F1736&gt;0,H1736/F1736,"")</f>
        <v/>
      </c>
      <c r="L1736" s="16">
        <f>IF(AND(G1736&gt;0,H1736&gt;0),G1736/H1736,"")</f>
        <v/>
      </c>
    </row>
    <row r="1737">
      <c r="A1737" s="4" t="inlineStr">
        <is>
          <t>101</t>
        </is>
      </c>
      <c r="B1737" s="4" t="n">
        <v>1</v>
      </c>
      <c r="C1737" s="4" t="inlineStr">
        <is>
          <t>whitetail</t>
        </is>
      </c>
      <c r="D1737" s="4" t="n">
        <v>2021</v>
      </c>
      <c r="E1737" s="13" t="inlineStr">
        <is>
          <t>General</t>
        </is>
      </c>
      <c r="F1737" s="5" t="n">
        <v>2328</v>
      </c>
      <c r="G1737" s="5" t="n">
        <v>15644</v>
      </c>
      <c r="H1737" s="5" t="n">
        <v>896</v>
      </c>
      <c r="I1737" s="5" t="n">
        <v>713</v>
      </c>
      <c r="J1737" s="5" t="n">
        <v>183</v>
      </c>
      <c r="K1737" s="10">
        <f>IF(F1737&gt;0,H1737/F1737,"")</f>
        <v/>
      </c>
      <c r="L1737" s="16">
        <f>IF(AND(G1737&gt;0,H1737&gt;0),G1737/H1737,"")</f>
        <v/>
      </c>
    </row>
    <row r="1738">
      <c r="A1738" s="4" t="inlineStr">
        <is>
          <t>101</t>
        </is>
      </c>
      <c r="B1738" s="4" t="n">
        <v>1</v>
      </c>
      <c r="C1738" s="4" t="inlineStr">
        <is>
          <t>whitetail</t>
        </is>
      </c>
      <c r="D1738" s="4" t="n">
        <v>2022</v>
      </c>
      <c r="E1738" s="13" t="inlineStr">
        <is>
          <t>General</t>
        </is>
      </c>
      <c r="F1738" s="5" t="n"/>
      <c r="G1738" s="5" t="n"/>
      <c r="H1738" s="5" t="n">
        <v>1126</v>
      </c>
      <c r="I1738" s="5" t="n">
        <v>851</v>
      </c>
      <c r="J1738" s="5" t="n">
        <v>269</v>
      </c>
      <c r="K1738" s="10">
        <f>IF(F1738&gt;0,H1738/F1738,"")</f>
        <v/>
      </c>
      <c r="L1738" s="16">
        <f>IF(AND(G1738&gt;0,H1738&gt;0),G1738/H1738,"")</f>
        <v/>
      </c>
    </row>
    <row r="1739">
      <c r="A1739" s="4" t="inlineStr">
        <is>
          <t>101</t>
        </is>
      </c>
      <c r="B1739" s="4" t="n">
        <v>1</v>
      </c>
      <c r="C1739" s="4" t="inlineStr">
        <is>
          <t>whitetail</t>
        </is>
      </c>
      <c r="D1739" s="4" t="n">
        <v>2023</v>
      </c>
      <c r="E1739" s="13" t="inlineStr">
        <is>
          <t>General</t>
        </is>
      </c>
      <c r="F1739" s="5" t="n">
        <v>2955</v>
      </c>
      <c r="G1739" s="5" t="n">
        <v>21834</v>
      </c>
      <c r="H1739" s="5" t="n">
        <v>1176</v>
      </c>
      <c r="I1739" s="5" t="n">
        <v>882</v>
      </c>
      <c r="J1739" s="5" t="n">
        <v>294</v>
      </c>
      <c r="K1739" s="10">
        <f>IF(F1739&gt;0,H1739/F1739,"")</f>
        <v/>
      </c>
      <c r="L1739" s="16">
        <f>IF(AND(G1739&gt;0,H1739&gt;0),G1739/H1739,"")</f>
        <v/>
      </c>
    </row>
    <row r="1740">
      <c r="A1740" s="4" t="inlineStr">
        <is>
          <t>101</t>
        </is>
      </c>
      <c r="B1740" s="4" t="n">
        <v>1</v>
      </c>
      <c r="C1740" s="4" t="inlineStr">
        <is>
          <t>whitetail</t>
        </is>
      </c>
      <c r="D1740" s="4" t="n">
        <v>2024</v>
      </c>
      <c r="E1740" s="13" t="inlineStr">
        <is>
          <t>General</t>
        </is>
      </c>
      <c r="F1740" s="5" t="n"/>
      <c r="G1740" s="5" t="n"/>
      <c r="H1740" s="5" t="n">
        <v>1441</v>
      </c>
      <c r="I1740" s="5" t="n">
        <v>984</v>
      </c>
      <c r="J1740" s="5" t="n">
        <v>454</v>
      </c>
      <c r="K1740" s="10">
        <f>IF(F1740&gt;0,H1740/F1740,"")</f>
        <v/>
      </c>
      <c r="L1740" s="16">
        <f>IF(AND(G1740&gt;0,H1740&gt;0),G1740/H1740,"")</f>
        <v/>
      </c>
    </row>
    <row r="1741">
      <c r="A1741" s="4" t="inlineStr">
        <is>
          <t>101</t>
        </is>
      </c>
      <c r="B1741" s="4" t="n">
        <v>1</v>
      </c>
      <c r="C1741" s="4" t="inlineStr">
        <is>
          <t>whitetail</t>
        </is>
      </c>
      <c r="D1741" s="4" t="n">
        <v>2025</v>
      </c>
      <c r="E1741" s="13" t="inlineStr">
        <is>
          <t>General</t>
        </is>
      </c>
      <c r="F1741" s="5" t="n">
        <v>2913</v>
      </c>
      <c r="G1741" s="5" t="n">
        <v>22019</v>
      </c>
      <c r="H1741" s="5" t="n">
        <v>1066</v>
      </c>
      <c r="I1741" s="5" t="n">
        <v>770</v>
      </c>
      <c r="J1741" s="5" t="n">
        <v>293</v>
      </c>
      <c r="K1741" s="10">
        <f>IF(F1741&gt;0,H1741/F1741,"")</f>
        <v/>
      </c>
      <c r="L1741" s="16">
        <f>IF(AND(G1741&gt;0,H1741&gt;0),G1741/H1741,"")</f>
        <v/>
      </c>
    </row>
    <row r="1742">
      <c r="A1742" s="4" t="inlineStr">
        <is>
          <t>102</t>
        </is>
      </c>
      <c r="B1742" s="4" t="n">
        <v>1</v>
      </c>
      <c r="C1742" s="4" t="inlineStr">
        <is>
          <t>whitetail</t>
        </is>
      </c>
      <c r="D1742" s="4" t="n">
        <v>2021</v>
      </c>
      <c r="E1742" s="4" t="inlineStr"/>
      <c r="F1742" s="5" t="n">
        <v>2620</v>
      </c>
      <c r="G1742" s="5" t="n">
        <v>15805</v>
      </c>
      <c r="H1742" s="5" t="n">
        <v>766</v>
      </c>
      <c r="I1742" s="5" t="n">
        <v>654</v>
      </c>
      <c r="J1742" s="5" t="n">
        <v>108</v>
      </c>
      <c r="K1742" s="10">
        <f>IF(F1742&gt;0,H1742/F1742,"")</f>
        <v/>
      </c>
      <c r="L1742" s="16">
        <f>IF(AND(G1742&gt;0,H1742&gt;0),G1742/H1742,"")</f>
        <v/>
      </c>
    </row>
    <row r="1743">
      <c r="A1743" s="4" t="inlineStr">
        <is>
          <t>103</t>
        </is>
      </c>
      <c r="B1743" s="4" t="n">
        <v>1</v>
      </c>
      <c r="C1743" s="4" t="inlineStr">
        <is>
          <t>whitetail</t>
        </is>
      </c>
      <c r="D1743" s="4" t="n">
        <v>2021</v>
      </c>
      <c r="E1743" s="13" t="inlineStr">
        <is>
          <t>General</t>
        </is>
      </c>
      <c r="F1743" s="5" t="n">
        <v>2546</v>
      </c>
      <c r="G1743" s="5" t="n">
        <v>18236</v>
      </c>
      <c r="H1743" s="5" t="n">
        <v>1019</v>
      </c>
      <c r="I1743" s="5" t="n">
        <v>754</v>
      </c>
      <c r="J1743" s="5" t="n">
        <v>252</v>
      </c>
      <c r="K1743" s="10">
        <f>IF(F1743&gt;0,H1743/F1743,"")</f>
        <v/>
      </c>
      <c r="L1743" s="16">
        <f>IF(AND(G1743&gt;0,H1743&gt;0),G1743/H1743,"")</f>
        <v/>
      </c>
    </row>
    <row r="1744">
      <c r="A1744" s="4" t="inlineStr">
        <is>
          <t>103</t>
        </is>
      </c>
      <c r="B1744" s="4" t="n">
        <v>1</v>
      </c>
      <c r="C1744" s="4" t="inlineStr">
        <is>
          <t>whitetail</t>
        </is>
      </c>
      <c r="D1744" s="4" t="n">
        <v>2022</v>
      </c>
      <c r="E1744" s="13" t="inlineStr">
        <is>
          <t>General</t>
        </is>
      </c>
      <c r="F1744" s="5" t="n"/>
      <c r="G1744" s="5" t="n"/>
      <c r="H1744" s="5" t="n">
        <v>1575</v>
      </c>
      <c r="I1744" s="5" t="n">
        <v>1154</v>
      </c>
      <c r="J1744" s="5" t="n">
        <v>408</v>
      </c>
      <c r="K1744" s="10">
        <f>IF(F1744&gt;0,H1744/F1744,"")</f>
        <v/>
      </c>
      <c r="L1744" s="16">
        <f>IF(AND(G1744&gt;0,H1744&gt;0),G1744/H1744,"")</f>
        <v/>
      </c>
    </row>
    <row r="1745">
      <c r="A1745" s="4" t="inlineStr">
        <is>
          <t>103</t>
        </is>
      </c>
      <c r="B1745" s="4" t="n">
        <v>1</v>
      </c>
      <c r="C1745" s="4" t="inlineStr">
        <is>
          <t>whitetail</t>
        </is>
      </c>
      <c r="D1745" s="4" t="n">
        <v>2023</v>
      </c>
      <c r="E1745" s="13" t="inlineStr">
        <is>
          <t>General</t>
        </is>
      </c>
      <c r="F1745" s="5" t="n">
        <v>5391</v>
      </c>
      <c r="G1745" s="5" t="n">
        <v>39826</v>
      </c>
      <c r="H1745" s="5" t="n">
        <v>1771</v>
      </c>
      <c r="I1745" s="5" t="n">
        <v>1413</v>
      </c>
      <c r="J1745" s="5" t="n">
        <v>348</v>
      </c>
      <c r="K1745" s="10">
        <f>IF(F1745&gt;0,H1745/F1745,"")</f>
        <v/>
      </c>
      <c r="L1745" s="16">
        <f>IF(AND(G1745&gt;0,H1745&gt;0),G1745/H1745,"")</f>
        <v/>
      </c>
    </row>
    <row r="1746">
      <c r="A1746" s="4" t="inlineStr">
        <is>
          <t>103</t>
        </is>
      </c>
      <c r="B1746" s="4" t="n">
        <v>1</v>
      </c>
      <c r="C1746" s="4" t="inlineStr">
        <is>
          <t>whitetail</t>
        </is>
      </c>
      <c r="D1746" s="4" t="n">
        <v>2024</v>
      </c>
      <c r="E1746" s="13" t="inlineStr">
        <is>
          <t>General</t>
        </is>
      </c>
      <c r="F1746" s="5" t="n"/>
      <c r="G1746" s="5" t="n"/>
      <c r="H1746" s="5" t="n">
        <v>1760</v>
      </c>
      <c r="I1746" s="5" t="n">
        <v>1387</v>
      </c>
      <c r="J1746" s="5" t="n">
        <v>373</v>
      </c>
      <c r="K1746" s="10">
        <f>IF(F1746&gt;0,H1746/F1746,"")</f>
        <v/>
      </c>
      <c r="L1746" s="16">
        <f>IF(AND(G1746&gt;0,H1746&gt;0),G1746/H1746,"")</f>
        <v/>
      </c>
    </row>
    <row r="1747">
      <c r="A1747" s="4" t="inlineStr">
        <is>
          <t>103</t>
        </is>
      </c>
      <c r="B1747" s="4" t="n">
        <v>1</v>
      </c>
      <c r="C1747" s="4" t="inlineStr">
        <is>
          <t>whitetail</t>
        </is>
      </c>
      <c r="D1747" s="4" t="n">
        <v>2025</v>
      </c>
      <c r="E1747" s="13" t="inlineStr">
        <is>
          <t>General</t>
        </is>
      </c>
      <c r="F1747" s="5" t="n">
        <v>5147</v>
      </c>
      <c r="G1747" s="5" t="n">
        <v>35014</v>
      </c>
      <c r="H1747" s="5" t="n">
        <v>1503</v>
      </c>
      <c r="I1747" s="5" t="n">
        <v>1219</v>
      </c>
      <c r="J1747" s="5" t="n">
        <v>264</v>
      </c>
      <c r="K1747" s="10">
        <f>IF(F1747&gt;0,H1747/F1747,"")</f>
        <v/>
      </c>
      <c r="L1747" s="16">
        <f>IF(AND(G1747&gt;0,H1747&gt;0),G1747/H1747,"")</f>
        <v/>
      </c>
    </row>
    <row r="1748">
      <c r="A1748" s="4" t="inlineStr">
        <is>
          <t>104</t>
        </is>
      </c>
      <c r="B1748" s="4" t="n">
        <v>1</v>
      </c>
      <c r="C1748" s="4" t="inlineStr">
        <is>
          <t>whitetail</t>
        </is>
      </c>
      <c r="D1748" s="4" t="n">
        <v>2021</v>
      </c>
      <c r="E1748" s="13" t="inlineStr">
        <is>
          <t>General</t>
        </is>
      </c>
      <c r="F1748" s="5" t="n">
        <v>1283</v>
      </c>
      <c r="G1748" s="5" t="n">
        <v>10730</v>
      </c>
      <c r="H1748" s="5" t="n">
        <v>464</v>
      </c>
      <c r="I1748" s="5" t="n">
        <v>348</v>
      </c>
      <c r="J1748" s="5" t="n">
        <v>112</v>
      </c>
      <c r="K1748" s="10">
        <f>IF(F1748&gt;0,H1748/F1748,"")</f>
        <v/>
      </c>
      <c r="L1748" s="16">
        <f>IF(AND(G1748&gt;0,H1748&gt;0),G1748/H1748,"")</f>
        <v/>
      </c>
    </row>
    <row r="1749">
      <c r="A1749" s="4" t="inlineStr">
        <is>
          <t>104</t>
        </is>
      </c>
      <c r="B1749" s="4" t="n">
        <v>1</v>
      </c>
      <c r="C1749" s="4" t="inlineStr">
        <is>
          <t>whitetail</t>
        </is>
      </c>
      <c r="D1749" s="4" t="n">
        <v>2022</v>
      </c>
      <c r="E1749" s="13" t="inlineStr">
        <is>
          <t>General</t>
        </is>
      </c>
      <c r="F1749" s="5" t="n"/>
      <c r="G1749" s="5" t="n"/>
      <c r="H1749" s="5" t="n">
        <v>480</v>
      </c>
      <c r="I1749" s="5" t="n">
        <v>290</v>
      </c>
      <c r="J1749" s="5" t="n">
        <v>187</v>
      </c>
      <c r="K1749" s="10">
        <f>IF(F1749&gt;0,H1749/F1749,"")</f>
        <v/>
      </c>
      <c r="L1749" s="16">
        <f>IF(AND(G1749&gt;0,H1749&gt;0),G1749/H1749,"")</f>
        <v/>
      </c>
    </row>
    <row r="1750">
      <c r="A1750" s="4" t="inlineStr">
        <is>
          <t>104</t>
        </is>
      </c>
      <c r="B1750" s="4" t="n">
        <v>1</v>
      </c>
      <c r="C1750" s="4" t="inlineStr">
        <is>
          <t>whitetail</t>
        </is>
      </c>
      <c r="D1750" s="4" t="n">
        <v>2023</v>
      </c>
      <c r="E1750" s="13" t="inlineStr">
        <is>
          <t>General</t>
        </is>
      </c>
      <c r="F1750" s="5" t="n">
        <v>1264</v>
      </c>
      <c r="G1750" s="5" t="n">
        <v>9592</v>
      </c>
      <c r="H1750" s="5" t="n">
        <v>450</v>
      </c>
      <c r="I1750" s="5" t="n">
        <v>288</v>
      </c>
      <c r="J1750" s="5" t="n">
        <v>159</v>
      </c>
      <c r="K1750" s="10">
        <f>IF(F1750&gt;0,H1750/F1750,"")</f>
        <v/>
      </c>
      <c r="L1750" s="16">
        <f>IF(AND(G1750&gt;0,H1750&gt;0),G1750/H1750,"")</f>
        <v/>
      </c>
    </row>
    <row r="1751">
      <c r="A1751" s="4" t="inlineStr">
        <is>
          <t>104</t>
        </is>
      </c>
      <c r="B1751" s="4" t="n">
        <v>1</v>
      </c>
      <c r="C1751" s="4" t="inlineStr">
        <is>
          <t>whitetail</t>
        </is>
      </c>
      <c r="D1751" s="4" t="n">
        <v>2024</v>
      </c>
      <c r="E1751" s="13" t="inlineStr">
        <is>
          <t>General</t>
        </is>
      </c>
      <c r="F1751" s="5" t="n"/>
      <c r="G1751" s="5" t="n"/>
      <c r="H1751" s="5" t="n">
        <v>551</v>
      </c>
      <c r="I1751" s="5" t="n">
        <v>396</v>
      </c>
      <c r="J1751" s="5" t="n">
        <v>155</v>
      </c>
      <c r="K1751" s="10">
        <f>IF(F1751&gt;0,H1751/F1751,"")</f>
        <v/>
      </c>
      <c r="L1751" s="16">
        <f>IF(AND(G1751&gt;0,H1751&gt;0),G1751/H1751,"")</f>
        <v/>
      </c>
    </row>
    <row r="1752">
      <c r="A1752" s="4" t="inlineStr">
        <is>
          <t>104</t>
        </is>
      </c>
      <c r="B1752" s="4" t="n">
        <v>1</v>
      </c>
      <c r="C1752" s="4" t="inlineStr">
        <is>
          <t>whitetail</t>
        </is>
      </c>
      <c r="D1752" s="4" t="n">
        <v>2025</v>
      </c>
      <c r="E1752" s="13" t="inlineStr">
        <is>
          <t>General</t>
        </is>
      </c>
      <c r="F1752" s="5" t="n">
        <v>1575</v>
      </c>
      <c r="G1752" s="5" t="n">
        <v>12880</v>
      </c>
      <c r="H1752" s="5" t="n">
        <v>469</v>
      </c>
      <c r="I1752" s="5" t="n">
        <v>337</v>
      </c>
      <c r="J1752" s="5" t="n">
        <v>121</v>
      </c>
      <c r="K1752" s="10">
        <f>IF(F1752&gt;0,H1752/F1752,"")</f>
        <v/>
      </c>
      <c r="L1752" s="16">
        <f>IF(AND(G1752&gt;0,H1752&gt;0),G1752/H1752,"")</f>
        <v/>
      </c>
    </row>
    <row r="1753">
      <c r="A1753" s="4" t="inlineStr">
        <is>
          <t>109</t>
        </is>
      </c>
      <c r="B1753" s="4" t="n">
        <v>1</v>
      </c>
      <c r="C1753" s="4" t="inlineStr">
        <is>
          <t>whitetail</t>
        </is>
      </c>
      <c r="D1753" s="4" t="n">
        <v>2021</v>
      </c>
      <c r="E1753" s="4" t="inlineStr"/>
      <c r="F1753" s="5" t="n">
        <v>532</v>
      </c>
      <c r="G1753" s="5" t="n">
        <v>3607</v>
      </c>
      <c r="H1753" s="5" t="n">
        <v>238</v>
      </c>
      <c r="I1753" s="5" t="n">
        <v>162</v>
      </c>
      <c r="J1753" s="5" t="n">
        <v>76</v>
      </c>
      <c r="K1753" s="10">
        <f>IF(F1753&gt;0,H1753/F1753,"")</f>
        <v/>
      </c>
      <c r="L1753" s="16">
        <f>IF(AND(G1753&gt;0,H1753&gt;0),G1753/H1753,"")</f>
        <v/>
      </c>
    </row>
    <row r="1754">
      <c r="A1754" s="4" t="inlineStr">
        <is>
          <t>110</t>
        </is>
      </c>
      <c r="B1754" s="4" t="n">
        <v>1</v>
      </c>
      <c r="C1754" s="4" t="inlineStr">
        <is>
          <t>whitetail</t>
        </is>
      </c>
      <c r="D1754" s="4" t="n">
        <v>2021</v>
      </c>
      <c r="E1754" s="13" t="inlineStr">
        <is>
          <t>General</t>
        </is>
      </c>
      <c r="F1754" s="5" t="n">
        <v>1118</v>
      </c>
      <c r="G1754" s="5" t="n">
        <v>6739</v>
      </c>
      <c r="H1754" s="5" t="n">
        <v>315</v>
      </c>
      <c r="I1754" s="5" t="n">
        <v>299</v>
      </c>
      <c r="J1754" s="5" t="n">
        <v>16</v>
      </c>
      <c r="K1754" s="10">
        <f>IF(F1754&gt;0,H1754/F1754,"")</f>
        <v/>
      </c>
      <c r="L1754" s="16">
        <f>IF(AND(G1754&gt;0,H1754&gt;0),G1754/H1754,"")</f>
        <v/>
      </c>
    </row>
    <row r="1755">
      <c r="A1755" s="4" t="inlineStr">
        <is>
          <t>110</t>
        </is>
      </c>
      <c r="B1755" s="4" t="n">
        <v>1</v>
      </c>
      <c r="C1755" s="4" t="inlineStr">
        <is>
          <t>whitetail</t>
        </is>
      </c>
      <c r="D1755" s="4" t="n">
        <v>2022</v>
      </c>
      <c r="E1755" s="13" t="inlineStr">
        <is>
          <t>General</t>
        </is>
      </c>
      <c r="F1755" s="5" t="n"/>
      <c r="G1755" s="5" t="n"/>
      <c r="H1755" s="5" t="n">
        <v>408</v>
      </c>
      <c r="I1755" s="5" t="n">
        <v>333</v>
      </c>
      <c r="J1755" s="5" t="n">
        <v>71</v>
      </c>
      <c r="K1755" s="10">
        <f>IF(F1755&gt;0,H1755/F1755,"")</f>
        <v/>
      </c>
      <c r="L1755" s="16">
        <f>IF(AND(G1755&gt;0,H1755&gt;0),G1755/H1755,"")</f>
        <v/>
      </c>
    </row>
    <row r="1756">
      <c r="A1756" s="4" t="inlineStr">
        <is>
          <t>110</t>
        </is>
      </c>
      <c r="B1756" s="4" t="n">
        <v>1</v>
      </c>
      <c r="C1756" s="4" t="inlineStr">
        <is>
          <t>whitetail</t>
        </is>
      </c>
      <c r="D1756" s="4" t="n">
        <v>2023</v>
      </c>
      <c r="E1756" s="13" t="inlineStr">
        <is>
          <t>General</t>
        </is>
      </c>
      <c r="F1756" s="5" t="n">
        <v>1360</v>
      </c>
      <c r="G1756" s="5" t="n">
        <v>7975</v>
      </c>
      <c r="H1756" s="5" t="n">
        <v>345</v>
      </c>
      <c r="I1756" s="5" t="n">
        <v>305</v>
      </c>
      <c r="J1756" s="5" t="n">
        <v>37</v>
      </c>
      <c r="K1756" s="10">
        <f>IF(F1756&gt;0,H1756/F1756,"")</f>
        <v/>
      </c>
      <c r="L1756" s="16">
        <f>IF(AND(G1756&gt;0,H1756&gt;0),G1756/H1756,"")</f>
        <v/>
      </c>
    </row>
    <row r="1757">
      <c r="A1757" s="4" t="inlineStr">
        <is>
          <t>110</t>
        </is>
      </c>
      <c r="B1757" s="4" t="n">
        <v>1</v>
      </c>
      <c r="C1757" s="4" t="inlineStr">
        <is>
          <t>whitetail</t>
        </is>
      </c>
      <c r="D1757" s="4" t="n">
        <v>2024</v>
      </c>
      <c r="E1757" s="13" t="inlineStr">
        <is>
          <t>General</t>
        </is>
      </c>
      <c r="F1757" s="5" t="n"/>
      <c r="G1757" s="5" t="n"/>
      <c r="H1757" s="5" t="n">
        <v>479</v>
      </c>
      <c r="I1757" s="5" t="n">
        <v>422</v>
      </c>
      <c r="J1757" s="5" t="n">
        <v>58</v>
      </c>
      <c r="K1757" s="10">
        <f>IF(F1757&gt;0,H1757/F1757,"")</f>
        <v/>
      </c>
      <c r="L1757" s="16">
        <f>IF(AND(G1757&gt;0,H1757&gt;0),G1757/H1757,"")</f>
        <v/>
      </c>
    </row>
    <row r="1758">
      <c r="A1758" s="4" t="inlineStr">
        <is>
          <t>110</t>
        </is>
      </c>
      <c r="B1758" s="4" t="n">
        <v>1</v>
      </c>
      <c r="C1758" s="4" t="inlineStr">
        <is>
          <t>whitetail</t>
        </is>
      </c>
      <c r="D1758" s="4" t="n">
        <v>2025</v>
      </c>
      <c r="E1758" s="13" t="inlineStr">
        <is>
          <t>General</t>
        </is>
      </c>
      <c r="F1758" s="5" t="n">
        <v>1344</v>
      </c>
      <c r="G1758" s="5" t="n">
        <v>8403</v>
      </c>
      <c r="H1758" s="5" t="n">
        <v>427</v>
      </c>
      <c r="I1758" s="5" t="n">
        <v>345</v>
      </c>
      <c r="J1758" s="5" t="n">
        <v>82</v>
      </c>
      <c r="K1758" s="10">
        <f>IF(F1758&gt;0,H1758/F1758,"")</f>
        <v/>
      </c>
      <c r="L1758" s="16">
        <f>IF(AND(G1758&gt;0,H1758&gt;0),G1758/H1758,"")</f>
        <v/>
      </c>
    </row>
    <row r="1759">
      <c r="A1759" s="4" t="inlineStr">
        <is>
          <t>120</t>
        </is>
      </c>
      <c r="B1759" s="4" t="n">
        <v>1</v>
      </c>
      <c r="C1759" s="4" t="inlineStr">
        <is>
          <t>whitetail</t>
        </is>
      </c>
      <c r="D1759" s="4" t="n">
        <v>2021</v>
      </c>
      <c r="E1759" s="13" t="inlineStr">
        <is>
          <t>General</t>
        </is>
      </c>
      <c r="F1759" s="5" t="n">
        <v>1956</v>
      </c>
      <c r="G1759" s="5" t="n">
        <v>12140</v>
      </c>
      <c r="H1759" s="5" t="n">
        <v>620</v>
      </c>
      <c r="I1759" s="5" t="n">
        <v>498</v>
      </c>
      <c r="J1759" s="5" t="n">
        <v>122</v>
      </c>
      <c r="K1759" s="10">
        <f>IF(F1759&gt;0,H1759/F1759,"")</f>
        <v/>
      </c>
      <c r="L1759" s="16">
        <f>IF(AND(G1759&gt;0,H1759&gt;0),G1759/H1759,"")</f>
        <v/>
      </c>
    </row>
    <row r="1760">
      <c r="A1760" s="4" t="inlineStr">
        <is>
          <t>120</t>
        </is>
      </c>
      <c r="B1760" s="4" t="n">
        <v>1</v>
      </c>
      <c r="C1760" s="4" t="inlineStr">
        <is>
          <t>whitetail</t>
        </is>
      </c>
      <c r="D1760" s="4" t="n">
        <v>2022</v>
      </c>
      <c r="E1760" s="13" t="inlineStr">
        <is>
          <t>General</t>
        </is>
      </c>
      <c r="F1760" s="5" t="n"/>
      <c r="G1760" s="5" t="n"/>
      <c r="H1760" s="5" t="n">
        <v>662</v>
      </c>
      <c r="I1760" s="5" t="n">
        <v>484</v>
      </c>
      <c r="J1760" s="5" t="n">
        <v>178</v>
      </c>
      <c r="K1760" s="10">
        <f>IF(F1760&gt;0,H1760/F1760,"")</f>
        <v/>
      </c>
      <c r="L1760" s="16">
        <f>IF(AND(G1760&gt;0,H1760&gt;0),G1760/H1760,"")</f>
        <v/>
      </c>
    </row>
    <row r="1761">
      <c r="A1761" s="4" t="inlineStr">
        <is>
          <t>120</t>
        </is>
      </c>
      <c r="B1761" s="4" t="n">
        <v>1</v>
      </c>
      <c r="C1761" s="4" t="inlineStr">
        <is>
          <t>whitetail</t>
        </is>
      </c>
      <c r="D1761" s="4" t="n">
        <v>2023</v>
      </c>
      <c r="E1761" s="13" t="inlineStr">
        <is>
          <t>General</t>
        </is>
      </c>
      <c r="F1761" s="5" t="n">
        <v>2206</v>
      </c>
      <c r="G1761" s="5" t="n">
        <v>14981</v>
      </c>
      <c r="H1761" s="5" t="n">
        <v>657</v>
      </c>
      <c r="I1761" s="5" t="n">
        <v>554</v>
      </c>
      <c r="J1761" s="5" t="n">
        <v>103</v>
      </c>
      <c r="K1761" s="10">
        <f>IF(F1761&gt;0,H1761/F1761,"")</f>
        <v/>
      </c>
      <c r="L1761" s="16">
        <f>IF(AND(G1761&gt;0,H1761&gt;0),G1761/H1761,"")</f>
        <v/>
      </c>
    </row>
    <row r="1762">
      <c r="A1762" s="4" t="inlineStr">
        <is>
          <t>120</t>
        </is>
      </c>
      <c r="B1762" s="4" t="n">
        <v>1</v>
      </c>
      <c r="C1762" s="4" t="inlineStr">
        <is>
          <t>whitetail</t>
        </is>
      </c>
      <c r="D1762" s="4" t="n">
        <v>2024</v>
      </c>
      <c r="E1762" s="13" t="inlineStr">
        <is>
          <t>General</t>
        </is>
      </c>
      <c r="F1762" s="5" t="n"/>
      <c r="G1762" s="5" t="n"/>
      <c r="H1762" s="5" t="n">
        <v>691</v>
      </c>
      <c r="I1762" s="5" t="n">
        <v>582</v>
      </c>
      <c r="J1762" s="5" t="n">
        <v>106</v>
      </c>
      <c r="K1762" s="10">
        <f>IF(F1762&gt;0,H1762/F1762,"")</f>
        <v/>
      </c>
      <c r="L1762" s="16">
        <f>IF(AND(G1762&gt;0,H1762&gt;0),G1762/H1762,"")</f>
        <v/>
      </c>
    </row>
    <row r="1763">
      <c r="A1763" s="4" t="inlineStr">
        <is>
          <t>120</t>
        </is>
      </c>
      <c r="B1763" s="4" t="n">
        <v>1</v>
      </c>
      <c r="C1763" s="4" t="inlineStr">
        <is>
          <t>whitetail</t>
        </is>
      </c>
      <c r="D1763" s="4" t="n">
        <v>2025</v>
      </c>
      <c r="E1763" s="13" t="inlineStr">
        <is>
          <t>General</t>
        </is>
      </c>
      <c r="F1763" s="5" t="n">
        <v>2179</v>
      </c>
      <c r="G1763" s="5" t="n">
        <v>14543</v>
      </c>
      <c r="H1763" s="5" t="n">
        <v>642</v>
      </c>
      <c r="I1763" s="5" t="n">
        <v>509</v>
      </c>
      <c r="J1763" s="5" t="n">
        <v>133</v>
      </c>
      <c r="K1763" s="10">
        <f>IF(F1763&gt;0,H1763/F1763,"")</f>
        <v/>
      </c>
      <c r="L1763" s="16">
        <f>IF(AND(G1763&gt;0,H1763&gt;0),G1763/H1763,"")</f>
        <v/>
      </c>
    </row>
    <row r="1764">
      <c r="A1764" s="4" t="inlineStr">
        <is>
          <t>121</t>
        </is>
      </c>
      <c r="B1764" s="4" t="n">
        <v>1</v>
      </c>
      <c r="C1764" s="4" t="inlineStr">
        <is>
          <t>whitetail</t>
        </is>
      </c>
      <c r="D1764" s="4" t="n">
        <v>2021</v>
      </c>
      <c r="E1764" s="13" t="inlineStr">
        <is>
          <t>General</t>
        </is>
      </c>
      <c r="F1764" s="5" t="n">
        <v>2404</v>
      </c>
      <c r="G1764" s="5" t="n">
        <v>20248</v>
      </c>
      <c r="H1764" s="5" t="n">
        <v>753</v>
      </c>
      <c r="I1764" s="5" t="n">
        <v>680</v>
      </c>
      <c r="J1764" s="5" t="n">
        <v>73</v>
      </c>
      <c r="K1764" s="10">
        <f>IF(F1764&gt;0,H1764/F1764,"")</f>
        <v/>
      </c>
      <c r="L1764" s="16">
        <f>IF(AND(G1764&gt;0,H1764&gt;0),G1764/H1764,"")</f>
        <v/>
      </c>
    </row>
    <row r="1765">
      <c r="A1765" s="4" t="inlineStr">
        <is>
          <t>121</t>
        </is>
      </c>
      <c r="B1765" s="4" t="n">
        <v>1</v>
      </c>
      <c r="C1765" s="4" t="inlineStr">
        <is>
          <t>whitetail</t>
        </is>
      </c>
      <c r="D1765" s="4" t="n">
        <v>2022</v>
      </c>
      <c r="E1765" s="13" t="inlineStr">
        <is>
          <t>General</t>
        </is>
      </c>
      <c r="F1765" s="5" t="n"/>
      <c r="G1765" s="5" t="n"/>
      <c r="H1765" s="5" t="n">
        <v>742</v>
      </c>
      <c r="I1765" s="5" t="n">
        <v>626</v>
      </c>
      <c r="J1765" s="5" t="n">
        <v>114</v>
      </c>
      <c r="K1765" s="10">
        <f>IF(F1765&gt;0,H1765/F1765,"")</f>
        <v/>
      </c>
      <c r="L1765" s="16">
        <f>IF(AND(G1765&gt;0,H1765&gt;0),G1765/H1765,"")</f>
        <v/>
      </c>
    </row>
    <row r="1766">
      <c r="A1766" s="4" t="inlineStr">
        <is>
          <t>121</t>
        </is>
      </c>
      <c r="B1766" s="4" t="n">
        <v>1</v>
      </c>
      <c r="C1766" s="4" t="inlineStr">
        <is>
          <t>whitetail</t>
        </is>
      </c>
      <c r="D1766" s="4" t="n">
        <v>2023</v>
      </c>
      <c r="E1766" s="13" t="inlineStr">
        <is>
          <t>General</t>
        </is>
      </c>
      <c r="F1766" s="5" t="n">
        <v>2551</v>
      </c>
      <c r="G1766" s="5" t="n">
        <v>21482</v>
      </c>
      <c r="H1766" s="5" t="n">
        <v>808</v>
      </c>
      <c r="I1766" s="5" t="n">
        <v>685</v>
      </c>
      <c r="J1766" s="5" t="n">
        <v>113</v>
      </c>
      <c r="K1766" s="10">
        <f>IF(F1766&gt;0,H1766/F1766,"")</f>
        <v/>
      </c>
      <c r="L1766" s="16">
        <f>IF(AND(G1766&gt;0,H1766&gt;0),G1766/H1766,"")</f>
        <v/>
      </c>
    </row>
    <row r="1767">
      <c r="A1767" s="4" t="inlineStr">
        <is>
          <t>121</t>
        </is>
      </c>
      <c r="B1767" s="4" t="n">
        <v>1</v>
      </c>
      <c r="C1767" s="4" t="inlineStr">
        <is>
          <t>whitetail</t>
        </is>
      </c>
      <c r="D1767" s="4" t="n">
        <v>2024</v>
      </c>
      <c r="E1767" s="13" t="inlineStr">
        <is>
          <t>General</t>
        </is>
      </c>
      <c r="F1767" s="5" t="n"/>
      <c r="G1767" s="5" t="n"/>
      <c r="H1767" s="5" t="n">
        <v>937</v>
      </c>
      <c r="I1767" s="5" t="n">
        <v>839</v>
      </c>
      <c r="J1767" s="5" t="n">
        <v>98</v>
      </c>
      <c r="K1767" s="10">
        <f>IF(F1767&gt;0,H1767/F1767,"")</f>
        <v/>
      </c>
      <c r="L1767" s="16">
        <f>IF(AND(G1767&gt;0,H1767&gt;0),G1767/H1767,"")</f>
        <v/>
      </c>
    </row>
    <row r="1768">
      <c r="A1768" s="4" t="inlineStr">
        <is>
          <t>121</t>
        </is>
      </c>
      <c r="B1768" s="4" t="n">
        <v>1</v>
      </c>
      <c r="C1768" s="4" t="inlineStr">
        <is>
          <t>whitetail</t>
        </is>
      </c>
      <c r="D1768" s="4" t="n">
        <v>2025</v>
      </c>
      <c r="E1768" s="13" t="inlineStr">
        <is>
          <t>General</t>
        </is>
      </c>
      <c r="F1768" s="5" t="n">
        <v>2639</v>
      </c>
      <c r="G1768" s="5" t="n">
        <v>22986</v>
      </c>
      <c r="H1768" s="5" t="n">
        <v>979</v>
      </c>
      <c r="I1768" s="5" t="n">
        <v>868</v>
      </c>
      <c r="J1768" s="5" t="n">
        <v>111</v>
      </c>
      <c r="K1768" s="10">
        <f>IF(F1768&gt;0,H1768/F1768,"")</f>
        <v/>
      </c>
      <c r="L1768" s="16">
        <f>IF(AND(G1768&gt;0,H1768&gt;0),G1768/H1768,"")</f>
        <v/>
      </c>
    </row>
    <row r="1769">
      <c r="A1769" s="4" t="inlineStr">
        <is>
          <t>122</t>
        </is>
      </c>
      <c r="B1769" s="4" t="n">
        <v>1</v>
      </c>
      <c r="C1769" s="4" t="inlineStr">
        <is>
          <t>whitetail</t>
        </is>
      </c>
      <c r="D1769" s="4" t="n">
        <v>2021</v>
      </c>
      <c r="E1769" s="13" t="inlineStr">
        <is>
          <t>General</t>
        </is>
      </c>
      <c r="F1769" s="5" t="n">
        <v>1896</v>
      </c>
      <c r="G1769" s="5" t="n">
        <v>15178</v>
      </c>
      <c r="H1769" s="5" t="n">
        <v>478</v>
      </c>
      <c r="I1769" s="5" t="n">
        <v>423</v>
      </c>
      <c r="J1769" s="5" t="n">
        <v>56</v>
      </c>
      <c r="K1769" s="10">
        <f>IF(F1769&gt;0,H1769/F1769,"")</f>
        <v/>
      </c>
      <c r="L1769" s="16">
        <f>IF(AND(G1769&gt;0,H1769&gt;0),G1769/H1769,"")</f>
        <v/>
      </c>
    </row>
    <row r="1770">
      <c r="A1770" s="4" t="inlineStr">
        <is>
          <t>122</t>
        </is>
      </c>
      <c r="B1770" s="4" t="n">
        <v>1</v>
      </c>
      <c r="C1770" s="4" t="inlineStr">
        <is>
          <t>whitetail</t>
        </is>
      </c>
      <c r="D1770" s="4" t="n">
        <v>2022</v>
      </c>
      <c r="E1770" s="13" t="inlineStr">
        <is>
          <t>General</t>
        </is>
      </c>
      <c r="F1770" s="5" t="n"/>
      <c r="G1770" s="5" t="n"/>
      <c r="H1770" s="5" t="n">
        <v>504</v>
      </c>
      <c r="I1770" s="5" t="n">
        <v>377</v>
      </c>
      <c r="J1770" s="5" t="n">
        <v>123</v>
      </c>
      <c r="K1770" s="10">
        <f>IF(F1770&gt;0,H1770/F1770,"")</f>
        <v/>
      </c>
      <c r="L1770" s="16">
        <f>IF(AND(G1770&gt;0,H1770&gt;0),G1770/H1770,"")</f>
        <v/>
      </c>
    </row>
    <row r="1771">
      <c r="A1771" s="4" t="inlineStr">
        <is>
          <t>122</t>
        </is>
      </c>
      <c r="B1771" s="4" t="n">
        <v>1</v>
      </c>
      <c r="C1771" s="4" t="inlineStr">
        <is>
          <t>whitetail</t>
        </is>
      </c>
      <c r="D1771" s="4" t="n">
        <v>2023</v>
      </c>
      <c r="E1771" s="13" t="inlineStr">
        <is>
          <t>General</t>
        </is>
      </c>
      <c r="F1771" s="5" t="n">
        <v>2183</v>
      </c>
      <c r="G1771" s="5" t="n">
        <v>16754</v>
      </c>
      <c r="H1771" s="5" t="n">
        <v>514</v>
      </c>
      <c r="I1771" s="5" t="n">
        <v>423</v>
      </c>
      <c r="J1771" s="5" t="n">
        <v>88</v>
      </c>
      <c r="K1771" s="10">
        <f>IF(F1771&gt;0,H1771/F1771,"")</f>
        <v/>
      </c>
      <c r="L1771" s="16">
        <f>IF(AND(G1771&gt;0,H1771&gt;0),G1771/H1771,"")</f>
        <v/>
      </c>
    </row>
    <row r="1772">
      <c r="A1772" s="4" t="inlineStr">
        <is>
          <t>122</t>
        </is>
      </c>
      <c r="B1772" s="4" t="n">
        <v>1</v>
      </c>
      <c r="C1772" s="4" t="inlineStr">
        <is>
          <t>whitetail</t>
        </is>
      </c>
      <c r="D1772" s="4" t="n">
        <v>2024</v>
      </c>
      <c r="E1772" s="13" t="inlineStr">
        <is>
          <t>General</t>
        </is>
      </c>
      <c r="F1772" s="5" t="n"/>
      <c r="G1772" s="5" t="n"/>
      <c r="H1772" s="5" t="n">
        <v>595</v>
      </c>
      <c r="I1772" s="5" t="n">
        <v>494</v>
      </c>
      <c r="J1772" s="5" t="n">
        <v>99</v>
      </c>
      <c r="K1772" s="10">
        <f>IF(F1772&gt;0,H1772/F1772,"")</f>
        <v/>
      </c>
      <c r="L1772" s="16">
        <f>IF(AND(G1772&gt;0,H1772&gt;0),G1772/H1772,"")</f>
        <v/>
      </c>
    </row>
    <row r="1773">
      <c r="A1773" s="4" t="inlineStr">
        <is>
          <t>122</t>
        </is>
      </c>
      <c r="B1773" s="4" t="n">
        <v>1</v>
      </c>
      <c r="C1773" s="4" t="inlineStr">
        <is>
          <t>whitetail</t>
        </is>
      </c>
      <c r="D1773" s="4" t="n">
        <v>2025</v>
      </c>
      <c r="E1773" s="13" t="inlineStr">
        <is>
          <t>General</t>
        </is>
      </c>
      <c r="F1773" s="5" t="n">
        <v>2412</v>
      </c>
      <c r="G1773" s="5" t="n">
        <v>18636</v>
      </c>
      <c r="H1773" s="5" t="n">
        <v>634</v>
      </c>
      <c r="I1773" s="5" t="n">
        <v>500</v>
      </c>
      <c r="J1773" s="5" t="n">
        <v>127</v>
      </c>
      <c r="K1773" s="10">
        <f>IF(F1773&gt;0,H1773/F1773,"")</f>
        <v/>
      </c>
      <c r="L1773" s="16">
        <f>IF(AND(G1773&gt;0,H1773&gt;0),G1773/H1773,"")</f>
        <v/>
      </c>
    </row>
    <row r="1774">
      <c r="A1774" s="4" t="inlineStr">
        <is>
          <t>123</t>
        </is>
      </c>
      <c r="B1774" s="4" t="n">
        <v>1</v>
      </c>
      <c r="C1774" s="4" t="inlineStr">
        <is>
          <t>whitetail</t>
        </is>
      </c>
      <c r="D1774" s="4" t="n">
        <v>2021</v>
      </c>
      <c r="E1774" s="13" t="inlineStr">
        <is>
          <t>General</t>
        </is>
      </c>
      <c r="F1774" s="5" t="n">
        <v>603</v>
      </c>
      <c r="G1774" s="5" t="n">
        <v>3638</v>
      </c>
      <c r="H1774" s="5" t="n">
        <v>107</v>
      </c>
      <c r="I1774" s="5" t="n">
        <v>92</v>
      </c>
      <c r="J1774" s="5" t="n">
        <v>15</v>
      </c>
      <c r="K1774" s="10">
        <f>IF(F1774&gt;0,H1774/F1774,"")</f>
        <v/>
      </c>
      <c r="L1774" s="16">
        <f>IF(AND(G1774&gt;0,H1774&gt;0),G1774/H1774,"")</f>
        <v/>
      </c>
    </row>
    <row r="1775">
      <c r="A1775" s="4" t="inlineStr">
        <is>
          <t>123</t>
        </is>
      </c>
      <c r="B1775" s="4" t="n">
        <v>1</v>
      </c>
      <c r="C1775" s="4" t="inlineStr">
        <is>
          <t>whitetail</t>
        </is>
      </c>
      <c r="D1775" s="4" t="n">
        <v>2022</v>
      </c>
      <c r="E1775" s="13" t="inlineStr">
        <is>
          <t>General</t>
        </is>
      </c>
      <c r="F1775" s="5" t="n"/>
      <c r="G1775" s="5" t="n"/>
      <c r="H1775" s="5" t="n">
        <v>96</v>
      </c>
      <c r="I1775" s="5" t="n">
        <v>78</v>
      </c>
      <c r="J1775" s="5" t="n">
        <v>18</v>
      </c>
      <c r="K1775" s="10">
        <f>IF(F1775&gt;0,H1775/F1775,"")</f>
        <v/>
      </c>
      <c r="L1775" s="16">
        <f>IF(AND(G1775&gt;0,H1775&gt;0),G1775/H1775,"")</f>
        <v/>
      </c>
    </row>
    <row r="1776">
      <c r="A1776" s="4" t="inlineStr">
        <is>
          <t>123</t>
        </is>
      </c>
      <c r="B1776" s="4" t="n">
        <v>1</v>
      </c>
      <c r="C1776" s="4" t="inlineStr">
        <is>
          <t>whitetail</t>
        </is>
      </c>
      <c r="D1776" s="4" t="n">
        <v>2023</v>
      </c>
      <c r="E1776" s="13" t="inlineStr">
        <is>
          <t>General</t>
        </is>
      </c>
      <c r="F1776" s="5" t="n">
        <v>585</v>
      </c>
      <c r="G1776" s="5" t="n">
        <v>5209</v>
      </c>
      <c r="H1776" s="5" t="n">
        <v>134</v>
      </c>
      <c r="I1776" s="5" t="n">
        <v>113</v>
      </c>
      <c r="J1776" s="5" t="n">
        <v>21</v>
      </c>
      <c r="K1776" s="10">
        <f>IF(F1776&gt;0,H1776/F1776,"")</f>
        <v/>
      </c>
      <c r="L1776" s="16">
        <f>IF(AND(G1776&gt;0,H1776&gt;0),G1776/H1776,"")</f>
        <v/>
      </c>
    </row>
    <row r="1777">
      <c r="A1777" s="4" t="inlineStr">
        <is>
          <t>123</t>
        </is>
      </c>
      <c r="B1777" s="4" t="n">
        <v>1</v>
      </c>
      <c r="C1777" s="4" t="inlineStr">
        <is>
          <t>whitetail</t>
        </is>
      </c>
      <c r="D1777" s="4" t="n">
        <v>2024</v>
      </c>
      <c r="E1777" s="13" t="inlineStr">
        <is>
          <t>General</t>
        </is>
      </c>
      <c r="F1777" s="5" t="n"/>
      <c r="G1777" s="5" t="n"/>
      <c r="H1777" s="5" t="n">
        <v>163</v>
      </c>
      <c r="I1777" s="5" t="n">
        <v>145</v>
      </c>
      <c r="J1777" s="5" t="n">
        <v>18</v>
      </c>
      <c r="K1777" s="10">
        <f>IF(F1777&gt;0,H1777/F1777,"")</f>
        <v/>
      </c>
      <c r="L1777" s="16">
        <f>IF(AND(G1777&gt;0,H1777&gt;0),G1777/H1777,"")</f>
        <v/>
      </c>
    </row>
    <row r="1778">
      <c r="A1778" s="4" t="inlineStr">
        <is>
          <t>123</t>
        </is>
      </c>
      <c r="B1778" s="4" t="n">
        <v>1</v>
      </c>
      <c r="C1778" s="4" t="inlineStr">
        <is>
          <t>whitetail</t>
        </is>
      </c>
      <c r="D1778" s="4" t="n">
        <v>2025</v>
      </c>
      <c r="E1778" s="13" t="inlineStr">
        <is>
          <t>General</t>
        </is>
      </c>
      <c r="F1778" s="5" t="n">
        <v>702</v>
      </c>
      <c r="G1778" s="5" t="n">
        <v>5564</v>
      </c>
      <c r="H1778" s="5" t="n">
        <v>161</v>
      </c>
      <c r="I1778" s="5" t="n">
        <v>146</v>
      </c>
      <c r="J1778" s="5" t="n">
        <v>15</v>
      </c>
      <c r="K1778" s="10">
        <f>IF(F1778&gt;0,H1778/F1778,"")</f>
        <v/>
      </c>
      <c r="L1778" s="16">
        <f>IF(AND(G1778&gt;0,H1778&gt;0),G1778/H1778,"")</f>
        <v/>
      </c>
    </row>
    <row r="1779">
      <c r="A1779" s="4" t="inlineStr">
        <is>
          <t>124</t>
        </is>
      </c>
      <c r="B1779" s="4" t="n">
        <v>1</v>
      </c>
      <c r="C1779" s="4" t="inlineStr">
        <is>
          <t>whitetail</t>
        </is>
      </c>
      <c r="D1779" s="4" t="n">
        <v>2021</v>
      </c>
      <c r="E1779" s="13" t="inlineStr">
        <is>
          <t>General</t>
        </is>
      </c>
      <c r="F1779" s="5" t="n">
        <v>425</v>
      </c>
      <c r="G1779" s="5" t="n">
        <v>3216</v>
      </c>
      <c r="H1779" s="5" t="n">
        <v>99</v>
      </c>
      <c r="I1779" s="5" t="n">
        <v>87</v>
      </c>
      <c r="J1779" s="5" t="n">
        <v>12</v>
      </c>
      <c r="K1779" s="10">
        <f>IF(F1779&gt;0,H1779/F1779,"")</f>
        <v/>
      </c>
      <c r="L1779" s="16">
        <f>IF(AND(G1779&gt;0,H1779&gt;0),G1779/H1779,"")</f>
        <v/>
      </c>
    </row>
    <row r="1780">
      <c r="A1780" s="4" t="inlineStr">
        <is>
          <t>124</t>
        </is>
      </c>
      <c r="B1780" s="4" t="n">
        <v>1</v>
      </c>
      <c r="C1780" s="4" t="inlineStr">
        <is>
          <t>whitetail</t>
        </is>
      </c>
      <c r="D1780" s="4" t="n">
        <v>2022</v>
      </c>
      <c r="E1780" s="13" t="inlineStr">
        <is>
          <t>General</t>
        </is>
      </c>
      <c r="F1780" s="5" t="n"/>
      <c r="G1780" s="5" t="n"/>
      <c r="H1780" s="5" t="n">
        <v>87</v>
      </c>
      <c r="I1780" s="5" t="n">
        <v>60</v>
      </c>
      <c r="J1780" s="5" t="n">
        <v>27</v>
      </c>
      <c r="K1780" s="10">
        <f>IF(F1780&gt;0,H1780/F1780,"")</f>
        <v/>
      </c>
      <c r="L1780" s="16">
        <f>IF(AND(G1780&gt;0,H1780&gt;0),G1780/H1780,"")</f>
        <v/>
      </c>
    </row>
    <row r="1781">
      <c r="A1781" s="4" t="inlineStr">
        <is>
          <t>124</t>
        </is>
      </c>
      <c r="B1781" s="4" t="n">
        <v>1</v>
      </c>
      <c r="C1781" s="4" t="inlineStr">
        <is>
          <t>whitetail</t>
        </is>
      </c>
      <c r="D1781" s="4" t="n">
        <v>2023</v>
      </c>
      <c r="E1781" s="13" t="inlineStr">
        <is>
          <t>General</t>
        </is>
      </c>
      <c r="F1781" s="5" t="n">
        <v>446</v>
      </c>
      <c r="G1781" s="5" t="n">
        <v>3681</v>
      </c>
      <c r="H1781" s="5" t="n">
        <v>114</v>
      </c>
      <c r="I1781" s="5" t="n">
        <v>91</v>
      </c>
      <c r="J1781" s="5" t="n">
        <v>23</v>
      </c>
      <c r="K1781" s="10">
        <f>IF(F1781&gt;0,H1781/F1781,"")</f>
        <v/>
      </c>
      <c r="L1781" s="16">
        <f>IF(AND(G1781&gt;0,H1781&gt;0),G1781/H1781,"")</f>
        <v/>
      </c>
    </row>
    <row r="1782">
      <c r="A1782" s="4" t="inlineStr">
        <is>
          <t>124</t>
        </is>
      </c>
      <c r="B1782" s="4" t="n">
        <v>1</v>
      </c>
      <c r="C1782" s="4" t="inlineStr">
        <is>
          <t>whitetail</t>
        </is>
      </c>
      <c r="D1782" s="4" t="n">
        <v>2024</v>
      </c>
      <c r="E1782" s="13" t="inlineStr">
        <is>
          <t>General</t>
        </is>
      </c>
      <c r="F1782" s="5" t="n"/>
      <c r="G1782" s="5" t="n"/>
      <c r="H1782" s="5" t="n">
        <v>123</v>
      </c>
      <c r="I1782" s="5" t="n">
        <v>99</v>
      </c>
      <c r="J1782" s="5" t="n">
        <v>24</v>
      </c>
      <c r="K1782" s="10">
        <f>IF(F1782&gt;0,H1782/F1782,"")</f>
        <v/>
      </c>
      <c r="L1782" s="16">
        <f>IF(AND(G1782&gt;0,H1782&gt;0),G1782/H1782,"")</f>
        <v/>
      </c>
    </row>
    <row r="1783">
      <c r="A1783" s="4" t="inlineStr">
        <is>
          <t>124</t>
        </is>
      </c>
      <c r="B1783" s="4" t="n">
        <v>1</v>
      </c>
      <c r="C1783" s="4" t="inlineStr">
        <is>
          <t>whitetail</t>
        </is>
      </c>
      <c r="D1783" s="4" t="n">
        <v>2025</v>
      </c>
      <c r="E1783" s="13" t="inlineStr">
        <is>
          <t>General</t>
        </is>
      </c>
      <c r="F1783" s="5" t="n">
        <v>441</v>
      </c>
      <c r="G1783" s="5" t="n">
        <v>3426</v>
      </c>
      <c r="H1783" s="5" t="n">
        <v>137</v>
      </c>
      <c r="I1783" s="5" t="n">
        <v>107</v>
      </c>
      <c r="J1783" s="5" t="n">
        <v>26</v>
      </c>
      <c r="K1783" s="10">
        <f>IF(F1783&gt;0,H1783/F1783,"")</f>
        <v/>
      </c>
      <c r="L1783" s="16">
        <f>IF(AND(G1783&gt;0,H1783&gt;0),G1783/H1783,"")</f>
        <v/>
      </c>
    </row>
    <row r="1784">
      <c r="A1784" s="4" t="inlineStr">
        <is>
          <t>130</t>
        </is>
      </c>
      <c r="B1784" s="4" t="n">
        <v>1</v>
      </c>
      <c r="C1784" s="4" t="inlineStr">
        <is>
          <t>whitetail</t>
        </is>
      </c>
      <c r="D1784" s="4" t="n">
        <v>2021</v>
      </c>
      <c r="E1784" s="13" t="inlineStr">
        <is>
          <t>General</t>
        </is>
      </c>
      <c r="F1784" s="5" t="n">
        <v>1820</v>
      </c>
      <c r="G1784" s="5" t="n">
        <v>11720</v>
      </c>
      <c r="H1784" s="5" t="n">
        <v>550</v>
      </c>
      <c r="I1784" s="5" t="n">
        <v>503</v>
      </c>
      <c r="J1784" s="5" t="n">
        <v>47</v>
      </c>
      <c r="K1784" s="10">
        <f>IF(F1784&gt;0,H1784/F1784,"")</f>
        <v/>
      </c>
      <c r="L1784" s="16">
        <f>IF(AND(G1784&gt;0,H1784&gt;0),G1784/H1784,"")</f>
        <v/>
      </c>
    </row>
    <row r="1785">
      <c r="A1785" s="4" t="inlineStr">
        <is>
          <t>130</t>
        </is>
      </c>
      <c r="B1785" s="4" t="n">
        <v>1</v>
      </c>
      <c r="C1785" s="4" t="inlineStr">
        <is>
          <t>whitetail</t>
        </is>
      </c>
      <c r="D1785" s="4" t="n">
        <v>2022</v>
      </c>
      <c r="E1785" s="13" t="inlineStr">
        <is>
          <t>General</t>
        </is>
      </c>
      <c r="F1785" s="5" t="n"/>
      <c r="G1785" s="5" t="n"/>
      <c r="H1785" s="5" t="n">
        <v>522</v>
      </c>
      <c r="I1785" s="5" t="n">
        <v>397</v>
      </c>
      <c r="J1785" s="5" t="n">
        <v>123</v>
      </c>
      <c r="K1785" s="10">
        <f>IF(F1785&gt;0,H1785/F1785,"")</f>
        <v/>
      </c>
      <c r="L1785" s="16">
        <f>IF(AND(G1785&gt;0,H1785&gt;0),G1785/H1785,"")</f>
        <v/>
      </c>
    </row>
    <row r="1786">
      <c r="A1786" s="4" t="inlineStr">
        <is>
          <t>130</t>
        </is>
      </c>
      <c r="B1786" s="4" t="n">
        <v>1</v>
      </c>
      <c r="C1786" s="4" t="inlineStr">
        <is>
          <t>whitetail</t>
        </is>
      </c>
      <c r="D1786" s="4" t="n">
        <v>2023</v>
      </c>
      <c r="E1786" s="13" t="inlineStr">
        <is>
          <t>General</t>
        </is>
      </c>
      <c r="F1786" s="5" t="n">
        <v>1785</v>
      </c>
      <c r="G1786" s="5" t="n">
        <v>11029</v>
      </c>
      <c r="H1786" s="5" t="n">
        <v>534</v>
      </c>
      <c r="I1786" s="5" t="n">
        <v>461</v>
      </c>
      <c r="J1786" s="5" t="n">
        <v>69</v>
      </c>
      <c r="K1786" s="10">
        <f>IF(F1786&gt;0,H1786/F1786,"")</f>
        <v/>
      </c>
      <c r="L1786" s="16">
        <f>IF(AND(G1786&gt;0,H1786&gt;0),G1786/H1786,"")</f>
        <v/>
      </c>
    </row>
    <row r="1787">
      <c r="A1787" s="4" t="inlineStr">
        <is>
          <t>130</t>
        </is>
      </c>
      <c r="B1787" s="4" t="n">
        <v>1</v>
      </c>
      <c r="C1787" s="4" t="inlineStr">
        <is>
          <t>whitetail</t>
        </is>
      </c>
      <c r="D1787" s="4" t="n">
        <v>2024</v>
      </c>
      <c r="E1787" s="13" t="inlineStr">
        <is>
          <t>General</t>
        </is>
      </c>
      <c r="F1787" s="5" t="n"/>
      <c r="G1787" s="5" t="n"/>
      <c r="H1787" s="5" t="n">
        <v>568</v>
      </c>
      <c r="I1787" s="5" t="n">
        <v>551</v>
      </c>
      <c r="J1787" s="5" t="n">
        <v>17</v>
      </c>
      <c r="K1787" s="10">
        <f>IF(F1787&gt;0,H1787/F1787,"")</f>
        <v/>
      </c>
      <c r="L1787" s="16">
        <f>IF(AND(G1787&gt;0,H1787&gt;0),G1787/H1787,"")</f>
        <v/>
      </c>
    </row>
    <row r="1788">
      <c r="A1788" s="4" t="inlineStr">
        <is>
          <t>130</t>
        </is>
      </c>
      <c r="B1788" s="4" t="n">
        <v>1</v>
      </c>
      <c r="C1788" s="4" t="inlineStr">
        <is>
          <t>whitetail</t>
        </is>
      </c>
      <c r="D1788" s="4" t="n">
        <v>2025</v>
      </c>
      <c r="E1788" s="13" t="inlineStr">
        <is>
          <t>General</t>
        </is>
      </c>
      <c r="F1788" s="5" t="n">
        <v>2069</v>
      </c>
      <c r="G1788" s="5" t="n">
        <v>12295</v>
      </c>
      <c r="H1788" s="5" t="n">
        <v>605</v>
      </c>
      <c r="I1788" s="5" t="n">
        <v>546</v>
      </c>
      <c r="J1788" s="5" t="n">
        <v>59</v>
      </c>
      <c r="K1788" s="10">
        <f>IF(F1788&gt;0,H1788/F1788,"")</f>
        <v/>
      </c>
      <c r="L1788" s="16">
        <f>IF(AND(G1788&gt;0,H1788&gt;0),G1788/H1788,"")</f>
        <v/>
      </c>
    </row>
    <row r="1789">
      <c r="A1789" s="4" t="inlineStr">
        <is>
          <t>140</t>
        </is>
      </c>
      <c r="B1789" s="4" t="n">
        <v>1</v>
      </c>
      <c r="C1789" s="4" t="inlineStr">
        <is>
          <t>whitetail</t>
        </is>
      </c>
      <c r="D1789" s="4" t="n">
        <v>2021</v>
      </c>
      <c r="E1789" s="13" t="inlineStr">
        <is>
          <t>General</t>
        </is>
      </c>
      <c r="F1789" s="5" t="n">
        <v>638</v>
      </c>
      <c r="G1789" s="5" t="n">
        <v>4400</v>
      </c>
      <c r="H1789" s="5" t="n">
        <v>152</v>
      </c>
      <c r="I1789" s="5" t="n">
        <v>136</v>
      </c>
      <c r="J1789" s="5" t="n">
        <v>16</v>
      </c>
      <c r="K1789" s="10">
        <f>IF(F1789&gt;0,H1789/F1789,"")</f>
        <v/>
      </c>
      <c r="L1789" s="16">
        <f>IF(AND(G1789&gt;0,H1789&gt;0),G1789/H1789,"")</f>
        <v/>
      </c>
    </row>
    <row r="1790">
      <c r="A1790" s="4" t="inlineStr">
        <is>
          <t>140</t>
        </is>
      </c>
      <c r="B1790" s="4" t="n">
        <v>1</v>
      </c>
      <c r="C1790" s="4" t="inlineStr">
        <is>
          <t>whitetail</t>
        </is>
      </c>
      <c r="D1790" s="4" t="n">
        <v>2022</v>
      </c>
      <c r="E1790" s="13" t="inlineStr">
        <is>
          <t>General</t>
        </is>
      </c>
      <c r="F1790" s="5" t="n"/>
      <c r="G1790" s="5" t="n"/>
      <c r="H1790" s="5" t="n">
        <v>105</v>
      </c>
      <c r="I1790" s="5" t="n">
        <v>102</v>
      </c>
      <c r="J1790" s="5" t="n">
        <v>3</v>
      </c>
      <c r="K1790" s="10">
        <f>IF(F1790&gt;0,H1790/F1790,"")</f>
        <v/>
      </c>
      <c r="L1790" s="16">
        <f>IF(AND(G1790&gt;0,H1790&gt;0),G1790/H1790,"")</f>
        <v/>
      </c>
    </row>
    <row r="1791">
      <c r="A1791" s="4" t="inlineStr">
        <is>
          <t>140</t>
        </is>
      </c>
      <c r="B1791" s="4" t="n">
        <v>1</v>
      </c>
      <c r="C1791" s="4" t="inlineStr">
        <is>
          <t>whitetail</t>
        </is>
      </c>
      <c r="D1791" s="4" t="n">
        <v>2023</v>
      </c>
      <c r="E1791" s="13" t="inlineStr">
        <is>
          <t>General</t>
        </is>
      </c>
      <c r="F1791" s="5" t="n">
        <v>628</v>
      </c>
      <c r="G1791" s="5" t="n">
        <v>4228</v>
      </c>
      <c r="H1791" s="5" t="n">
        <v>134</v>
      </c>
      <c r="I1791" s="5" t="n">
        <v>131</v>
      </c>
      <c r="J1791" s="5" t="n">
        <v>3</v>
      </c>
      <c r="K1791" s="10">
        <f>IF(F1791&gt;0,H1791/F1791,"")</f>
        <v/>
      </c>
      <c r="L1791" s="16">
        <f>IF(AND(G1791&gt;0,H1791&gt;0),G1791/H1791,"")</f>
        <v/>
      </c>
    </row>
    <row r="1792">
      <c r="A1792" s="4" t="inlineStr">
        <is>
          <t>140</t>
        </is>
      </c>
      <c r="B1792" s="4" t="n">
        <v>1</v>
      </c>
      <c r="C1792" s="4" t="inlineStr">
        <is>
          <t>whitetail</t>
        </is>
      </c>
      <c r="D1792" s="4" t="n">
        <v>2024</v>
      </c>
      <c r="E1792" s="13" t="inlineStr">
        <is>
          <t>General</t>
        </is>
      </c>
      <c r="F1792" s="5" t="n"/>
      <c r="G1792" s="5" t="n"/>
      <c r="H1792" s="5" t="n">
        <v>180</v>
      </c>
      <c r="I1792" s="5" t="n">
        <v>159</v>
      </c>
      <c r="J1792" s="5" t="n">
        <v>22</v>
      </c>
      <c r="K1792" s="10">
        <f>IF(F1792&gt;0,H1792/F1792,"")</f>
        <v/>
      </c>
      <c r="L1792" s="16">
        <f>IF(AND(G1792&gt;0,H1792&gt;0),G1792/H1792,"")</f>
        <v/>
      </c>
    </row>
    <row r="1793">
      <c r="A1793" s="4" t="inlineStr">
        <is>
          <t>140</t>
        </is>
      </c>
      <c r="B1793" s="4" t="n">
        <v>1</v>
      </c>
      <c r="C1793" s="4" t="inlineStr">
        <is>
          <t>whitetail</t>
        </is>
      </c>
      <c r="D1793" s="4" t="n">
        <v>2025</v>
      </c>
      <c r="E1793" s="13" t="inlineStr">
        <is>
          <t>General</t>
        </is>
      </c>
      <c r="F1793" s="5" t="n">
        <v>750</v>
      </c>
      <c r="G1793" s="5" t="n">
        <v>4851</v>
      </c>
      <c r="H1793" s="5" t="n">
        <v>124</v>
      </c>
      <c r="I1793" s="5" t="n">
        <v>120</v>
      </c>
      <c r="J1793" s="5" t="n">
        <v>4</v>
      </c>
      <c r="K1793" s="10">
        <f>IF(F1793&gt;0,H1793/F1793,"")</f>
        <v/>
      </c>
      <c r="L1793" s="16">
        <f>IF(AND(G1793&gt;0,H1793&gt;0),G1793/H1793,"")</f>
        <v/>
      </c>
    </row>
    <row r="1794">
      <c r="A1794" s="4" t="inlineStr">
        <is>
          <t>141</t>
        </is>
      </c>
      <c r="B1794" s="4" t="n">
        <v>1</v>
      </c>
      <c r="C1794" s="4" t="inlineStr">
        <is>
          <t>whitetail</t>
        </is>
      </c>
      <c r="D1794" s="4" t="n">
        <v>2021</v>
      </c>
      <c r="E1794" s="13" t="inlineStr">
        <is>
          <t>General</t>
        </is>
      </c>
      <c r="F1794" s="5" t="n">
        <v>81</v>
      </c>
      <c r="G1794" s="5" t="n">
        <v>694</v>
      </c>
      <c r="H1794" s="5" t="n">
        <v>8</v>
      </c>
      <c r="I1794" s="5" t="n">
        <v>8</v>
      </c>
      <c r="J1794" s="5" t="n">
        <v>0</v>
      </c>
      <c r="K1794" s="10">
        <f>IF(F1794&gt;0,H1794/F1794,"")</f>
        <v/>
      </c>
      <c r="L1794" s="16">
        <f>IF(AND(G1794&gt;0,H1794&gt;0),G1794/H1794,"")</f>
        <v/>
      </c>
    </row>
    <row r="1795">
      <c r="A1795" s="4" t="inlineStr">
        <is>
          <t>141</t>
        </is>
      </c>
      <c r="B1795" s="4" t="n">
        <v>1</v>
      </c>
      <c r="C1795" s="4" t="inlineStr">
        <is>
          <t>whitetail</t>
        </is>
      </c>
      <c r="D1795" s="4" t="n">
        <v>2022</v>
      </c>
      <c r="E1795" s="13" t="inlineStr">
        <is>
          <t>General</t>
        </is>
      </c>
      <c r="F1795" s="5" t="n"/>
      <c r="G1795" s="5" t="n"/>
      <c r="H1795" s="5" t="n">
        <v>3</v>
      </c>
      <c r="I1795" s="5" t="n">
        <v>0</v>
      </c>
      <c r="J1795" s="5" t="n">
        <v>3</v>
      </c>
      <c r="K1795" s="10">
        <f>IF(F1795&gt;0,H1795/F1795,"")</f>
        <v/>
      </c>
      <c r="L1795" s="16">
        <f>IF(AND(G1795&gt;0,H1795&gt;0),G1795/H1795,"")</f>
        <v/>
      </c>
    </row>
    <row r="1796">
      <c r="A1796" s="4" t="inlineStr">
        <is>
          <t>141</t>
        </is>
      </c>
      <c r="B1796" s="4" t="n">
        <v>1</v>
      </c>
      <c r="C1796" s="4" t="inlineStr">
        <is>
          <t>whitetail</t>
        </is>
      </c>
      <c r="D1796" s="4" t="n">
        <v>2023</v>
      </c>
      <c r="E1796" s="13" t="inlineStr">
        <is>
          <t>General</t>
        </is>
      </c>
      <c r="F1796" s="5" t="n">
        <v>74</v>
      </c>
      <c r="G1796" s="5" t="n">
        <v>390</v>
      </c>
      <c r="H1796" s="5" t="n">
        <v>7</v>
      </c>
      <c r="I1796" s="5" t="n">
        <v>7</v>
      </c>
      <c r="J1796" s="5" t="n">
        <v>0</v>
      </c>
      <c r="K1796" s="10">
        <f>IF(F1796&gt;0,H1796/F1796,"")</f>
        <v/>
      </c>
      <c r="L1796" s="16">
        <f>IF(AND(G1796&gt;0,H1796&gt;0),G1796/H1796,"")</f>
        <v/>
      </c>
    </row>
    <row r="1797">
      <c r="A1797" s="4" t="inlineStr">
        <is>
          <t>141</t>
        </is>
      </c>
      <c r="B1797" s="4" t="n">
        <v>1</v>
      </c>
      <c r="C1797" s="4" t="inlineStr">
        <is>
          <t>whitetail</t>
        </is>
      </c>
      <c r="D1797" s="4" t="n">
        <v>2024</v>
      </c>
      <c r="E1797" s="13" t="inlineStr">
        <is>
          <t>General</t>
        </is>
      </c>
      <c r="F1797" s="5" t="n"/>
      <c r="G1797" s="5" t="n"/>
      <c r="H1797" s="5" t="n">
        <v>19</v>
      </c>
      <c r="I1797" s="5" t="n">
        <v>16</v>
      </c>
      <c r="J1797" s="5" t="n">
        <v>0</v>
      </c>
      <c r="K1797" s="10">
        <f>IF(F1797&gt;0,H1797/F1797,"")</f>
        <v/>
      </c>
      <c r="L1797" s="16">
        <f>IF(AND(G1797&gt;0,H1797&gt;0),G1797/H1797,"")</f>
        <v/>
      </c>
    </row>
    <row r="1798">
      <c r="A1798" s="4" t="inlineStr">
        <is>
          <t>141</t>
        </is>
      </c>
      <c r="B1798" s="4" t="n">
        <v>1</v>
      </c>
      <c r="C1798" s="4" t="inlineStr">
        <is>
          <t>whitetail</t>
        </is>
      </c>
      <c r="D1798" s="4" t="n">
        <v>2025</v>
      </c>
      <c r="E1798" s="13" t="inlineStr">
        <is>
          <t>General</t>
        </is>
      </c>
      <c r="F1798" s="5" t="n">
        <v>139</v>
      </c>
      <c r="G1798" s="5" t="n">
        <v>1103</v>
      </c>
      <c r="H1798" s="5" t="n">
        <v>18</v>
      </c>
      <c r="I1798" s="5" t="n">
        <v>18</v>
      </c>
      <c r="J1798" s="5" t="n">
        <v>0</v>
      </c>
      <c r="K1798" s="10">
        <f>IF(F1798&gt;0,H1798/F1798,"")</f>
        <v/>
      </c>
      <c r="L1798" s="16">
        <f>IF(AND(G1798&gt;0,H1798&gt;0),G1798/H1798,"")</f>
        <v/>
      </c>
    </row>
    <row r="1799">
      <c r="A1799" s="4" t="inlineStr">
        <is>
          <t>150</t>
        </is>
      </c>
      <c r="B1799" s="4" t="n">
        <v>1</v>
      </c>
      <c r="C1799" s="4" t="inlineStr">
        <is>
          <t>whitetail</t>
        </is>
      </c>
      <c r="D1799" s="4" t="n">
        <v>2021</v>
      </c>
      <c r="E1799" s="13" t="inlineStr">
        <is>
          <t>General</t>
        </is>
      </c>
      <c r="F1799" s="5" t="n">
        <v>138</v>
      </c>
      <c r="G1799" s="5" t="n">
        <v>1096</v>
      </c>
      <c r="H1799" s="5" t="n">
        <v>20</v>
      </c>
      <c r="I1799" s="5" t="n">
        <v>16</v>
      </c>
      <c r="J1799" s="5" t="n">
        <v>4</v>
      </c>
      <c r="K1799" s="10">
        <f>IF(F1799&gt;0,H1799/F1799,"")</f>
        <v/>
      </c>
      <c r="L1799" s="16">
        <f>IF(AND(G1799&gt;0,H1799&gt;0),G1799/H1799,"")</f>
        <v/>
      </c>
    </row>
    <row r="1800">
      <c r="A1800" s="4" t="inlineStr">
        <is>
          <t>150</t>
        </is>
      </c>
      <c r="B1800" s="4" t="n">
        <v>1</v>
      </c>
      <c r="C1800" s="4" t="inlineStr">
        <is>
          <t>whitetail</t>
        </is>
      </c>
      <c r="D1800" s="4" t="n">
        <v>2022</v>
      </c>
      <c r="E1800" s="13" t="inlineStr">
        <is>
          <t>General</t>
        </is>
      </c>
      <c r="F1800" s="5" t="n"/>
      <c r="G1800" s="5" t="n"/>
      <c r="H1800" s="5" t="n">
        <v>30</v>
      </c>
      <c r="I1800" s="5" t="n">
        <v>30</v>
      </c>
      <c r="J1800" s="5" t="n">
        <v>0</v>
      </c>
      <c r="K1800" s="10">
        <f>IF(F1800&gt;0,H1800/F1800,"")</f>
        <v/>
      </c>
      <c r="L1800" s="16">
        <f>IF(AND(G1800&gt;0,H1800&gt;0),G1800/H1800,"")</f>
        <v/>
      </c>
    </row>
    <row r="1801">
      <c r="A1801" s="4" t="inlineStr">
        <is>
          <t>150</t>
        </is>
      </c>
      <c r="B1801" s="4" t="n">
        <v>1</v>
      </c>
      <c r="C1801" s="4" t="inlineStr">
        <is>
          <t>whitetail</t>
        </is>
      </c>
      <c r="D1801" s="4" t="n">
        <v>2023</v>
      </c>
      <c r="E1801" s="13" t="inlineStr">
        <is>
          <t>General</t>
        </is>
      </c>
      <c r="F1801" s="5" t="n">
        <v>205</v>
      </c>
      <c r="G1801" s="5" t="n">
        <v>1388</v>
      </c>
      <c r="H1801" s="5" t="n">
        <v>23</v>
      </c>
      <c r="I1801" s="5" t="n">
        <v>23</v>
      </c>
      <c r="J1801" s="5" t="n">
        <v>0</v>
      </c>
      <c r="K1801" s="10">
        <f>IF(F1801&gt;0,H1801/F1801,"")</f>
        <v/>
      </c>
      <c r="L1801" s="16">
        <f>IF(AND(G1801&gt;0,H1801&gt;0),G1801/H1801,"")</f>
        <v/>
      </c>
    </row>
    <row r="1802">
      <c r="A1802" s="4" t="inlineStr">
        <is>
          <t>150</t>
        </is>
      </c>
      <c r="B1802" s="4" t="n">
        <v>1</v>
      </c>
      <c r="C1802" s="4" t="inlineStr">
        <is>
          <t>whitetail</t>
        </is>
      </c>
      <c r="D1802" s="4" t="n">
        <v>2024</v>
      </c>
      <c r="E1802" s="13" t="inlineStr">
        <is>
          <t>General</t>
        </is>
      </c>
      <c r="F1802" s="5" t="n"/>
      <c r="G1802" s="5" t="n"/>
      <c r="H1802" s="5" t="n">
        <v>9</v>
      </c>
      <c r="I1802" s="5" t="n">
        <v>9</v>
      </c>
      <c r="J1802" s="5" t="n">
        <v>0</v>
      </c>
      <c r="K1802" s="10">
        <f>IF(F1802&gt;0,H1802/F1802,"")</f>
        <v/>
      </c>
      <c r="L1802" s="16">
        <f>IF(AND(G1802&gt;0,H1802&gt;0),G1802/H1802,"")</f>
        <v/>
      </c>
    </row>
    <row r="1803">
      <c r="A1803" s="4" t="inlineStr">
        <is>
          <t>150</t>
        </is>
      </c>
      <c r="B1803" s="4" t="n">
        <v>1</v>
      </c>
      <c r="C1803" s="4" t="inlineStr">
        <is>
          <t>whitetail</t>
        </is>
      </c>
      <c r="D1803" s="4" t="n">
        <v>2025</v>
      </c>
      <c r="E1803" s="13" t="inlineStr">
        <is>
          <t>General</t>
        </is>
      </c>
      <c r="F1803" s="5" t="n">
        <v>275</v>
      </c>
      <c r="G1803" s="5" t="n">
        <v>1747</v>
      </c>
      <c r="H1803" s="5" t="n">
        <v>34</v>
      </c>
      <c r="I1803" s="5" t="n">
        <v>31</v>
      </c>
      <c r="J1803" s="5" t="n">
        <v>0</v>
      </c>
      <c r="K1803" s="10">
        <f>IF(F1803&gt;0,H1803/F1803,"")</f>
        <v/>
      </c>
      <c r="L1803" s="16">
        <f>IF(AND(G1803&gt;0,H1803&gt;0),G1803/H1803,"")</f>
        <v/>
      </c>
    </row>
    <row r="1804">
      <c r="A1804" s="4" t="inlineStr">
        <is>
          <t>170</t>
        </is>
      </c>
      <c r="B1804" s="4" t="n">
        <v>1</v>
      </c>
      <c r="C1804" s="4" t="inlineStr">
        <is>
          <t>whitetail</t>
        </is>
      </c>
      <c r="D1804" s="4" t="n">
        <v>2021</v>
      </c>
      <c r="E1804" s="13" t="inlineStr">
        <is>
          <t>General</t>
        </is>
      </c>
      <c r="F1804" s="5" t="n">
        <v>2244</v>
      </c>
      <c r="G1804" s="5" t="n">
        <v>14012</v>
      </c>
      <c r="H1804" s="5" t="n">
        <v>1428</v>
      </c>
      <c r="I1804" s="5" t="n">
        <v>797</v>
      </c>
      <c r="J1804" s="5" t="n">
        <v>627</v>
      </c>
      <c r="K1804" s="10">
        <f>IF(F1804&gt;0,H1804/F1804,"")</f>
        <v/>
      </c>
      <c r="L1804" s="16">
        <f>IF(AND(G1804&gt;0,H1804&gt;0),G1804/H1804,"")</f>
        <v/>
      </c>
    </row>
    <row r="1805">
      <c r="A1805" s="4" t="inlineStr">
        <is>
          <t>170</t>
        </is>
      </c>
      <c r="B1805" s="4" t="n">
        <v>1</v>
      </c>
      <c r="C1805" s="4" t="inlineStr">
        <is>
          <t>whitetail</t>
        </is>
      </c>
      <c r="D1805" s="4" t="n">
        <v>2022</v>
      </c>
      <c r="E1805" s="13" t="inlineStr">
        <is>
          <t>General</t>
        </is>
      </c>
      <c r="F1805" s="5" t="n"/>
      <c r="G1805" s="5" t="n"/>
      <c r="H1805" s="5" t="n">
        <v>1471</v>
      </c>
      <c r="I1805" s="5" t="n">
        <v>776</v>
      </c>
      <c r="J1805" s="5" t="n">
        <v>693</v>
      </c>
      <c r="K1805" s="10">
        <f>IF(F1805&gt;0,H1805/F1805,"")</f>
        <v/>
      </c>
      <c r="L1805" s="16">
        <f>IF(AND(G1805&gt;0,H1805&gt;0),G1805/H1805,"")</f>
        <v/>
      </c>
    </row>
    <row r="1806">
      <c r="A1806" s="4" t="inlineStr">
        <is>
          <t>170</t>
        </is>
      </c>
      <c r="B1806" s="4" t="n">
        <v>1</v>
      </c>
      <c r="C1806" s="4" t="inlineStr">
        <is>
          <t>whitetail</t>
        </is>
      </c>
      <c r="D1806" s="4" t="n">
        <v>2023</v>
      </c>
      <c r="E1806" s="13" t="inlineStr">
        <is>
          <t>General</t>
        </is>
      </c>
      <c r="F1806" s="5" t="n">
        <v>2431</v>
      </c>
      <c r="G1806" s="5" t="n">
        <v>15560</v>
      </c>
      <c r="H1806" s="5" t="n">
        <v>1328</v>
      </c>
      <c r="I1806" s="5" t="n">
        <v>737</v>
      </c>
      <c r="J1806" s="5" t="n">
        <v>576</v>
      </c>
      <c r="K1806" s="10">
        <f>IF(F1806&gt;0,H1806/F1806,"")</f>
        <v/>
      </c>
      <c r="L1806" s="16">
        <f>IF(AND(G1806&gt;0,H1806&gt;0),G1806/H1806,"")</f>
        <v/>
      </c>
    </row>
    <row r="1807">
      <c r="A1807" s="4" t="inlineStr">
        <is>
          <t>170</t>
        </is>
      </c>
      <c r="B1807" s="4" t="n">
        <v>1</v>
      </c>
      <c r="C1807" s="4" t="inlineStr">
        <is>
          <t>whitetail</t>
        </is>
      </c>
      <c r="D1807" s="4" t="n">
        <v>2024</v>
      </c>
      <c r="E1807" s="13" t="inlineStr">
        <is>
          <t>General</t>
        </is>
      </c>
      <c r="F1807" s="5" t="n"/>
      <c r="G1807" s="5" t="n"/>
      <c r="H1807" s="5" t="n">
        <v>1790</v>
      </c>
      <c r="I1807" s="5" t="n">
        <v>890</v>
      </c>
      <c r="J1807" s="5" t="n">
        <v>890</v>
      </c>
      <c r="K1807" s="10">
        <f>IF(F1807&gt;0,H1807/F1807,"")</f>
        <v/>
      </c>
      <c r="L1807" s="16">
        <f>IF(AND(G1807&gt;0,H1807&gt;0),G1807/H1807,"")</f>
        <v/>
      </c>
    </row>
    <row r="1808">
      <c r="A1808" s="4" t="inlineStr">
        <is>
          <t>170</t>
        </is>
      </c>
      <c r="B1808" s="4" t="n">
        <v>1</v>
      </c>
      <c r="C1808" s="4" t="inlineStr">
        <is>
          <t>whitetail</t>
        </is>
      </c>
      <c r="D1808" s="4" t="n">
        <v>2025</v>
      </c>
      <c r="E1808" s="13" t="inlineStr">
        <is>
          <t>General</t>
        </is>
      </c>
      <c r="F1808" s="5" t="n">
        <v>2713</v>
      </c>
      <c r="G1808" s="5" t="n">
        <v>19536</v>
      </c>
      <c r="H1808" s="5" t="n">
        <v>1750</v>
      </c>
      <c r="I1808" s="5" t="n">
        <v>808</v>
      </c>
      <c r="J1808" s="5" t="n">
        <v>939</v>
      </c>
      <c r="K1808" s="10">
        <f>IF(F1808&gt;0,H1808/F1808,"")</f>
        <v/>
      </c>
      <c r="L1808" s="16">
        <f>IF(AND(G1808&gt;0,H1808&gt;0),G1808/H1808,"")</f>
        <v/>
      </c>
    </row>
    <row r="1809">
      <c r="A1809" s="4" t="inlineStr">
        <is>
          <t>200</t>
        </is>
      </c>
      <c r="B1809" s="4" t="n">
        <v>2</v>
      </c>
      <c r="C1809" s="4" t="inlineStr">
        <is>
          <t>whitetail</t>
        </is>
      </c>
      <c r="D1809" s="4" t="n">
        <v>2021</v>
      </c>
      <c r="E1809" s="13" t="inlineStr">
        <is>
          <t>General</t>
        </is>
      </c>
      <c r="F1809" s="5" t="n">
        <v>673</v>
      </c>
      <c r="G1809" s="5" t="n">
        <v>5623</v>
      </c>
      <c r="H1809" s="5" t="n">
        <v>212</v>
      </c>
      <c r="I1809" s="5" t="n">
        <v>187</v>
      </c>
      <c r="J1809" s="5" t="n">
        <v>25</v>
      </c>
      <c r="K1809" s="10">
        <f>IF(F1809&gt;0,H1809/F1809,"")</f>
        <v/>
      </c>
      <c r="L1809" s="16">
        <f>IF(AND(G1809&gt;0,H1809&gt;0),G1809/H1809,"")</f>
        <v/>
      </c>
    </row>
    <row r="1810">
      <c r="A1810" s="4" t="inlineStr">
        <is>
          <t>200</t>
        </is>
      </c>
      <c r="B1810" s="4" t="n">
        <v>2</v>
      </c>
      <c r="C1810" s="4" t="inlineStr">
        <is>
          <t>whitetail</t>
        </is>
      </c>
      <c r="D1810" s="4" t="n">
        <v>2022</v>
      </c>
      <c r="E1810" s="13" t="inlineStr">
        <is>
          <t>General</t>
        </is>
      </c>
      <c r="F1810" s="5" t="n"/>
      <c r="G1810" s="5" t="n"/>
      <c r="H1810" s="5" t="n">
        <v>184</v>
      </c>
      <c r="I1810" s="5" t="n">
        <v>142</v>
      </c>
      <c r="J1810" s="5" t="n">
        <v>43</v>
      </c>
      <c r="K1810" s="10">
        <f>IF(F1810&gt;0,H1810/F1810,"")</f>
        <v/>
      </c>
      <c r="L1810" s="16">
        <f>IF(AND(G1810&gt;0,H1810&gt;0),G1810/H1810,"")</f>
        <v/>
      </c>
    </row>
    <row r="1811">
      <c r="A1811" s="4" t="inlineStr">
        <is>
          <t>200</t>
        </is>
      </c>
      <c r="B1811" s="4" t="n">
        <v>2</v>
      </c>
      <c r="C1811" s="4" t="inlineStr">
        <is>
          <t>whitetail</t>
        </is>
      </c>
      <c r="D1811" s="4" t="n">
        <v>2023</v>
      </c>
      <c r="E1811" s="13" t="inlineStr">
        <is>
          <t>General</t>
        </is>
      </c>
      <c r="F1811" s="5" t="n">
        <v>750</v>
      </c>
      <c r="G1811" s="5" t="n">
        <v>5843</v>
      </c>
      <c r="H1811" s="5" t="n">
        <v>207</v>
      </c>
      <c r="I1811" s="5" t="n">
        <v>171</v>
      </c>
      <c r="J1811" s="5" t="n">
        <v>36</v>
      </c>
      <c r="K1811" s="10">
        <f>IF(F1811&gt;0,H1811/F1811,"")</f>
        <v/>
      </c>
      <c r="L1811" s="16">
        <f>IF(AND(G1811&gt;0,H1811&gt;0),G1811/H1811,"")</f>
        <v/>
      </c>
    </row>
    <row r="1812">
      <c r="A1812" s="4" t="inlineStr">
        <is>
          <t>200</t>
        </is>
      </c>
      <c r="B1812" s="4" t="n">
        <v>2</v>
      </c>
      <c r="C1812" s="4" t="inlineStr">
        <is>
          <t>whitetail</t>
        </is>
      </c>
      <c r="D1812" s="4" t="n">
        <v>2024</v>
      </c>
      <c r="E1812" s="13" t="inlineStr">
        <is>
          <t>General</t>
        </is>
      </c>
      <c r="F1812" s="5" t="n"/>
      <c r="G1812" s="5" t="n"/>
      <c r="H1812" s="5" t="n">
        <v>201</v>
      </c>
      <c r="I1812" s="5" t="n">
        <v>183</v>
      </c>
      <c r="J1812" s="5" t="n">
        <v>18</v>
      </c>
      <c r="K1812" s="10">
        <f>IF(F1812&gt;0,H1812/F1812,"")</f>
        <v/>
      </c>
      <c r="L1812" s="16">
        <f>IF(AND(G1812&gt;0,H1812&gt;0),G1812/H1812,"")</f>
        <v/>
      </c>
    </row>
    <row r="1813">
      <c r="A1813" s="4" t="inlineStr">
        <is>
          <t>200</t>
        </is>
      </c>
      <c r="B1813" s="4" t="n">
        <v>2</v>
      </c>
      <c r="C1813" s="4" t="inlineStr">
        <is>
          <t>whitetail</t>
        </is>
      </c>
      <c r="D1813" s="4" t="n">
        <v>2025</v>
      </c>
      <c r="E1813" s="13" t="inlineStr">
        <is>
          <t>General</t>
        </is>
      </c>
      <c r="F1813" s="5" t="n">
        <v>618</v>
      </c>
      <c r="G1813" s="5" t="n">
        <v>4231</v>
      </c>
      <c r="H1813" s="5" t="n">
        <v>175</v>
      </c>
      <c r="I1813" s="5" t="n">
        <v>145</v>
      </c>
      <c r="J1813" s="5" t="n">
        <v>26</v>
      </c>
      <c r="K1813" s="10">
        <f>IF(F1813&gt;0,H1813/F1813,"")</f>
        <v/>
      </c>
      <c r="L1813" s="16">
        <f>IF(AND(G1813&gt;0,H1813&gt;0),G1813/H1813,"")</f>
        <v/>
      </c>
    </row>
    <row r="1814">
      <c r="A1814" s="4" t="inlineStr">
        <is>
          <t>201</t>
        </is>
      </c>
      <c r="B1814" s="4" t="n">
        <v>2</v>
      </c>
      <c r="C1814" s="4" t="inlineStr">
        <is>
          <t>whitetail</t>
        </is>
      </c>
      <c r="D1814" s="4" t="n">
        <v>2021</v>
      </c>
      <c r="E1814" s="13" t="inlineStr">
        <is>
          <t>General</t>
        </is>
      </c>
      <c r="F1814" s="5" t="n">
        <v>2164</v>
      </c>
      <c r="G1814" s="5" t="n">
        <v>15777</v>
      </c>
      <c r="H1814" s="5" t="n">
        <v>613</v>
      </c>
      <c r="I1814" s="5" t="n">
        <v>542</v>
      </c>
      <c r="J1814" s="5" t="n">
        <v>71</v>
      </c>
      <c r="K1814" s="10">
        <f>IF(F1814&gt;0,H1814/F1814,"")</f>
        <v/>
      </c>
      <c r="L1814" s="16">
        <f>IF(AND(G1814&gt;0,H1814&gt;0),G1814/H1814,"")</f>
        <v/>
      </c>
    </row>
    <row r="1815">
      <c r="A1815" s="4" t="inlineStr">
        <is>
          <t>201</t>
        </is>
      </c>
      <c r="B1815" s="4" t="n">
        <v>2</v>
      </c>
      <c r="C1815" s="4" t="inlineStr">
        <is>
          <t>whitetail</t>
        </is>
      </c>
      <c r="D1815" s="4" t="n">
        <v>2022</v>
      </c>
      <c r="E1815" s="13" t="inlineStr">
        <is>
          <t>General</t>
        </is>
      </c>
      <c r="F1815" s="5" t="n"/>
      <c r="G1815" s="5" t="n"/>
      <c r="H1815" s="5" t="n">
        <v>863</v>
      </c>
      <c r="I1815" s="5" t="n">
        <v>714</v>
      </c>
      <c r="J1815" s="5" t="n">
        <v>149</v>
      </c>
      <c r="K1815" s="10">
        <f>IF(F1815&gt;0,H1815/F1815,"")</f>
        <v/>
      </c>
      <c r="L1815" s="16">
        <f>IF(AND(G1815&gt;0,H1815&gt;0),G1815/H1815,"")</f>
        <v/>
      </c>
    </row>
    <row r="1816">
      <c r="A1816" s="4" t="inlineStr">
        <is>
          <t>201</t>
        </is>
      </c>
      <c r="B1816" s="4" t="n">
        <v>2</v>
      </c>
      <c r="C1816" s="4" t="inlineStr">
        <is>
          <t>whitetail</t>
        </is>
      </c>
      <c r="D1816" s="4" t="n">
        <v>2023</v>
      </c>
      <c r="E1816" s="13" t="inlineStr">
        <is>
          <t>General</t>
        </is>
      </c>
      <c r="F1816" s="5" t="n">
        <v>3619</v>
      </c>
      <c r="G1816" s="5" t="n">
        <v>25408</v>
      </c>
      <c r="H1816" s="5" t="n">
        <v>964</v>
      </c>
      <c r="I1816" s="5" t="n">
        <v>794</v>
      </c>
      <c r="J1816" s="5" t="n">
        <v>166</v>
      </c>
      <c r="K1816" s="10">
        <f>IF(F1816&gt;0,H1816/F1816,"")</f>
        <v/>
      </c>
      <c r="L1816" s="16">
        <f>IF(AND(G1816&gt;0,H1816&gt;0),G1816/H1816,"")</f>
        <v/>
      </c>
    </row>
    <row r="1817">
      <c r="A1817" s="4" t="inlineStr">
        <is>
          <t>201</t>
        </is>
      </c>
      <c r="B1817" s="4" t="n">
        <v>2</v>
      </c>
      <c r="C1817" s="4" t="inlineStr">
        <is>
          <t>whitetail</t>
        </is>
      </c>
      <c r="D1817" s="4" t="n">
        <v>2024</v>
      </c>
      <c r="E1817" s="13" t="inlineStr">
        <is>
          <t>General</t>
        </is>
      </c>
      <c r="F1817" s="5" t="n"/>
      <c r="G1817" s="5" t="n"/>
      <c r="H1817" s="5" t="n">
        <v>1079</v>
      </c>
      <c r="I1817" s="5" t="n">
        <v>896</v>
      </c>
      <c r="J1817" s="5" t="n">
        <v>176</v>
      </c>
      <c r="K1817" s="10">
        <f>IF(F1817&gt;0,H1817/F1817,"")</f>
        <v/>
      </c>
      <c r="L1817" s="16">
        <f>IF(AND(G1817&gt;0,H1817&gt;0),G1817/H1817,"")</f>
        <v/>
      </c>
    </row>
    <row r="1818">
      <c r="A1818" s="4" t="inlineStr">
        <is>
          <t>201</t>
        </is>
      </c>
      <c r="B1818" s="4" t="n">
        <v>2</v>
      </c>
      <c r="C1818" s="4" t="inlineStr">
        <is>
          <t>whitetail</t>
        </is>
      </c>
      <c r="D1818" s="4" t="n">
        <v>2025</v>
      </c>
      <c r="E1818" s="13" t="inlineStr">
        <is>
          <t>General</t>
        </is>
      </c>
      <c r="F1818" s="5" t="n">
        <v>3441</v>
      </c>
      <c r="G1818" s="5" t="n">
        <v>23120</v>
      </c>
      <c r="H1818" s="5" t="n">
        <v>841</v>
      </c>
      <c r="I1818" s="5" t="n">
        <v>632</v>
      </c>
      <c r="J1818" s="5" t="n">
        <v>208</v>
      </c>
      <c r="K1818" s="10">
        <f>IF(F1818&gt;0,H1818/F1818,"")</f>
        <v/>
      </c>
      <c r="L1818" s="16">
        <f>IF(AND(G1818&gt;0,H1818&gt;0),G1818/H1818,"")</f>
        <v/>
      </c>
    </row>
    <row r="1819">
      <c r="A1819" s="4" t="inlineStr">
        <is>
          <t>202</t>
        </is>
      </c>
      <c r="B1819" s="4" t="n">
        <v>2</v>
      </c>
      <c r="C1819" s="4" t="inlineStr">
        <is>
          <t>whitetail</t>
        </is>
      </c>
      <c r="D1819" s="4" t="n">
        <v>2021</v>
      </c>
      <c r="E1819" s="13" t="inlineStr">
        <is>
          <t>General</t>
        </is>
      </c>
      <c r="F1819" s="5" t="n">
        <v>1402</v>
      </c>
      <c r="G1819" s="5" t="n">
        <v>9944</v>
      </c>
      <c r="H1819" s="5" t="n">
        <v>432</v>
      </c>
      <c r="I1819" s="5" t="n">
        <v>394</v>
      </c>
      <c r="J1819" s="5" t="n">
        <v>38</v>
      </c>
      <c r="K1819" s="10">
        <f>IF(F1819&gt;0,H1819/F1819,"")</f>
        <v/>
      </c>
      <c r="L1819" s="16">
        <f>IF(AND(G1819&gt;0,H1819&gt;0),G1819/H1819,"")</f>
        <v/>
      </c>
    </row>
    <row r="1820">
      <c r="A1820" s="4" t="inlineStr">
        <is>
          <t>202</t>
        </is>
      </c>
      <c r="B1820" s="4" t="n">
        <v>2</v>
      </c>
      <c r="C1820" s="4" t="inlineStr">
        <is>
          <t>whitetail</t>
        </is>
      </c>
      <c r="D1820" s="4" t="n">
        <v>2022</v>
      </c>
      <c r="E1820" s="13" t="inlineStr">
        <is>
          <t>General</t>
        </is>
      </c>
      <c r="F1820" s="5" t="n"/>
      <c r="G1820" s="5" t="n"/>
      <c r="H1820" s="5" t="n">
        <v>606</v>
      </c>
      <c r="I1820" s="5" t="n">
        <v>487</v>
      </c>
      <c r="J1820" s="5" t="n">
        <v>116</v>
      </c>
      <c r="K1820" s="10">
        <f>IF(F1820&gt;0,H1820/F1820,"")</f>
        <v/>
      </c>
      <c r="L1820" s="16">
        <f>IF(AND(G1820&gt;0,H1820&gt;0),G1820/H1820,"")</f>
        <v/>
      </c>
    </row>
    <row r="1821">
      <c r="A1821" s="4" t="inlineStr">
        <is>
          <t>202</t>
        </is>
      </c>
      <c r="B1821" s="4" t="n">
        <v>2</v>
      </c>
      <c r="C1821" s="4" t="inlineStr">
        <is>
          <t>whitetail</t>
        </is>
      </c>
      <c r="D1821" s="4" t="n">
        <v>2023</v>
      </c>
      <c r="E1821" s="13" t="inlineStr">
        <is>
          <t>General</t>
        </is>
      </c>
      <c r="F1821" s="5" t="n">
        <v>1796</v>
      </c>
      <c r="G1821" s="5" t="n">
        <v>12826</v>
      </c>
      <c r="H1821" s="5" t="n">
        <v>567</v>
      </c>
      <c r="I1821" s="5" t="n">
        <v>459</v>
      </c>
      <c r="J1821" s="5" t="n">
        <v>104</v>
      </c>
      <c r="K1821" s="10">
        <f>IF(F1821&gt;0,H1821/F1821,"")</f>
        <v/>
      </c>
      <c r="L1821" s="16">
        <f>IF(AND(G1821&gt;0,H1821&gt;0),G1821/H1821,"")</f>
        <v/>
      </c>
    </row>
    <row r="1822">
      <c r="A1822" s="4" t="inlineStr">
        <is>
          <t>202</t>
        </is>
      </c>
      <c r="B1822" s="4" t="n">
        <v>2</v>
      </c>
      <c r="C1822" s="4" t="inlineStr">
        <is>
          <t>whitetail</t>
        </is>
      </c>
      <c r="D1822" s="4" t="n">
        <v>2024</v>
      </c>
      <c r="E1822" s="13" t="inlineStr">
        <is>
          <t>General</t>
        </is>
      </c>
      <c r="F1822" s="5" t="n"/>
      <c r="G1822" s="5" t="n"/>
      <c r="H1822" s="5" t="n">
        <v>547</v>
      </c>
      <c r="I1822" s="5" t="n">
        <v>457</v>
      </c>
      <c r="J1822" s="5" t="n">
        <v>87</v>
      </c>
      <c r="K1822" s="10">
        <f>IF(F1822&gt;0,H1822/F1822,"")</f>
        <v/>
      </c>
      <c r="L1822" s="16">
        <f>IF(AND(G1822&gt;0,H1822&gt;0),G1822/H1822,"")</f>
        <v/>
      </c>
    </row>
    <row r="1823">
      <c r="A1823" s="4" t="inlineStr">
        <is>
          <t>202</t>
        </is>
      </c>
      <c r="B1823" s="4" t="n">
        <v>2</v>
      </c>
      <c r="C1823" s="4" t="inlineStr">
        <is>
          <t>whitetail</t>
        </is>
      </c>
      <c r="D1823" s="4" t="n">
        <v>2025</v>
      </c>
      <c r="E1823" s="13" t="inlineStr">
        <is>
          <t>General</t>
        </is>
      </c>
      <c r="F1823" s="5" t="n">
        <v>1814</v>
      </c>
      <c r="G1823" s="5" t="n">
        <v>11696</v>
      </c>
      <c r="H1823" s="5" t="n">
        <v>598</v>
      </c>
      <c r="I1823" s="5" t="n">
        <v>488</v>
      </c>
      <c r="J1823" s="5" t="n">
        <v>110</v>
      </c>
      <c r="K1823" s="10">
        <f>IF(F1823&gt;0,H1823/F1823,"")</f>
        <v/>
      </c>
      <c r="L1823" s="16">
        <f>IF(AND(G1823&gt;0,H1823&gt;0),G1823/H1823,"")</f>
        <v/>
      </c>
    </row>
    <row r="1824">
      <c r="A1824" s="4" t="inlineStr">
        <is>
          <t>203</t>
        </is>
      </c>
      <c r="B1824" s="4" t="n">
        <v>2</v>
      </c>
      <c r="C1824" s="4" t="inlineStr">
        <is>
          <t>whitetail</t>
        </is>
      </c>
      <c r="D1824" s="4" t="n">
        <v>2021</v>
      </c>
      <c r="E1824" s="4" t="inlineStr"/>
      <c r="F1824" s="5" t="n">
        <v>1498</v>
      </c>
      <c r="G1824" s="5" t="n">
        <v>8671</v>
      </c>
      <c r="H1824" s="5" t="n">
        <v>309</v>
      </c>
      <c r="I1824" s="5" t="n">
        <v>263</v>
      </c>
      <c r="J1824" s="5" t="n">
        <v>42</v>
      </c>
      <c r="K1824" s="10">
        <f>IF(F1824&gt;0,H1824/F1824,"")</f>
        <v/>
      </c>
      <c r="L1824" s="16">
        <f>IF(AND(G1824&gt;0,H1824&gt;0),G1824/H1824,"")</f>
        <v/>
      </c>
    </row>
    <row r="1825">
      <c r="A1825" s="4" t="inlineStr">
        <is>
          <t>204</t>
        </is>
      </c>
      <c r="B1825" s="4" t="n">
        <v>2</v>
      </c>
      <c r="C1825" s="4" t="inlineStr">
        <is>
          <t>whitetail</t>
        </is>
      </c>
      <c r="D1825" s="4" t="n">
        <v>2021</v>
      </c>
      <c r="E1825" s="13" t="inlineStr">
        <is>
          <t>General</t>
        </is>
      </c>
      <c r="F1825" s="5" t="n">
        <v>1092</v>
      </c>
      <c r="G1825" s="5" t="n">
        <v>6666</v>
      </c>
      <c r="H1825" s="5" t="n">
        <v>298</v>
      </c>
      <c r="I1825" s="5" t="n">
        <v>223</v>
      </c>
      <c r="J1825" s="5" t="n">
        <v>69</v>
      </c>
      <c r="K1825" s="10">
        <f>IF(F1825&gt;0,H1825/F1825,"")</f>
        <v/>
      </c>
      <c r="L1825" s="16">
        <f>IF(AND(G1825&gt;0,H1825&gt;0),G1825/H1825,"")</f>
        <v/>
      </c>
    </row>
    <row r="1826">
      <c r="A1826" s="4" t="inlineStr">
        <is>
          <t>204</t>
        </is>
      </c>
      <c r="B1826" s="4" t="n">
        <v>2</v>
      </c>
      <c r="C1826" s="4" t="inlineStr">
        <is>
          <t>whitetail</t>
        </is>
      </c>
      <c r="D1826" s="4" t="n">
        <v>2022</v>
      </c>
      <c r="E1826" s="13" t="inlineStr">
        <is>
          <t>General</t>
        </is>
      </c>
      <c r="F1826" s="5" t="n"/>
      <c r="G1826" s="5" t="n"/>
      <c r="H1826" s="5" t="n">
        <v>418</v>
      </c>
      <c r="I1826" s="5" t="n">
        <v>278</v>
      </c>
      <c r="J1826" s="5" t="n">
        <v>136</v>
      </c>
      <c r="K1826" s="10">
        <f>IF(F1826&gt;0,H1826/F1826,"")</f>
        <v/>
      </c>
      <c r="L1826" s="16">
        <f>IF(AND(G1826&gt;0,H1826&gt;0),G1826/H1826,"")</f>
        <v/>
      </c>
    </row>
    <row r="1827">
      <c r="A1827" s="4" t="inlineStr">
        <is>
          <t>204</t>
        </is>
      </c>
      <c r="B1827" s="4" t="n">
        <v>2</v>
      </c>
      <c r="C1827" s="4" t="inlineStr">
        <is>
          <t>whitetail</t>
        </is>
      </c>
      <c r="D1827" s="4" t="n">
        <v>2023</v>
      </c>
      <c r="E1827" s="13" t="inlineStr">
        <is>
          <t>General</t>
        </is>
      </c>
      <c r="F1827" s="5" t="n">
        <v>1491</v>
      </c>
      <c r="G1827" s="5" t="n">
        <v>9948</v>
      </c>
      <c r="H1827" s="5" t="n">
        <v>397</v>
      </c>
      <c r="I1827" s="5" t="n">
        <v>266</v>
      </c>
      <c r="J1827" s="5" t="n">
        <v>121</v>
      </c>
      <c r="K1827" s="10">
        <f>IF(F1827&gt;0,H1827/F1827,"")</f>
        <v/>
      </c>
      <c r="L1827" s="16">
        <f>IF(AND(G1827&gt;0,H1827&gt;0),G1827/H1827,"")</f>
        <v/>
      </c>
    </row>
    <row r="1828">
      <c r="A1828" s="4" t="inlineStr">
        <is>
          <t>204</t>
        </is>
      </c>
      <c r="B1828" s="4" t="n">
        <v>2</v>
      </c>
      <c r="C1828" s="4" t="inlineStr">
        <is>
          <t>whitetail</t>
        </is>
      </c>
      <c r="D1828" s="4" t="n">
        <v>2024</v>
      </c>
      <c r="E1828" s="13" t="inlineStr">
        <is>
          <t>General</t>
        </is>
      </c>
      <c r="F1828" s="5" t="n"/>
      <c r="G1828" s="5" t="n"/>
      <c r="H1828" s="5" t="n">
        <v>402</v>
      </c>
      <c r="I1828" s="5" t="n">
        <v>296</v>
      </c>
      <c r="J1828" s="5" t="n">
        <v>106</v>
      </c>
      <c r="K1828" s="10">
        <f>IF(F1828&gt;0,H1828/F1828,"")</f>
        <v/>
      </c>
      <c r="L1828" s="16">
        <f>IF(AND(G1828&gt;0,H1828&gt;0),G1828/H1828,"")</f>
        <v/>
      </c>
    </row>
    <row r="1829">
      <c r="A1829" s="4" t="inlineStr">
        <is>
          <t>204</t>
        </is>
      </c>
      <c r="B1829" s="4" t="n">
        <v>2</v>
      </c>
      <c r="C1829" s="4" t="inlineStr">
        <is>
          <t>whitetail</t>
        </is>
      </c>
      <c r="D1829" s="4" t="n">
        <v>2025</v>
      </c>
      <c r="E1829" s="13" t="inlineStr">
        <is>
          <t>General</t>
        </is>
      </c>
      <c r="F1829" s="5" t="n">
        <v>1386</v>
      </c>
      <c r="G1829" s="5" t="n">
        <v>8644</v>
      </c>
      <c r="H1829" s="5" t="n">
        <v>315</v>
      </c>
      <c r="I1829" s="5" t="n">
        <v>202</v>
      </c>
      <c r="J1829" s="5" t="n">
        <v>109</v>
      </c>
      <c r="K1829" s="10">
        <f>IF(F1829&gt;0,H1829/F1829,"")</f>
        <v/>
      </c>
      <c r="L1829" s="16">
        <f>IF(AND(G1829&gt;0,H1829&gt;0),G1829/H1829,"")</f>
        <v/>
      </c>
    </row>
    <row r="1830">
      <c r="A1830" s="4" t="inlineStr">
        <is>
          <t>210</t>
        </is>
      </c>
      <c r="B1830" s="4" t="n">
        <v>2</v>
      </c>
      <c r="C1830" s="4" t="inlineStr">
        <is>
          <t>whitetail</t>
        </is>
      </c>
      <c r="D1830" s="4" t="n">
        <v>2021</v>
      </c>
      <c r="E1830" s="13" t="inlineStr">
        <is>
          <t>General</t>
        </is>
      </c>
      <c r="F1830" s="5" t="n">
        <v>870</v>
      </c>
      <c r="G1830" s="5" t="n">
        <v>6185</v>
      </c>
      <c r="H1830" s="5" t="n">
        <v>224</v>
      </c>
      <c r="I1830" s="5" t="n">
        <v>129</v>
      </c>
      <c r="J1830" s="5" t="n">
        <v>95</v>
      </c>
      <c r="K1830" s="10">
        <f>IF(F1830&gt;0,H1830/F1830,"")</f>
        <v/>
      </c>
      <c r="L1830" s="16">
        <f>IF(AND(G1830&gt;0,H1830&gt;0),G1830/H1830,"")</f>
        <v/>
      </c>
    </row>
    <row r="1831">
      <c r="A1831" s="4" t="inlineStr">
        <is>
          <t>210</t>
        </is>
      </c>
      <c r="B1831" s="4" t="n">
        <v>2</v>
      </c>
      <c r="C1831" s="4" t="inlineStr">
        <is>
          <t>whitetail</t>
        </is>
      </c>
      <c r="D1831" s="4" t="n">
        <v>2022</v>
      </c>
      <c r="E1831" s="13" t="inlineStr">
        <is>
          <t>General</t>
        </is>
      </c>
      <c r="F1831" s="5" t="n"/>
      <c r="G1831" s="5" t="n"/>
      <c r="H1831" s="5" t="n">
        <v>241</v>
      </c>
      <c r="I1831" s="5" t="n">
        <v>136</v>
      </c>
      <c r="J1831" s="5" t="n">
        <v>102</v>
      </c>
      <c r="K1831" s="10">
        <f>IF(F1831&gt;0,H1831/F1831,"")</f>
        <v/>
      </c>
      <c r="L1831" s="16">
        <f>IF(AND(G1831&gt;0,H1831&gt;0),G1831/H1831,"")</f>
        <v/>
      </c>
    </row>
    <row r="1832">
      <c r="A1832" s="4" t="inlineStr">
        <is>
          <t>210</t>
        </is>
      </c>
      <c r="B1832" s="4" t="n">
        <v>2</v>
      </c>
      <c r="C1832" s="4" t="inlineStr">
        <is>
          <t>whitetail</t>
        </is>
      </c>
      <c r="D1832" s="4" t="n">
        <v>2023</v>
      </c>
      <c r="E1832" s="13" t="inlineStr">
        <is>
          <t>General</t>
        </is>
      </c>
      <c r="F1832" s="5" t="n">
        <v>863</v>
      </c>
      <c r="G1832" s="5" t="n">
        <v>4965</v>
      </c>
      <c r="H1832" s="5" t="n">
        <v>254</v>
      </c>
      <c r="I1832" s="5" t="n">
        <v>134</v>
      </c>
      <c r="J1832" s="5" t="n">
        <v>120</v>
      </c>
      <c r="K1832" s="10">
        <f>IF(F1832&gt;0,H1832/F1832,"")</f>
        <v/>
      </c>
      <c r="L1832" s="16">
        <f>IF(AND(G1832&gt;0,H1832&gt;0),G1832/H1832,"")</f>
        <v/>
      </c>
    </row>
    <row r="1833">
      <c r="A1833" s="4" t="inlineStr">
        <is>
          <t>210</t>
        </is>
      </c>
      <c r="B1833" s="4" t="n">
        <v>2</v>
      </c>
      <c r="C1833" s="4" t="inlineStr">
        <is>
          <t>whitetail</t>
        </is>
      </c>
      <c r="D1833" s="4" t="n">
        <v>2024</v>
      </c>
      <c r="E1833" s="13" t="inlineStr">
        <is>
          <t>General</t>
        </is>
      </c>
      <c r="F1833" s="5" t="n"/>
      <c r="G1833" s="5" t="n"/>
      <c r="H1833" s="5" t="n">
        <v>277</v>
      </c>
      <c r="I1833" s="5" t="n">
        <v>156</v>
      </c>
      <c r="J1833" s="5" t="n">
        <v>121</v>
      </c>
      <c r="K1833" s="10">
        <f>IF(F1833&gt;0,H1833/F1833,"")</f>
        <v/>
      </c>
      <c r="L1833" s="16">
        <f>IF(AND(G1833&gt;0,H1833&gt;0),G1833/H1833,"")</f>
        <v/>
      </c>
    </row>
    <row r="1834">
      <c r="A1834" s="4" t="inlineStr">
        <is>
          <t>210</t>
        </is>
      </c>
      <c r="B1834" s="4" t="n">
        <v>2</v>
      </c>
      <c r="C1834" s="4" t="inlineStr">
        <is>
          <t>whitetail</t>
        </is>
      </c>
      <c r="D1834" s="4" t="n">
        <v>2025</v>
      </c>
      <c r="E1834" s="13" t="inlineStr">
        <is>
          <t>General</t>
        </is>
      </c>
      <c r="F1834" s="5" t="n">
        <v>875</v>
      </c>
      <c r="G1834" s="5" t="n">
        <v>5787</v>
      </c>
      <c r="H1834" s="5" t="n">
        <v>233</v>
      </c>
      <c r="I1834" s="5" t="n">
        <v>139</v>
      </c>
      <c r="J1834" s="5" t="n">
        <v>94</v>
      </c>
      <c r="K1834" s="10">
        <f>IF(F1834&gt;0,H1834/F1834,"")</f>
        <v/>
      </c>
      <c r="L1834" s="16">
        <f>IF(AND(G1834&gt;0,H1834&gt;0),G1834/H1834,"")</f>
        <v/>
      </c>
    </row>
    <row r="1835">
      <c r="A1835" s="4" t="inlineStr">
        <is>
          <t>211</t>
        </is>
      </c>
      <c r="B1835" s="4" t="n">
        <v>2</v>
      </c>
      <c r="C1835" s="4" t="inlineStr">
        <is>
          <t>whitetail</t>
        </is>
      </c>
      <c r="D1835" s="4" t="n">
        <v>2021</v>
      </c>
      <c r="E1835" s="13" t="inlineStr">
        <is>
          <t>General</t>
        </is>
      </c>
      <c r="F1835" s="5" t="n">
        <v>433</v>
      </c>
      <c r="G1835" s="5" t="n">
        <v>3571</v>
      </c>
      <c r="H1835" s="5" t="n">
        <v>50</v>
      </c>
      <c r="I1835" s="5" t="n">
        <v>31</v>
      </c>
      <c r="J1835" s="5" t="n">
        <v>19</v>
      </c>
      <c r="K1835" s="10">
        <f>IF(F1835&gt;0,H1835/F1835,"")</f>
        <v/>
      </c>
      <c r="L1835" s="16">
        <f>IF(AND(G1835&gt;0,H1835&gt;0),G1835/H1835,"")</f>
        <v/>
      </c>
    </row>
    <row r="1836">
      <c r="A1836" s="4" t="inlineStr">
        <is>
          <t>211</t>
        </is>
      </c>
      <c r="B1836" s="4" t="n">
        <v>2</v>
      </c>
      <c r="C1836" s="4" t="inlineStr">
        <is>
          <t>whitetail</t>
        </is>
      </c>
      <c r="D1836" s="4" t="n">
        <v>2022</v>
      </c>
      <c r="E1836" s="13" t="inlineStr">
        <is>
          <t>General</t>
        </is>
      </c>
      <c r="F1836" s="5" t="n"/>
      <c r="G1836" s="5" t="n"/>
      <c r="H1836" s="5" t="n">
        <v>39</v>
      </c>
      <c r="I1836" s="5" t="n">
        <v>29</v>
      </c>
      <c r="J1836" s="5" t="n">
        <v>10</v>
      </c>
      <c r="K1836" s="10">
        <f>IF(F1836&gt;0,H1836/F1836,"")</f>
        <v/>
      </c>
      <c r="L1836" s="16">
        <f>IF(AND(G1836&gt;0,H1836&gt;0),G1836/H1836,"")</f>
        <v/>
      </c>
    </row>
    <row r="1837">
      <c r="A1837" s="4" t="inlineStr">
        <is>
          <t>211</t>
        </is>
      </c>
      <c r="B1837" s="4" t="n">
        <v>2</v>
      </c>
      <c r="C1837" s="4" t="inlineStr">
        <is>
          <t>whitetail</t>
        </is>
      </c>
      <c r="D1837" s="4" t="n">
        <v>2023</v>
      </c>
      <c r="E1837" s="13" t="inlineStr">
        <is>
          <t>General</t>
        </is>
      </c>
      <c r="F1837" s="5" t="n">
        <v>492</v>
      </c>
      <c r="G1837" s="5" t="n">
        <v>3440</v>
      </c>
      <c r="H1837" s="5" t="n">
        <v>37</v>
      </c>
      <c r="I1837" s="5" t="n">
        <v>34</v>
      </c>
      <c r="J1837" s="5" t="n">
        <v>3</v>
      </c>
      <c r="K1837" s="10">
        <f>IF(F1837&gt;0,H1837/F1837,"")</f>
        <v/>
      </c>
      <c r="L1837" s="16">
        <f>IF(AND(G1837&gt;0,H1837&gt;0),G1837/H1837,"")</f>
        <v/>
      </c>
    </row>
    <row r="1838">
      <c r="A1838" s="4" t="inlineStr">
        <is>
          <t>211</t>
        </is>
      </c>
      <c r="B1838" s="4" t="n">
        <v>2</v>
      </c>
      <c r="C1838" s="4" t="inlineStr">
        <is>
          <t>whitetail</t>
        </is>
      </c>
      <c r="D1838" s="4" t="n">
        <v>2024</v>
      </c>
      <c r="E1838" s="13" t="inlineStr">
        <is>
          <t>General</t>
        </is>
      </c>
      <c r="F1838" s="5" t="n"/>
      <c r="G1838" s="5" t="n"/>
      <c r="H1838" s="5" t="n">
        <v>28</v>
      </c>
      <c r="I1838" s="5" t="n">
        <v>26</v>
      </c>
      <c r="J1838" s="5" t="n">
        <v>3</v>
      </c>
      <c r="K1838" s="10">
        <f>IF(F1838&gt;0,H1838/F1838,"")</f>
        <v/>
      </c>
      <c r="L1838" s="16">
        <f>IF(AND(G1838&gt;0,H1838&gt;0),G1838/H1838,"")</f>
        <v/>
      </c>
    </row>
    <row r="1839">
      <c r="A1839" s="4" t="inlineStr">
        <is>
          <t>211</t>
        </is>
      </c>
      <c r="B1839" s="4" t="n">
        <v>2</v>
      </c>
      <c r="C1839" s="4" t="inlineStr">
        <is>
          <t>whitetail</t>
        </is>
      </c>
      <c r="D1839" s="4" t="n">
        <v>2025</v>
      </c>
      <c r="E1839" s="13" t="inlineStr">
        <is>
          <t>General</t>
        </is>
      </c>
      <c r="F1839" s="5" t="n">
        <v>566</v>
      </c>
      <c r="G1839" s="5" t="n">
        <v>4532</v>
      </c>
      <c r="H1839" s="5" t="n">
        <v>66</v>
      </c>
      <c r="I1839" s="5" t="n">
        <v>56</v>
      </c>
      <c r="J1839" s="5" t="n">
        <v>10</v>
      </c>
      <c r="K1839" s="10">
        <f>IF(F1839&gt;0,H1839/F1839,"")</f>
        <v/>
      </c>
      <c r="L1839" s="16">
        <f>IF(AND(G1839&gt;0,H1839&gt;0),G1839/H1839,"")</f>
        <v/>
      </c>
    </row>
    <row r="1840">
      <c r="A1840" s="4" t="inlineStr">
        <is>
          <t>212</t>
        </is>
      </c>
      <c r="B1840" s="4" t="n">
        <v>2</v>
      </c>
      <c r="C1840" s="4" t="inlineStr">
        <is>
          <t>whitetail</t>
        </is>
      </c>
      <c r="D1840" s="4" t="n">
        <v>2021</v>
      </c>
      <c r="E1840" s="13" t="inlineStr">
        <is>
          <t>General</t>
        </is>
      </c>
      <c r="F1840" s="5" t="n">
        <v>341</v>
      </c>
      <c r="G1840" s="5" t="n">
        <v>2413</v>
      </c>
      <c r="H1840" s="5" t="n">
        <v>42</v>
      </c>
      <c r="I1840" s="5" t="n">
        <v>36</v>
      </c>
      <c r="J1840" s="5" t="n">
        <v>7</v>
      </c>
      <c r="K1840" s="10">
        <f>IF(F1840&gt;0,H1840/F1840,"")</f>
        <v/>
      </c>
      <c r="L1840" s="16">
        <f>IF(AND(G1840&gt;0,H1840&gt;0),G1840/H1840,"")</f>
        <v/>
      </c>
    </row>
    <row r="1841">
      <c r="A1841" s="4" t="inlineStr">
        <is>
          <t>212</t>
        </is>
      </c>
      <c r="B1841" s="4" t="n">
        <v>2</v>
      </c>
      <c r="C1841" s="4" t="inlineStr">
        <is>
          <t>whitetail</t>
        </is>
      </c>
      <c r="D1841" s="4" t="n">
        <v>2022</v>
      </c>
      <c r="E1841" s="13" t="inlineStr">
        <is>
          <t>General</t>
        </is>
      </c>
      <c r="F1841" s="5" t="n"/>
      <c r="G1841" s="5" t="n"/>
      <c r="H1841" s="5" t="n">
        <v>28</v>
      </c>
      <c r="I1841" s="5" t="n">
        <v>13</v>
      </c>
      <c r="J1841" s="5" t="n">
        <v>14</v>
      </c>
      <c r="K1841" s="10">
        <f>IF(F1841&gt;0,H1841/F1841,"")</f>
        <v/>
      </c>
      <c r="L1841" s="16">
        <f>IF(AND(G1841&gt;0,H1841&gt;0),G1841/H1841,"")</f>
        <v/>
      </c>
    </row>
    <row r="1842">
      <c r="A1842" s="4" t="inlineStr">
        <is>
          <t>212</t>
        </is>
      </c>
      <c r="B1842" s="4" t="n">
        <v>2</v>
      </c>
      <c r="C1842" s="4" t="inlineStr">
        <is>
          <t>whitetail</t>
        </is>
      </c>
      <c r="D1842" s="4" t="n">
        <v>2023</v>
      </c>
      <c r="E1842" s="13" t="inlineStr">
        <is>
          <t>General</t>
        </is>
      </c>
      <c r="F1842" s="5" t="n">
        <v>311</v>
      </c>
      <c r="G1842" s="5" t="n">
        <v>1821</v>
      </c>
      <c r="H1842" s="5" t="n">
        <v>26</v>
      </c>
      <c r="I1842" s="5" t="n">
        <v>24</v>
      </c>
      <c r="J1842" s="5" t="n">
        <v>2</v>
      </c>
      <c r="K1842" s="10">
        <f>IF(F1842&gt;0,H1842/F1842,"")</f>
        <v/>
      </c>
      <c r="L1842" s="16">
        <f>IF(AND(G1842&gt;0,H1842&gt;0),G1842/H1842,"")</f>
        <v/>
      </c>
    </row>
    <row r="1843">
      <c r="A1843" s="4" t="inlineStr">
        <is>
          <t>212</t>
        </is>
      </c>
      <c r="B1843" s="4" t="n">
        <v>2</v>
      </c>
      <c r="C1843" s="4" t="inlineStr">
        <is>
          <t>whitetail</t>
        </is>
      </c>
      <c r="D1843" s="4" t="n">
        <v>2024</v>
      </c>
      <c r="E1843" s="13" t="inlineStr">
        <is>
          <t>General</t>
        </is>
      </c>
      <c r="F1843" s="5" t="n"/>
      <c r="G1843" s="5" t="n"/>
      <c r="H1843" s="5" t="n">
        <v>50</v>
      </c>
      <c r="I1843" s="5" t="n">
        <v>36</v>
      </c>
      <c r="J1843" s="5" t="n">
        <v>14</v>
      </c>
      <c r="K1843" s="10">
        <f>IF(F1843&gt;0,H1843/F1843,"")</f>
        <v/>
      </c>
      <c r="L1843" s="16">
        <f>IF(AND(G1843&gt;0,H1843&gt;0),G1843/H1843,"")</f>
        <v/>
      </c>
    </row>
    <row r="1844">
      <c r="A1844" s="4" t="inlineStr">
        <is>
          <t>212</t>
        </is>
      </c>
      <c r="B1844" s="4" t="n">
        <v>2</v>
      </c>
      <c r="C1844" s="4" t="inlineStr">
        <is>
          <t>whitetail</t>
        </is>
      </c>
      <c r="D1844" s="4" t="n">
        <v>2025</v>
      </c>
      <c r="E1844" s="13" t="inlineStr">
        <is>
          <t>General</t>
        </is>
      </c>
      <c r="F1844" s="5" t="n">
        <v>481</v>
      </c>
      <c r="G1844" s="5" t="n">
        <v>3559</v>
      </c>
      <c r="H1844" s="5" t="n">
        <v>47</v>
      </c>
      <c r="I1844" s="5" t="n">
        <v>25</v>
      </c>
      <c r="J1844" s="5" t="n">
        <v>22</v>
      </c>
      <c r="K1844" s="10">
        <f>IF(F1844&gt;0,H1844/F1844,"")</f>
        <v/>
      </c>
      <c r="L1844" s="16">
        <f>IF(AND(G1844&gt;0,H1844&gt;0),G1844/H1844,"")</f>
        <v/>
      </c>
    </row>
    <row r="1845">
      <c r="A1845" s="4" t="inlineStr">
        <is>
          <t>213</t>
        </is>
      </c>
      <c r="B1845" s="4" t="n">
        <v>2</v>
      </c>
      <c r="C1845" s="4" t="inlineStr">
        <is>
          <t>whitetail</t>
        </is>
      </c>
      <c r="D1845" s="4" t="n">
        <v>2021</v>
      </c>
      <c r="E1845" s="13" t="inlineStr">
        <is>
          <t>General</t>
        </is>
      </c>
      <c r="F1845" s="5" t="n">
        <v>872</v>
      </c>
      <c r="G1845" s="5" t="n">
        <v>7684</v>
      </c>
      <c r="H1845" s="5" t="n">
        <v>197</v>
      </c>
      <c r="I1845" s="5" t="n">
        <v>81</v>
      </c>
      <c r="J1845" s="5" t="n">
        <v>115</v>
      </c>
      <c r="K1845" s="10">
        <f>IF(F1845&gt;0,H1845/F1845,"")</f>
        <v/>
      </c>
      <c r="L1845" s="16">
        <f>IF(AND(G1845&gt;0,H1845&gt;0),G1845/H1845,"")</f>
        <v/>
      </c>
    </row>
    <row r="1846">
      <c r="A1846" s="4" t="inlineStr">
        <is>
          <t>213</t>
        </is>
      </c>
      <c r="B1846" s="4" t="n">
        <v>2</v>
      </c>
      <c r="C1846" s="4" t="inlineStr">
        <is>
          <t>whitetail</t>
        </is>
      </c>
      <c r="D1846" s="4" t="n">
        <v>2022</v>
      </c>
      <c r="E1846" s="13" t="inlineStr">
        <is>
          <t>General</t>
        </is>
      </c>
      <c r="F1846" s="5" t="n"/>
      <c r="G1846" s="5" t="n"/>
      <c r="H1846" s="5" t="n">
        <v>176</v>
      </c>
      <c r="I1846" s="5" t="n">
        <v>84</v>
      </c>
      <c r="J1846" s="5" t="n">
        <v>92</v>
      </c>
      <c r="K1846" s="10">
        <f>IF(F1846&gt;0,H1846/F1846,"")</f>
        <v/>
      </c>
      <c r="L1846" s="16">
        <f>IF(AND(G1846&gt;0,H1846&gt;0),G1846/H1846,"")</f>
        <v/>
      </c>
    </row>
    <row r="1847">
      <c r="A1847" s="4" t="inlineStr">
        <is>
          <t>213</t>
        </is>
      </c>
      <c r="B1847" s="4" t="n">
        <v>2</v>
      </c>
      <c r="C1847" s="4" t="inlineStr">
        <is>
          <t>whitetail</t>
        </is>
      </c>
      <c r="D1847" s="4" t="n">
        <v>2023</v>
      </c>
      <c r="E1847" s="13" t="inlineStr">
        <is>
          <t>General</t>
        </is>
      </c>
      <c r="F1847" s="5" t="n">
        <v>1105</v>
      </c>
      <c r="G1847" s="5" t="n">
        <v>9534</v>
      </c>
      <c r="H1847" s="5" t="n">
        <v>188</v>
      </c>
      <c r="I1847" s="5" t="n">
        <v>93</v>
      </c>
      <c r="J1847" s="5" t="n">
        <v>94</v>
      </c>
      <c r="K1847" s="10">
        <f>IF(F1847&gt;0,H1847/F1847,"")</f>
        <v/>
      </c>
      <c r="L1847" s="16">
        <f>IF(AND(G1847&gt;0,H1847&gt;0),G1847/H1847,"")</f>
        <v/>
      </c>
    </row>
    <row r="1848">
      <c r="A1848" s="4" t="inlineStr">
        <is>
          <t>213</t>
        </is>
      </c>
      <c r="B1848" s="4" t="n">
        <v>2</v>
      </c>
      <c r="C1848" s="4" t="inlineStr">
        <is>
          <t>whitetail</t>
        </is>
      </c>
      <c r="D1848" s="4" t="n">
        <v>2024</v>
      </c>
      <c r="E1848" s="13" t="inlineStr">
        <is>
          <t>General</t>
        </is>
      </c>
      <c r="F1848" s="5" t="n"/>
      <c r="G1848" s="5" t="n"/>
      <c r="H1848" s="5" t="n">
        <v>156</v>
      </c>
      <c r="I1848" s="5" t="n">
        <v>86</v>
      </c>
      <c r="J1848" s="5" t="n">
        <v>70</v>
      </c>
      <c r="K1848" s="10">
        <f>IF(F1848&gt;0,H1848/F1848,"")</f>
        <v/>
      </c>
      <c r="L1848" s="16">
        <f>IF(AND(G1848&gt;0,H1848&gt;0),G1848/H1848,"")</f>
        <v/>
      </c>
    </row>
    <row r="1849">
      <c r="A1849" s="4" t="inlineStr">
        <is>
          <t>213</t>
        </is>
      </c>
      <c r="B1849" s="4" t="n">
        <v>2</v>
      </c>
      <c r="C1849" s="4" t="inlineStr">
        <is>
          <t>whitetail</t>
        </is>
      </c>
      <c r="D1849" s="4" t="n">
        <v>2025</v>
      </c>
      <c r="E1849" s="13" t="inlineStr">
        <is>
          <t>General</t>
        </is>
      </c>
      <c r="F1849" s="5" t="n">
        <v>1178</v>
      </c>
      <c r="G1849" s="5" t="n">
        <v>9366</v>
      </c>
      <c r="H1849" s="5" t="n">
        <v>138</v>
      </c>
      <c r="I1849" s="5" t="n">
        <v>58</v>
      </c>
      <c r="J1849" s="5" t="n">
        <v>80</v>
      </c>
      <c r="K1849" s="10">
        <f>IF(F1849&gt;0,H1849/F1849,"")</f>
        <v/>
      </c>
      <c r="L1849" s="16">
        <f>IF(AND(G1849&gt;0,H1849&gt;0),G1849/H1849,"")</f>
        <v/>
      </c>
    </row>
    <row r="1850">
      <c r="A1850" s="4" t="inlineStr">
        <is>
          <t>214</t>
        </is>
      </c>
      <c r="B1850" s="4" t="n">
        <v>2</v>
      </c>
      <c r="C1850" s="4" t="inlineStr">
        <is>
          <t>whitetail</t>
        </is>
      </c>
      <c r="D1850" s="4" t="n">
        <v>2021</v>
      </c>
      <c r="E1850" s="13" t="inlineStr">
        <is>
          <t>General</t>
        </is>
      </c>
      <c r="F1850" s="5" t="n">
        <v>149</v>
      </c>
      <c r="G1850" s="5" t="n">
        <v>1200</v>
      </c>
      <c r="H1850" s="5" t="n">
        <v>16</v>
      </c>
      <c r="I1850" s="5" t="n">
        <v>8</v>
      </c>
      <c r="J1850" s="5" t="n">
        <v>8</v>
      </c>
      <c r="K1850" s="10">
        <f>IF(F1850&gt;0,H1850/F1850,"")</f>
        <v/>
      </c>
      <c r="L1850" s="16">
        <f>IF(AND(G1850&gt;0,H1850&gt;0),G1850/H1850,"")</f>
        <v/>
      </c>
    </row>
    <row r="1851">
      <c r="A1851" s="4" t="inlineStr">
        <is>
          <t>214</t>
        </is>
      </c>
      <c r="B1851" s="4" t="n">
        <v>2</v>
      </c>
      <c r="C1851" s="4" t="inlineStr">
        <is>
          <t>whitetail</t>
        </is>
      </c>
      <c r="D1851" s="4" t="n">
        <v>2022</v>
      </c>
      <c r="E1851" s="13" t="inlineStr">
        <is>
          <t>General</t>
        </is>
      </c>
      <c r="F1851" s="5" t="n"/>
      <c r="G1851" s="5" t="n"/>
      <c r="H1851" s="5" t="n">
        <v>53</v>
      </c>
      <c r="I1851" s="5" t="n">
        <v>40</v>
      </c>
      <c r="J1851" s="5" t="n">
        <v>13</v>
      </c>
      <c r="K1851" s="10">
        <f>IF(F1851&gt;0,H1851/F1851,"")</f>
        <v/>
      </c>
      <c r="L1851" s="16">
        <f>IF(AND(G1851&gt;0,H1851&gt;0),G1851/H1851,"")</f>
        <v/>
      </c>
    </row>
    <row r="1852">
      <c r="A1852" s="4" t="inlineStr">
        <is>
          <t>214</t>
        </is>
      </c>
      <c r="B1852" s="4" t="n">
        <v>2</v>
      </c>
      <c r="C1852" s="4" t="inlineStr">
        <is>
          <t>whitetail</t>
        </is>
      </c>
      <c r="D1852" s="4" t="n">
        <v>2023</v>
      </c>
      <c r="E1852" s="13" t="inlineStr">
        <is>
          <t>General</t>
        </is>
      </c>
      <c r="F1852" s="5" t="n">
        <v>334</v>
      </c>
      <c r="G1852" s="5" t="n">
        <v>2362</v>
      </c>
      <c r="H1852" s="5" t="n">
        <v>37</v>
      </c>
      <c r="I1852" s="5" t="n">
        <v>37</v>
      </c>
      <c r="J1852" s="5" t="n">
        <v>0</v>
      </c>
      <c r="K1852" s="10">
        <f>IF(F1852&gt;0,H1852/F1852,"")</f>
        <v/>
      </c>
      <c r="L1852" s="16">
        <f>IF(AND(G1852&gt;0,H1852&gt;0),G1852/H1852,"")</f>
        <v/>
      </c>
    </row>
    <row r="1853">
      <c r="A1853" s="4" t="inlineStr">
        <is>
          <t>214</t>
        </is>
      </c>
      <c r="B1853" s="4" t="n">
        <v>2</v>
      </c>
      <c r="C1853" s="4" t="inlineStr">
        <is>
          <t>whitetail</t>
        </is>
      </c>
      <c r="D1853" s="4" t="n">
        <v>2024</v>
      </c>
      <c r="E1853" s="13" t="inlineStr">
        <is>
          <t>General</t>
        </is>
      </c>
      <c r="F1853" s="5" t="n"/>
      <c r="G1853" s="5" t="n"/>
      <c r="H1853" s="5" t="n">
        <v>52</v>
      </c>
      <c r="I1853" s="5" t="n">
        <v>42</v>
      </c>
      <c r="J1853" s="5" t="n">
        <v>9</v>
      </c>
      <c r="K1853" s="10">
        <f>IF(F1853&gt;0,H1853/F1853,"")</f>
        <v/>
      </c>
      <c r="L1853" s="16">
        <f>IF(AND(G1853&gt;0,H1853&gt;0),G1853/H1853,"")</f>
        <v/>
      </c>
    </row>
    <row r="1854">
      <c r="A1854" s="4" t="inlineStr">
        <is>
          <t>214</t>
        </is>
      </c>
      <c r="B1854" s="4" t="n">
        <v>2</v>
      </c>
      <c r="C1854" s="4" t="inlineStr">
        <is>
          <t>whitetail</t>
        </is>
      </c>
      <c r="D1854" s="4" t="n">
        <v>2025</v>
      </c>
      <c r="E1854" s="13" t="inlineStr">
        <is>
          <t>General</t>
        </is>
      </c>
      <c r="F1854" s="5" t="n">
        <v>360</v>
      </c>
      <c r="G1854" s="5" t="n">
        <v>2384</v>
      </c>
      <c r="H1854" s="5" t="n">
        <v>59</v>
      </c>
      <c r="I1854" s="5" t="n">
        <v>45</v>
      </c>
      <c r="J1854" s="5" t="n">
        <v>14</v>
      </c>
      <c r="K1854" s="10">
        <f>IF(F1854&gt;0,H1854/F1854,"")</f>
        <v/>
      </c>
      <c r="L1854" s="16">
        <f>IF(AND(G1854&gt;0,H1854&gt;0),G1854/H1854,"")</f>
        <v/>
      </c>
    </row>
    <row r="1855">
      <c r="A1855" s="4" t="inlineStr">
        <is>
          <t>215</t>
        </is>
      </c>
      <c r="B1855" s="4" t="n">
        <v>2</v>
      </c>
      <c r="C1855" s="4" t="inlineStr">
        <is>
          <t>whitetail</t>
        </is>
      </c>
      <c r="D1855" s="4" t="n">
        <v>2021</v>
      </c>
      <c r="E1855" s="13" t="inlineStr">
        <is>
          <t>General</t>
        </is>
      </c>
      <c r="F1855" s="5" t="n">
        <v>1080</v>
      </c>
      <c r="G1855" s="5" t="n">
        <v>8083</v>
      </c>
      <c r="H1855" s="5" t="n">
        <v>179</v>
      </c>
      <c r="I1855" s="5" t="n">
        <v>80</v>
      </c>
      <c r="J1855" s="5" t="n">
        <v>99</v>
      </c>
      <c r="K1855" s="10">
        <f>IF(F1855&gt;0,H1855/F1855,"")</f>
        <v/>
      </c>
      <c r="L1855" s="16">
        <f>IF(AND(G1855&gt;0,H1855&gt;0),G1855/H1855,"")</f>
        <v/>
      </c>
    </row>
    <row r="1856">
      <c r="A1856" s="4" t="inlineStr">
        <is>
          <t>215</t>
        </is>
      </c>
      <c r="B1856" s="4" t="n">
        <v>2</v>
      </c>
      <c r="C1856" s="4" t="inlineStr">
        <is>
          <t>whitetail</t>
        </is>
      </c>
      <c r="D1856" s="4" t="n">
        <v>2022</v>
      </c>
      <c r="E1856" s="13" t="inlineStr">
        <is>
          <t>General</t>
        </is>
      </c>
      <c r="F1856" s="5" t="n"/>
      <c r="G1856" s="5" t="n"/>
      <c r="H1856" s="5" t="n">
        <v>127</v>
      </c>
      <c r="I1856" s="5" t="n">
        <v>80</v>
      </c>
      <c r="J1856" s="5" t="n">
        <v>47</v>
      </c>
      <c r="K1856" s="10">
        <f>IF(F1856&gt;0,H1856/F1856,"")</f>
        <v/>
      </c>
      <c r="L1856" s="16">
        <f>IF(AND(G1856&gt;0,H1856&gt;0),G1856/H1856,"")</f>
        <v/>
      </c>
    </row>
    <row r="1857">
      <c r="A1857" s="4" t="inlineStr">
        <is>
          <t>215</t>
        </is>
      </c>
      <c r="B1857" s="4" t="n">
        <v>2</v>
      </c>
      <c r="C1857" s="4" t="inlineStr">
        <is>
          <t>whitetail</t>
        </is>
      </c>
      <c r="D1857" s="4" t="n">
        <v>2023</v>
      </c>
      <c r="E1857" s="13" t="inlineStr">
        <is>
          <t>General</t>
        </is>
      </c>
      <c r="F1857" s="5" t="n">
        <v>1324</v>
      </c>
      <c r="G1857" s="5" t="n">
        <v>10409</v>
      </c>
      <c r="H1857" s="5" t="n">
        <v>150</v>
      </c>
      <c r="I1857" s="5" t="n">
        <v>70</v>
      </c>
      <c r="J1857" s="5" t="n">
        <v>80</v>
      </c>
      <c r="K1857" s="10">
        <f>IF(F1857&gt;0,H1857/F1857,"")</f>
        <v/>
      </c>
      <c r="L1857" s="16">
        <f>IF(AND(G1857&gt;0,H1857&gt;0),G1857/H1857,"")</f>
        <v/>
      </c>
    </row>
    <row r="1858">
      <c r="A1858" s="4" t="inlineStr">
        <is>
          <t>215</t>
        </is>
      </c>
      <c r="B1858" s="4" t="n">
        <v>2</v>
      </c>
      <c r="C1858" s="4" t="inlineStr">
        <is>
          <t>whitetail</t>
        </is>
      </c>
      <c r="D1858" s="4" t="n">
        <v>2024</v>
      </c>
      <c r="E1858" s="13" t="inlineStr">
        <is>
          <t>General</t>
        </is>
      </c>
      <c r="F1858" s="5" t="n"/>
      <c r="G1858" s="5" t="n"/>
      <c r="H1858" s="5" t="n">
        <v>146</v>
      </c>
      <c r="I1858" s="5" t="n">
        <v>97</v>
      </c>
      <c r="J1858" s="5" t="n">
        <v>49</v>
      </c>
      <c r="K1858" s="10">
        <f>IF(F1858&gt;0,H1858/F1858,"")</f>
        <v/>
      </c>
      <c r="L1858" s="16">
        <f>IF(AND(G1858&gt;0,H1858&gt;0),G1858/H1858,"")</f>
        <v/>
      </c>
    </row>
    <row r="1859">
      <c r="A1859" s="4" t="inlineStr">
        <is>
          <t>215</t>
        </is>
      </c>
      <c r="B1859" s="4" t="n">
        <v>2</v>
      </c>
      <c r="C1859" s="4" t="inlineStr">
        <is>
          <t>whitetail</t>
        </is>
      </c>
      <c r="D1859" s="4" t="n">
        <v>2025</v>
      </c>
      <c r="E1859" s="13" t="inlineStr">
        <is>
          <t>General</t>
        </is>
      </c>
      <c r="F1859" s="5" t="n">
        <v>1406</v>
      </c>
      <c r="G1859" s="5" t="n">
        <v>10882</v>
      </c>
      <c r="H1859" s="5" t="n">
        <v>126</v>
      </c>
      <c r="I1859" s="5" t="n">
        <v>89</v>
      </c>
      <c r="J1859" s="5" t="n">
        <v>33</v>
      </c>
      <c r="K1859" s="10">
        <f>IF(F1859&gt;0,H1859/F1859,"")</f>
        <v/>
      </c>
      <c r="L1859" s="16">
        <f>IF(AND(G1859&gt;0,H1859&gt;0),G1859/H1859,"")</f>
        <v/>
      </c>
    </row>
    <row r="1860">
      <c r="A1860" s="4" t="inlineStr">
        <is>
          <t>216</t>
        </is>
      </c>
      <c r="B1860" s="4" t="n">
        <v>2</v>
      </c>
      <c r="C1860" s="4" t="inlineStr">
        <is>
          <t>whitetail</t>
        </is>
      </c>
      <c r="D1860" s="4" t="n">
        <v>2021</v>
      </c>
      <c r="E1860" s="13" t="inlineStr">
        <is>
          <t>General</t>
        </is>
      </c>
      <c r="F1860" s="5" t="n">
        <v>415</v>
      </c>
      <c r="G1860" s="5" t="n">
        <v>2786</v>
      </c>
      <c r="H1860" s="5" t="n">
        <v>68</v>
      </c>
      <c r="I1860" s="5" t="n">
        <v>44</v>
      </c>
      <c r="J1860" s="5" t="n">
        <v>24</v>
      </c>
      <c r="K1860" s="10">
        <f>IF(F1860&gt;0,H1860/F1860,"")</f>
        <v/>
      </c>
      <c r="L1860" s="16">
        <f>IF(AND(G1860&gt;0,H1860&gt;0),G1860/H1860,"")</f>
        <v/>
      </c>
    </row>
    <row r="1861">
      <c r="A1861" s="4" t="inlineStr">
        <is>
          <t>216</t>
        </is>
      </c>
      <c r="B1861" s="4" t="n">
        <v>2</v>
      </c>
      <c r="C1861" s="4" t="inlineStr">
        <is>
          <t>whitetail</t>
        </is>
      </c>
      <c r="D1861" s="4" t="n">
        <v>2022</v>
      </c>
      <c r="E1861" s="13" t="inlineStr">
        <is>
          <t>General</t>
        </is>
      </c>
      <c r="F1861" s="5" t="n"/>
      <c r="G1861" s="5" t="n"/>
      <c r="H1861" s="5" t="n">
        <v>98</v>
      </c>
      <c r="I1861" s="5" t="n">
        <v>63</v>
      </c>
      <c r="J1861" s="5" t="n">
        <v>35</v>
      </c>
      <c r="K1861" s="10">
        <f>IF(F1861&gt;0,H1861/F1861,"")</f>
        <v/>
      </c>
      <c r="L1861" s="16">
        <f>IF(AND(G1861&gt;0,H1861&gt;0),G1861/H1861,"")</f>
        <v/>
      </c>
    </row>
    <row r="1862">
      <c r="A1862" s="4" t="inlineStr">
        <is>
          <t>216</t>
        </is>
      </c>
      <c r="B1862" s="4" t="n">
        <v>2</v>
      </c>
      <c r="C1862" s="4" t="inlineStr">
        <is>
          <t>whitetail</t>
        </is>
      </c>
      <c r="D1862" s="4" t="n">
        <v>2023</v>
      </c>
      <c r="E1862" s="13" t="inlineStr">
        <is>
          <t>General</t>
        </is>
      </c>
      <c r="F1862" s="5" t="n">
        <v>476</v>
      </c>
      <c r="G1862" s="5" t="n">
        <v>2669</v>
      </c>
      <c r="H1862" s="5" t="n">
        <v>123</v>
      </c>
      <c r="I1862" s="5" t="n">
        <v>76</v>
      </c>
      <c r="J1862" s="5" t="n">
        <v>45</v>
      </c>
      <c r="K1862" s="10">
        <f>IF(F1862&gt;0,H1862/F1862,"")</f>
        <v/>
      </c>
      <c r="L1862" s="16">
        <f>IF(AND(G1862&gt;0,H1862&gt;0),G1862/H1862,"")</f>
        <v/>
      </c>
    </row>
    <row r="1863">
      <c r="A1863" s="4" t="inlineStr">
        <is>
          <t>216</t>
        </is>
      </c>
      <c r="B1863" s="4" t="n">
        <v>2</v>
      </c>
      <c r="C1863" s="4" t="inlineStr">
        <is>
          <t>whitetail</t>
        </is>
      </c>
      <c r="D1863" s="4" t="n">
        <v>2024</v>
      </c>
      <c r="E1863" s="13" t="inlineStr">
        <is>
          <t>General</t>
        </is>
      </c>
      <c r="F1863" s="5" t="n"/>
      <c r="G1863" s="5" t="n"/>
      <c r="H1863" s="5" t="n">
        <v>105</v>
      </c>
      <c r="I1863" s="5" t="n">
        <v>67</v>
      </c>
      <c r="J1863" s="5" t="n">
        <v>36</v>
      </c>
      <c r="K1863" s="10">
        <f>IF(F1863&gt;0,H1863/F1863,"")</f>
        <v/>
      </c>
      <c r="L1863" s="16">
        <f>IF(AND(G1863&gt;0,H1863&gt;0),G1863/H1863,"")</f>
        <v/>
      </c>
    </row>
    <row r="1864">
      <c r="A1864" s="4" t="inlineStr">
        <is>
          <t>216</t>
        </is>
      </c>
      <c r="B1864" s="4" t="n">
        <v>2</v>
      </c>
      <c r="C1864" s="4" t="inlineStr">
        <is>
          <t>whitetail</t>
        </is>
      </c>
      <c r="D1864" s="4" t="n">
        <v>2025</v>
      </c>
      <c r="E1864" s="13" t="inlineStr">
        <is>
          <t>General</t>
        </is>
      </c>
      <c r="F1864" s="5" t="n">
        <v>500</v>
      </c>
      <c r="G1864" s="5" t="n">
        <v>3705</v>
      </c>
      <c r="H1864" s="5" t="n">
        <v>52</v>
      </c>
      <c r="I1864" s="5" t="n">
        <v>21</v>
      </c>
      <c r="J1864" s="5" t="n">
        <v>31</v>
      </c>
      <c r="K1864" s="10">
        <f>IF(F1864&gt;0,H1864/F1864,"")</f>
        <v/>
      </c>
      <c r="L1864" s="16">
        <f>IF(AND(G1864&gt;0,H1864&gt;0),G1864/H1864,"")</f>
        <v/>
      </c>
    </row>
    <row r="1865">
      <c r="A1865" s="4" t="inlineStr">
        <is>
          <t>217</t>
        </is>
      </c>
      <c r="B1865" s="4" t="n">
        <v>2</v>
      </c>
      <c r="C1865" s="4" t="inlineStr">
        <is>
          <t>whitetail</t>
        </is>
      </c>
      <c r="D1865" s="4" t="n">
        <v>2021</v>
      </c>
      <c r="E1865" s="13" t="inlineStr">
        <is>
          <t>General</t>
        </is>
      </c>
      <c r="F1865" s="5" t="n">
        <v>401</v>
      </c>
      <c r="G1865" s="5" t="n">
        <v>2834</v>
      </c>
      <c r="H1865" s="5" t="n">
        <v>88</v>
      </c>
      <c r="I1865" s="5" t="n">
        <v>41</v>
      </c>
      <c r="J1865" s="5" t="n">
        <v>43</v>
      </c>
      <c r="K1865" s="10">
        <f>IF(F1865&gt;0,H1865/F1865,"")</f>
        <v/>
      </c>
      <c r="L1865" s="16">
        <f>IF(AND(G1865&gt;0,H1865&gt;0),G1865/H1865,"")</f>
        <v/>
      </c>
    </row>
    <row r="1866">
      <c r="A1866" s="4" t="inlineStr">
        <is>
          <t>217</t>
        </is>
      </c>
      <c r="B1866" s="4" t="n">
        <v>2</v>
      </c>
      <c r="C1866" s="4" t="inlineStr">
        <is>
          <t>whitetail</t>
        </is>
      </c>
      <c r="D1866" s="4" t="n">
        <v>2022</v>
      </c>
      <c r="E1866" s="13" t="inlineStr">
        <is>
          <t>General</t>
        </is>
      </c>
      <c r="F1866" s="5" t="n"/>
      <c r="G1866" s="5" t="n"/>
      <c r="H1866" s="5" t="n">
        <v>114</v>
      </c>
      <c r="I1866" s="5" t="n">
        <v>41</v>
      </c>
      <c r="J1866" s="5" t="n">
        <v>73</v>
      </c>
      <c r="K1866" s="10">
        <f>IF(F1866&gt;0,H1866/F1866,"")</f>
        <v/>
      </c>
      <c r="L1866" s="16">
        <f>IF(AND(G1866&gt;0,H1866&gt;0),G1866/H1866,"")</f>
        <v/>
      </c>
    </row>
    <row r="1867">
      <c r="A1867" s="4" t="inlineStr">
        <is>
          <t>217</t>
        </is>
      </c>
      <c r="B1867" s="4" t="n">
        <v>2</v>
      </c>
      <c r="C1867" s="4" t="inlineStr">
        <is>
          <t>whitetail</t>
        </is>
      </c>
      <c r="D1867" s="4" t="n">
        <v>2023</v>
      </c>
      <c r="E1867" s="13" t="inlineStr">
        <is>
          <t>General</t>
        </is>
      </c>
      <c r="F1867" s="5" t="n">
        <v>508</v>
      </c>
      <c r="G1867" s="5" t="n">
        <v>3229</v>
      </c>
      <c r="H1867" s="5" t="n">
        <v>105</v>
      </c>
      <c r="I1867" s="5" t="n">
        <v>70</v>
      </c>
      <c r="J1867" s="5" t="n">
        <v>36</v>
      </c>
      <c r="K1867" s="10">
        <f>IF(F1867&gt;0,H1867/F1867,"")</f>
        <v/>
      </c>
      <c r="L1867" s="16">
        <f>IF(AND(G1867&gt;0,H1867&gt;0),G1867/H1867,"")</f>
        <v/>
      </c>
    </row>
    <row r="1868">
      <c r="A1868" s="4" t="inlineStr">
        <is>
          <t>217</t>
        </is>
      </c>
      <c r="B1868" s="4" t="n">
        <v>2</v>
      </c>
      <c r="C1868" s="4" t="inlineStr">
        <is>
          <t>whitetail</t>
        </is>
      </c>
      <c r="D1868" s="4" t="n">
        <v>2024</v>
      </c>
      <c r="E1868" s="13" t="inlineStr">
        <is>
          <t>General</t>
        </is>
      </c>
      <c r="F1868" s="5" t="n"/>
      <c r="G1868" s="5" t="n"/>
      <c r="H1868" s="5" t="n">
        <v>97</v>
      </c>
      <c r="I1868" s="5" t="n">
        <v>46</v>
      </c>
      <c r="J1868" s="5" t="n">
        <v>51</v>
      </c>
      <c r="K1868" s="10">
        <f>IF(F1868&gt;0,H1868/F1868,"")</f>
        <v/>
      </c>
      <c r="L1868" s="16">
        <f>IF(AND(G1868&gt;0,H1868&gt;0),G1868/H1868,"")</f>
        <v/>
      </c>
    </row>
    <row r="1869">
      <c r="A1869" s="4" t="inlineStr">
        <is>
          <t>217</t>
        </is>
      </c>
      <c r="B1869" s="4" t="n">
        <v>2</v>
      </c>
      <c r="C1869" s="4" t="inlineStr">
        <is>
          <t>whitetail</t>
        </is>
      </c>
      <c r="D1869" s="4" t="n">
        <v>2025</v>
      </c>
      <c r="E1869" s="13" t="inlineStr">
        <is>
          <t>General</t>
        </is>
      </c>
      <c r="F1869" s="5" t="n">
        <v>486</v>
      </c>
      <c r="G1869" s="5" t="n">
        <v>3268</v>
      </c>
      <c r="H1869" s="5" t="n">
        <v>98</v>
      </c>
      <c r="I1869" s="5" t="n">
        <v>49</v>
      </c>
      <c r="J1869" s="5" t="n">
        <v>50</v>
      </c>
      <c r="K1869" s="10">
        <f>IF(F1869&gt;0,H1869/F1869,"")</f>
        <v/>
      </c>
      <c r="L1869" s="16">
        <f>IF(AND(G1869&gt;0,H1869&gt;0),G1869/H1869,"")</f>
        <v/>
      </c>
    </row>
    <row r="1870">
      <c r="A1870" s="4" t="inlineStr">
        <is>
          <t>240</t>
        </is>
      </c>
      <c r="B1870" s="4" t="n">
        <v>2</v>
      </c>
      <c r="C1870" s="4" t="inlineStr">
        <is>
          <t>whitetail</t>
        </is>
      </c>
      <c r="D1870" s="4" t="n">
        <v>2021</v>
      </c>
      <c r="E1870" s="13" t="inlineStr">
        <is>
          <t>General</t>
        </is>
      </c>
      <c r="F1870" s="5" t="n">
        <v>1993</v>
      </c>
      <c r="G1870" s="5" t="n">
        <v>12889</v>
      </c>
      <c r="H1870" s="5" t="n">
        <v>763</v>
      </c>
      <c r="I1870" s="5" t="n">
        <v>584</v>
      </c>
      <c r="J1870" s="5" t="n">
        <v>179</v>
      </c>
      <c r="K1870" s="10">
        <f>IF(F1870&gt;0,H1870/F1870,"")</f>
        <v/>
      </c>
      <c r="L1870" s="16">
        <f>IF(AND(G1870&gt;0,H1870&gt;0),G1870/H1870,"")</f>
        <v/>
      </c>
    </row>
    <row r="1871">
      <c r="A1871" s="4" t="inlineStr">
        <is>
          <t>240</t>
        </is>
      </c>
      <c r="B1871" s="4" t="n">
        <v>2</v>
      </c>
      <c r="C1871" s="4" t="inlineStr">
        <is>
          <t>whitetail</t>
        </is>
      </c>
      <c r="D1871" s="4" t="n">
        <v>2022</v>
      </c>
      <c r="E1871" s="13" t="inlineStr">
        <is>
          <t>General</t>
        </is>
      </c>
      <c r="F1871" s="5" t="n"/>
      <c r="G1871" s="5" t="n"/>
      <c r="H1871" s="5" t="n">
        <v>763</v>
      </c>
      <c r="I1871" s="5" t="n">
        <v>541</v>
      </c>
      <c r="J1871" s="5" t="n">
        <v>223</v>
      </c>
      <c r="K1871" s="10">
        <f>IF(F1871&gt;0,H1871/F1871,"")</f>
        <v/>
      </c>
      <c r="L1871" s="16">
        <f>IF(AND(G1871&gt;0,H1871&gt;0),G1871/H1871,"")</f>
        <v/>
      </c>
    </row>
    <row r="1872">
      <c r="A1872" s="4" t="inlineStr">
        <is>
          <t>240</t>
        </is>
      </c>
      <c r="B1872" s="4" t="n">
        <v>2</v>
      </c>
      <c r="C1872" s="4" t="inlineStr">
        <is>
          <t>whitetail</t>
        </is>
      </c>
      <c r="D1872" s="4" t="n">
        <v>2023</v>
      </c>
      <c r="E1872" s="13" t="inlineStr">
        <is>
          <t>General</t>
        </is>
      </c>
      <c r="F1872" s="5" t="n">
        <v>2226</v>
      </c>
      <c r="G1872" s="5" t="n">
        <v>15797</v>
      </c>
      <c r="H1872" s="5" t="n">
        <v>871</v>
      </c>
      <c r="I1872" s="5" t="n">
        <v>621</v>
      </c>
      <c r="J1872" s="5" t="n">
        <v>247</v>
      </c>
      <c r="K1872" s="10">
        <f>IF(F1872&gt;0,H1872/F1872,"")</f>
        <v/>
      </c>
      <c r="L1872" s="16">
        <f>IF(AND(G1872&gt;0,H1872&gt;0),G1872/H1872,"")</f>
        <v/>
      </c>
    </row>
    <row r="1873">
      <c r="A1873" s="4" t="inlineStr">
        <is>
          <t>240</t>
        </is>
      </c>
      <c r="B1873" s="4" t="n">
        <v>2</v>
      </c>
      <c r="C1873" s="4" t="inlineStr">
        <is>
          <t>whitetail</t>
        </is>
      </c>
      <c r="D1873" s="4" t="n">
        <v>2024</v>
      </c>
      <c r="E1873" s="13" t="inlineStr">
        <is>
          <t>General</t>
        </is>
      </c>
      <c r="F1873" s="5" t="n"/>
      <c r="G1873" s="5" t="n"/>
      <c r="H1873" s="5" t="n">
        <v>776</v>
      </c>
      <c r="I1873" s="5" t="n">
        <v>563</v>
      </c>
      <c r="J1873" s="5" t="n">
        <v>213</v>
      </c>
      <c r="K1873" s="10">
        <f>IF(F1873&gt;0,H1873/F1873,"")</f>
        <v/>
      </c>
      <c r="L1873" s="16">
        <f>IF(AND(G1873&gt;0,H1873&gt;0),G1873/H1873,"")</f>
        <v/>
      </c>
    </row>
    <row r="1874">
      <c r="A1874" s="4" t="inlineStr">
        <is>
          <t>240</t>
        </is>
      </c>
      <c r="B1874" s="4" t="n">
        <v>2</v>
      </c>
      <c r="C1874" s="4" t="inlineStr">
        <is>
          <t>whitetail</t>
        </is>
      </c>
      <c r="D1874" s="4" t="n">
        <v>2025</v>
      </c>
      <c r="E1874" s="13" t="inlineStr">
        <is>
          <t>General</t>
        </is>
      </c>
      <c r="F1874" s="5" t="n">
        <v>2009</v>
      </c>
      <c r="G1874" s="5" t="n">
        <v>13438</v>
      </c>
      <c r="H1874" s="5" t="n">
        <v>640</v>
      </c>
      <c r="I1874" s="5" t="n">
        <v>441</v>
      </c>
      <c r="J1874" s="5" t="n">
        <v>198</v>
      </c>
      <c r="K1874" s="10">
        <f>IF(F1874&gt;0,H1874/F1874,"")</f>
        <v/>
      </c>
      <c r="L1874" s="16">
        <f>IF(AND(G1874&gt;0,H1874&gt;0),G1874/H1874,"")</f>
        <v/>
      </c>
    </row>
    <row r="1875">
      <c r="A1875" s="4" t="inlineStr">
        <is>
          <t>250</t>
        </is>
      </c>
      <c r="B1875" s="4" t="n">
        <v>2</v>
      </c>
      <c r="C1875" s="4" t="inlineStr">
        <is>
          <t>whitetail</t>
        </is>
      </c>
      <c r="D1875" s="4" t="n">
        <v>2021</v>
      </c>
      <c r="E1875" s="13" t="inlineStr">
        <is>
          <t>General</t>
        </is>
      </c>
      <c r="F1875" s="5" t="n">
        <v>328</v>
      </c>
      <c r="G1875" s="5" t="n">
        <v>2089</v>
      </c>
      <c r="H1875" s="5" t="n">
        <v>123</v>
      </c>
      <c r="I1875" s="5" t="n">
        <v>123</v>
      </c>
      <c r="J1875" s="5" t="n">
        <v>0</v>
      </c>
      <c r="K1875" s="10">
        <f>IF(F1875&gt;0,H1875/F1875,"")</f>
        <v/>
      </c>
      <c r="L1875" s="16">
        <f>IF(AND(G1875&gt;0,H1875&gt;0),G1875/H1875,"")</f>
        <v/>
      </c>
    </row>
    <row r="1876">
      <c r="A1876" s="4" t="inlineStr">
        <is>
          <t>250</t>
        </is>
      </c>
      <c r="B1876" s="4" t="n">
        <v>2</v>
      </c>
      <c r="C1876" s="4" t="inlineStr">
        <is>
          <t>whitetail</t>
        </is>
      </c>
      <c r="D1876" s="4" t="n">
        <v>2022</v>
      </c>
      <c r="E1876" s="13" t="inlineStr">
        <is>
          <t>General</t>
        </is>
      </c>
      <c r="F1876" s="5" t="n"/>
      <c r="G1876" s="5" t="n"/>
      <c r="H1876" s="5" t="n">
        <v>158</v>
      </c>
      <c r="I1876" s="5" t="n">
        <v>148</v>
      </c>
      <c r="J1876" s="5" t="n">
        <v>10</v>
      </c>
      <c r="K1876" s="10">
        <f>IF(F1876&gt;0,H1876/F1876,"")</f>
        <v/>
      </c>
      <c r="L1876" s="16">
        <f>IF(AND(G1876&gt;0,H1876&gt;0),G1876/H1876,"")</f>
        <v/>
      </c>
    </row>
    <row r="1877">
      <c r="A1877" s="4" t="inlineStr">
        <is>
          <t>250</t>
        </is>
      </c>
      <c r="B1877" s="4" t="n">
        <v>2</v>
      </c>
      <c r="C1877" s="4" t="inlineStr">
        <is>
          <t>whitetail</t>
        </is>
      </c>
      <c r="D1877" s="4" t="n">
        <v>2023</v>
      </c>
      <c r="E1877" s="13" t="inlineStr">
        <is>
          <t>General</t>
        </is>
      </c>
      <c r="F1877" s="5" t="n">
        <v>421</v>
      </c>
      <c r="G1877" s="5" t="n">
        <v>2640</v>
      </c>
      <c r="H1877" s="5" t="n">
        <v>165</v>
      </c>
      <c r="I1877" s="5" t="n">
        <v>144</v>
      </c>
      <c r="J1877" s="5" t="n">
        <v>21</v>
      </c>
      <c r="K1877" s="10">
        <f>IF(F1877&gt;0,H1877/F1877,"")</f>
        <v/>
      </c>
      <c r="L1877" s="16">
        <f>IF(AND(G1877&gt;0,H1877&gt;0),G1877/H1877,"")</f>
        <v/>
      </c>
    </row>
    <row r="1878">
      <c r="A1878" s="4" t="inlineStr">
        <is>
          <t>250</t>
        </is>
      </c>
      <c r="B1878" s="4" t="n">
        <v>2</v>
      </c>
      <c r="C1878" s="4" t="inlineStr">
        <is>
          <t>whitetail</t>
        </is>
      </c>
      <c r="D1878" s="4" t="n">
        <v>2024</v>
      </c>
      <c r="E1878" s="13" t="inlineStr">
        <is>
          <t>General</t>
        </is>
      </c>
      <c r="F1878" s="5" t="n"/>
      <c r="G1878" s="5" t="n"/>
      <c r="H1878" s="5" t="n">
        <v>155</v>
      </c>
      <c r="I1878" s="5" t="n">
        <v>136</v>
      </c>
      <c r="J1878" s="5" t="n">
        <v>19</v>
      </c>
      <c r="K1878" s="10">
        <f>IF(F1878&gt;0,H1878/F1878,"")</f>
        <v/>
      </c>
      <c r="L1878" s="16">
        <f>IF(AND(G1878&gt;0,H1878&gt;0),G1878/H1878,"")</f>
        <v/>
      </c>
    </row>
    <row r="1879">
      <c r="A1879" s="4" t="inlineStr">
        <is>
          <t>250</t>
        </is>
      </c>
      <c r="B1879" s="4" t="n">
        <v>2</v>
      </c>
      <c r="C1879" s="4" t="inlineStr">
        <is>
          <t>whitetail</t>
        </is>
      </c>
      <c r="D1879" s="4" t="n">
        <v>2025</v>
      </c>
      <c r="E1879" s="13" t="inlineStr">
        <is>
          <t>General</t>
        </is>
      </c>
      <c r="F1879" s="5" t="n">
        <v>449</v>
      </c>
      <c r="G1879" s="5" t="n">
        <v>3207</v>
      </c>
      <c r="H1879" s="5" t="n">
        <v>157</v>
      </c>
      <c r="I1879" s="5" t="n">
        <v>147</v>
      </c>
      <c r="J1879" s="5" t="n">
        <v>11</v>
      </c>
      <c r="K1879" s="10">
        <f>IF(F1879&gt;0,H1879/F1879,"")</f>
        <v/>
      </c>
      <c r="L1879" s="16">
        <f>IF(AND(G1879&gt;0,H1879&gt;0),G1879/H1879,"")</f>
        <v/>
      </c>
    </row>
    <row r="1880">
      <c r="A1880" s="4" t="inlineStr">
        <is>
          <t>260</t>
        </is>
      </c>
      <c r="B1880" s="4" t="n">
        <v>2</v>
      </c>
      <c r="C1880" s="4" t="inlineStr">
        <is>
          <t>whitetail</t>
        </is>
      </c>
      <c r="D1880" s="4" t="n">
        <v>2021</v>
      </c>
      <c r="E1880" s="13" t="inlineStr">
        <is>
          <t>General</t>
        </is>
      </c>
      <c r="F1880" s="5" t="n">
        <v>1014</v>
      </c>
      <c r="G1880" s="5" t="n">
        <v>8062</v>
      </c>
      <c r="H1880" s="5" t="n">
        <v>511</v>
      </c>
      <c r="I1880" s="5" t="n">
        <v>208</v>
      </c>
      <c r="J1880" s="5" t="n">
        <v>303</v>
      </c>
      <c r="K1880" s="10">
        <f>IF(F1880&gt;0,H1880/F1880,"")</f>
        <v/>
      </c>
      <c r="L1880" s="16">
        <f>IF(AND(G1880&gt;0,H1880&gt;0),G1880/H1880,"")</f>
        <v/>
      </c>
    </row>
    <row r="1881">
      <c r="A1881" s="4" t="inlineStr">
        <is>
          <t>260</t>
        </is>
      </c>
      <c r="B1881" s="4" t="n">
        <v>2</v>
      </c>
      <c r="C1881" s="4" t="inlineStr">
        <is>
          <t>whitetail</t>
        </is>
      </c>
      <c r="D1881" s="4" t="n">
        <v>2022</v>
      </c>
      <c r="E1881" s="13" t="inlineStr">
        <is>
          <t>General</t>
        </is>
      </c>
      <c r="F1881" s="5" t="n"/>
      <c r="G1881" s="5" t="n"/>
      <c r="H1881" s="5" t="n">
        <v>751</v>
      </c>
      <c r="I1881" s="5" t="n">
        <v>249</v>
      </c>
      <c r="J1881" s="5" t="n">
        <v>502</v>
      </c>
      <c r="K1881" s="10">
        <f>IF(F1881&gt;0,H1881/F1881,"")</f>
        <v/>
      </c>
      <c r="L1881" s="16">
        <f>IF(AND(G1881&gt;0,H1881&gt;0),G1881/H1881,"")</f>
        <v/>
      </c>
    </row>
    <row r="1882">
      <c r="A1882" s="4" t="inlineStr">
        <is>
          <t>260</t>
        </is>
      </c>
      <c r="B1882" s="4" t="n">
        <v>2</v>
      </c>
      <c r="C1882" s="4" t="inlineStr">
        <is>
          <t>whitetail</t>
        </is>
      </c>
      <c r="D1882" s="4" t="n">
        <v>2023</v>
      </c>
      <c r="E1882" s="13" t="inlineStr">
        <is>
          <t>General</t>
        </is>
      </c>
      <c r="F1882" s="5" t="n">
        <v>1092</v>
      </c>
      <c r="G1882" s="5" t="n">
        <v>10053</v>
      </c>
      <c r="H1882" s="5" t="n">
        <v>542</v>
      </c>
      <c r="I1882" s="5" t="n">
        <v>208</v>
      </c>
      <c r="J1882" s="5" t="n">
        <v>334</v>
      </c>
      <c r="K1882" s="10">
        <f>IF(F1882&gt;0,H1882/F1882,"")</f>
        <v/>
      </c>
      <c r="L1882" s="16">
        <f>IF(AND(G1882&gt;0,H1882&gt;0),G1882/H1882,"")</f>
        <v/>
      </c>
    </row>
    <row r="1883">
      <c r="A1883" s="4" t="inlineStr">
        <is>
          <t>260</t>
        </is>
      </c>
      <c r="B1883" s="4" t="n">
        <v>2</v>
      </c>
      <c r="C1883" s="4" t="inlineStr">
        <is>
          <t>whitetail</t>
        </is>
      </c>
      <c r="D1883" s="4" t="n">
        <v>2024</v>
      </c>
      <c r="E1883" s="13" t="inlineStr">
        <is>
          <t>General</t>
        </is>
      </c>
      <c r="F1883" s="5" t="n"/>
      <c r="G1883" s="5" t="n"/>
      <c r="H1883" s="5" t="n">
        <v>736</v>
      </c>
      <c r="I1883" s="5" t="n">
        <v>234</v>
      </c>
      <c r="J1883" s="5" t="n">
        <v>502</v>
      </c>
      <c r="K1883" s="10">
        <f>IF(F1883&gt;0,H1883/F1883,"")</f>
        <v/>
      </c>
      <c r="L1883" s="16">
        <f>IF(AND(G1883&gt;0,H1883&gt;0),G1883/H1883,"")</f>
        <v/>
      </c>
    </row>
    <row r="1884">
      <c r="A1884" s="4" t="inlineStr">
        <is>
          <t>260</t>
        </is>
      </c>
      <c r="B1884" s="4" t="n">
        <v>2</v>
      </c>
      <c r="C1884" s="4" t="inlineStr">
        <is>
          <t>whitetail</t>
        </is>
      </c>
      <c r="D1884" s="4" t="n">
        <v>2025</v>
      </c>
      <c r="E1884" s="13" t="inlineStr">
        <is>
          <t>General</t>
        </is>
      </c>
      <c r="F1884" s="5" t="n">
        <v>1130</v>
      </c>
      <c r="G1884" s="5" t="n">
        <v>9167</v>
      </c>
      <c r="H1884" s="5" t="n">
        <v>633</v>
      </c>
      <c r="I1884" s="5" t="n">
        <v>215</v>
      </c>
      <c r="J1884" s="5" t="n">
        <v>413</v>
      </c>
      <c r="K1884" s="10">
        <f>IF(F1884&gt;0,H1884/F1884,"")</f>
        <v/>
      </c>
      <c r="L1884" s="16">
        <f>IF(AND(G1884&gt;0,H1884&gt;0),G1884/H1884,"")</f>
        <v/>
      </c>
    </row>
    <row r="1885">
      <c r="A1885" s="4" t="inlineStr">
        <is>
          <t>261</t>
        </is>
      </c>
      <c r="B1885" s="4" t="n">
        <v>2</v>
      </c>
      <c r="C1885" s="4" t="inlineStr">
        <is>
          <t>whitetail</t>
        </is>
      </c>
      <c r="D1885" s="4" t="n">
        <v>2021</v>
      </c>
      <c r="E1885" s="13" t="inlineStr">
        <is>
          <t>General</t>
        </is>
      </c>
      <c r="F1885" s="5" t="n">
        <v>379</v>
      </c>
      <c r="G1885" s="5" t="n">
        <v>2616</v>
      </c>
      <c r="H1885" s="5" t="n">
        <v>117</v>
      </c>
      <c r="I1885" s="5" t="n">
        <v>79</v>
      </c>
      <c r="J1885" s="5" t="n">
        <v>38</v>
      </c>
      <c r="K1885" s="10">
        <f>IF(F1885&gt;0,H1885/F1885,"")</f>
        <v/>
      </c>
      <c r="L1885" s="16">
        <f>IF(AND(G1885&gt;0,H1885&gt;0),G1885/H1885,"")</f>
        <v/>
      </c>
    </row>
    <row r="1886">
      <c r="A1886" s="4" t="inlineStr">
        <is>
          <t>261</t>
        </is>
      </c>
      <c r="B1886" s="4" t="n">
        <v>2</v>
      </c>
      <c r="C1886" s="4" t="inlineStr">
        <is>
          <t>whitetail</t>
        </is>
      </c>
      <c r="D1886" s="4" t="n">
        <v>2022</v>
      </c>
      <c r="E1886" s="13" t="inlineStr">
        <is>
          <t>General</t>
        </is>
      </c>
      <c r="F1886" s="5" t="n"/>
      <c r="G1886" s="5" t="n"/>
      <c r="H1886" s="5" t="n">
        <v>160</v>
      </c>
      <c r="I1886" s="5" t="n">
        <v>116</v>
      </c>
      <c r="J1886" s="5" t="n">
        <v>44</v>
      </c>
      <c r="K1886" s="10">
        <f>IF(F1886&gt;0,H1886/F1886,"")</f>
        <v/>
      </c>
      <c r="L1886" s="16">
        <f>IF(AND(G1886&gt;0,H1886&gt;0),G1886/H1886,"")</f>
        <v/>
      </c>
    </row>
    <row r="1887">
      <c r="A1887" s="4" t="inlineStr">
        <is>
          <t>261</t>
        </is>
      </c>
      <c r="B1887" s="4" t="n">
        <v>2</v>
      </c>
      <c r="C1887" s="4" t="inlineStr">
        <is>
          <t>whitetail</t>
        </is>
      </c>
      <c r="D1887" s="4" t="n">
        <v>2023</v>
      </c>
      <c r="E1887" s="13" t="inlineStr">
        <is>
          <t>General</t>
        </is>
      </c>
      <c r="F1887" s="5" t="n">
        <v>500</v>
      </c>
      <c r="G1887" s="5" t="n">
        <v>3392</v>
      </c>
      <c r="H1887" s="5" t="n">
        <v>177</v>
      </c>
      <c r="I1887" s="5" t="n">
        <v>135</v>
      </c>
      <c r="J1887" s="5" t="n">
        <v>42</v>
      </c>
      <c r="K1887" s="10">
        <f>IF(F1887&gt;0,H1887/F1887,"")</f>
        <v/>
      </c>
      <c r="L1887" s="16">
        <f>IF(AND(G1887&gt;0,H1887&gt;0),G1887/H1887,"")</f>
        <v/>
      </c>
    </row>
    <row r="1888">
      <c r="A1888" s="4" t="inlineStr">
        <is>
          <t>261</t>
        </is>
      </c>
      <c r="B1888" s="4" t="n">
        <v>2</v>
      </c>
      <c r="C1888" s="4" t="inlineStr">
        <is>
          <t>whitetail</t>
        </is>
      </c>
      <c r="D1888" s="4" t="n">
        <v>2024</v>
      </c>
      <c r="E1888" s="13" t="inlineStr">
        <is>
          <t>General</t>
        </is>
      </c>
      <c r="F1888" s="5" t="n"/>
      <c r="G1888" s="5" t="n"/>
      <c r="H1888" s="5" t="n">
        <v>132</v>
      </c>
      <c r="I1888" s="5" t="n">
        <v>99</v>
      </c>
      <c r="J1888" s="5" t="n">
        <v>33</v>
      </c>
      <c r="K1888" s="10">
        <f>IF(F1888&gt;0,H1888/F1888,"")</f>
        <v/>
      </c>
      <c r="L1888" s="16">
        <f>IF(AND(G1888&gt;0,H1888&gt;0),G1888/H1888,"")</f>
        <v/>
      </c>
    </row>
    <row r="1889">
      <c r="A1889" s="4" t="inlineStr">
        <is>
          <t>261</t>
        </is>
      </c>
      <c r="B1889" s="4" t="n">
        <v>2</v>
      </c>
      <c r="C1889" s="4" t="inlineStr">
        <is>
          <t>whitetail</t>
        </is>
      </c>
      <c r="D1889" s="4" t="n">
        <v>2025</v>
      </c>
      <c r="E1889" s="13" t="inlineStr">
        <is>
          <t>General</t>
        </is>
      </c>
      <c r="F1889" s="5" t="n">
        <v>486</v>
      </c>
      <c r="G1889" s="5" t="n">
        <v>2952</v>
      </c>
      <c r="H1889" s="5" t="n">
        <v>174</v>
      </c>
      <c r="I1889" s="5" t="n">
        <v>140</v>
      </c>
      <c r="J1889" s="5" t="n">
        <v>34</v>
      </c>
      <c r="K1889" s="10">
        <f>IF(F1889&gt;0,H1889/F1889,"")</f>
        <v/>
      </c>
      <c r="L1889" s="16">
        <f>IF(AND(G1889&gt;0,H1889&gt;0),G1889/H1889,"")</f>
        <v/>
      </c>
    </row>
    <row r="1890">
      <c r="A1890" s="4" t="inlineStr">
        <is>
          <t>262</t>
        </is>
      </c>
      <c r="B1890" s="4" t="n">
        <v>2</v>
      </c>
      <c r="C1890" s="4" t="inlineStr">
        <is>
          <t>whitetail</t>
        </is>
      </c>
      <c r="D1890" s="4" t="n">
        <v>2021</v>
      </c>
      <c r="E1890" s="13" t="inlineStr">
        <is>
          <t>General</t>
        </is>
      </c>
      <c r="F1890" s="5" t="n">
        <v>706</v>
      </c>
      <c r="G1890" s="5" t="n">
        <v>5017</v>
      </c>
      <c r="H1890" s="5" t="n">
        <v>303</v>
      </c>
      <c r="I1890" s="5" t="n">
        <v>174</v>
      </c>
      <c r="J1890" s="5" t="n">
        <v>124</v>
      </c>
      <c r="K1890" s="10">
        <f>IF(F1890&gt;0,H1890/F1890,"")</f>
        <v/>
      </c>
      <c r="L1890" s="16">
        <f>IF(AND(G1890&gt;0,H1890&gt;0),G1890/H1890,"")</f>
        <v/>
      </c>
    </row>
    <row r="1891">
      <c r="A1891" s="4" t="inlineStr">
        <is>
          <t>262</t>
        </is>
      </c>
      <c r="B1891" s="4" t="n">
        <v>2</v>
      </c>
      <c r="C1891" s="4" t="inlineStr">
        <is>
          <t>whitetail</t>
        </is>
      </c>
      <c r="D1891" s="4" t="n">
        <v>2022</v>
      </c>
      <c r="E1891" s="13" t="inlineStr">
        <is>
          <t>General</t>
        </is>
      </c>
      <c r="F1891" s="5" t="n"/>
      <c r="G1891" s="5" t="n"/>
      <c r="H1891" s="5" t="n">
        <v>427</v>
      </c>
      <c r="I1891" s="5" t="n">
        <v>252</v>
      </c>
      <c r="J1891" s="5" t="n">
        <v>175</v>
      </c>
      <c r="K1891" s="10">
        <f>IF(F1891&gt;0,H1891/F1891,"")</f>
        <v/>
      </c>
      <c r="L1891" s="16">
        <f>IF(AND(G1891&gt;0,H1891&gt;0),G1891/H1891,"")</f>
        <v/>
      </c>
    </row>
    <row r="1892">
      <c r="A1892" s="4" t="inlineStr">
        <is>
          <t>262</t>
        </is>
      </c>
      <c r="B1892" s="4" t="n">
        <v>2</v>
      </c>
      <c r="C1892" s="4" t="inlineStr">
        <is>
          <t>whitetail</t>
        </is>
      </c>
      <c r="D1892" s="4" t="n">
        <v>2023</v>
      </c>
      <c r="E1892" s="13" t="inlineStr">
        <is>
          <t>General</t>
        </is>
      </c>
      <c r="F1892" s="5" t="n">
        <v>748</v>
      </c>
      <c r="G1892" s="5" t="n">
        <v>5534</v>
      </c>
      <c r="H1892" s="5" t="n">
        <v>488</v>
      </c>
      <c r="I1892" s="5" t="n">
        <v>263</v>
      </c>
      <c r="J1892" s="5" t="n">
        <v>216</v>
      </c>
      <c r="K1892" s="10">
        <f>IF(F1892&gt;0,H1892/F1892,"")</f>
        <v/>
      </c>
      <c r="L1892" s="16">
        <f>IF(AND(G1892&gt;0,H1892&gt;0),G1892/H1892,"")</f>
        <v/>
      </c>
    </row>
    <row r="1893">
      <c r="A1893" s="4" t="inlineStr">
        <is>
          <t>262</t>
        </is>
      </c>
      <c r="B1893" s="4" t="n">
        <v>2</v>
      </c>
      <c r="C1893" s="4" t="inlineStr">
        <is>
          <t>whitetail</t>
        </is>
      </c>
      <c r="D1893" s="4" t="n">
        <v>2024</v>
      </c>
      <c r="E1893" s="13" t="inlineStr">
        <is>
          <t>General</t>
        </is>
      </c>
      <c r="F1893" s="5" t="n"/>
      <c r="G1893" s="5" t="n"/>
      <c r="H1893" s="5" t="n">
        <v>405</v>
      </c>
      <c r="I1893" s="5" t="n">
        <v>232</v>
      </c>
      <c r="J1893" s="5" t="n">
        <v>173</v>
      </c>
      <c r="K1893" s="10">
        <f>IF(F1893&gt;0,H1893/F1893,"")</f>
        <v/>
      </c>
      <c r="L1893" s="16">
        <f>IF(AND(G1893&gt;0,H1893&gt;0),G1893/H1893,"")</f>
        <v/>
      </c>
    </row>
    <row r="1894">
      <c r="A1894" s="4" t="inlineStr">
        <is>
          <t>262</t>
        </is>
      </c>
      <c r="B1894" s="4" t="n">
        <v>2</v>
      </c>
      <c r="C1894" s="4" t="inlineStr">
        <is>
          <t>whitetail</t>
        </is>
      </c>
      <c r="D1894" s="4" t="n">
        <v>2025</v>
      </c>
      <c r="E1894" s="13" t="inlineStr">
        <is>
          <t>General</t>
        </is>
      </c>
      <c r="F1894" s="5" t="n">
        <v>804</v>
      </c>
      <c r="G1894" s="5" t="n">
        <v>5230</v>
      </c>
      <c r="H1894" s="5" t="n">
        <v>327</v>
      </c>
      <c r="I1894" s="5" t="n">
        <v>172</v>
      </c>
      <c r="J1894" s="5" t="n">
        <v>155</v>
      </c>
      <c r="K1894" s="10">
        <f>IF(F1894&gt;0,H1894/F1894,"")</f>
        <v/>
      </c>
      <c r="L1894" s="16">
        <f>IF(AND(G1894&gt;0,H1894&gt;0),G1894/H1894,"")</f>
        <v/>
      </c>
    </row>
    <row r="1895">
      <c r="A1895" s="4" t="inlineStr">
        <is>
          <t>270</t>
        </is>
      </c>
      <c r="B1895" s="4" t="n">
        <v>2</v>
      </c>
      <c r="C1895" s="4" t="inlineStr">
        <is>
          <t>whitetail</t>
        </is>
      </c>
      <c r="D1895" s="4" t="n">
        <v>2021</v>
      </c>
      <c r="E1895" s="13" t="inlineStr">
        <is>
          <t>General</t>
        </is>
      </c>
      <c r="F1895" s="5" t="n">
        <v>1501</v>
      </c>
      <c r="G1895" s="5" t="n">
        <v>12220</v>
      </c>
      <c r="H1895" s="5" t="n">
        <v>293</v>
      </c>
      <c r="I1895" s="5" t="n">
        <v>221</v>
      </c>
      <c r="J1895" s="5" t="n">
        <v>72</v>
      </c>
      <c r="K1895" s="10">
        <f>IF(F1895&gt;0,H1895/F1895,"")</f>
        <v/>
      </c>
      <c r="L1895" s="16">
        <f>IF(AND(G1895&gt;0,H1895&gt;0),G1895/H1895,"")</f>
        <v/>
      </c>
    </row>
    <row r="1896">
      <c r="A1896" s="4" t="inlineStr">
        <is>
          <t>270</t>
        </is>
      </c>
      <c r="B1896" s="4" t="n">
        <v>2</v>
      </c>
      <c r="C1896" s="4" t="inlineStr">
        <is>
          <t>whitetail</t>
        </is>
      </c>
      <c r="D1896" s="4" t="n">
        <v>2022</v>
      </c>
      <c r="E1896" s="13" t="inlineStr">
        <is>
          <t>General</t>
        </is>
      </c>
      <c r="F1896" s="5" t="n"/>
      <c r="G1896" s="5" t="n"/>
      <c r="H1896" s="5" t="n">
        <v>279</v>
      </c>
      <c r="I1896" s="5" t="n">
        <v>215</v>
      </c>
      <c r="J1896" s="5" t="n">
        <v>64</v>
      </c>
      <c r="K1896" s="10">
        <f>IF(F1896&gt;0,H1896/F1896,"")</f>
        <v/>
      </c>
      <c r="L1896" s="16">
        <f>IF(AND(G1896&gt;0,H1896&gt;0),G1896/H1896,"")</f>
        <v/>
      </c>
    </row>
    <row r="1897">
      <c r="A1897" s="4" t="inlineStr">
        <is>
          <t>270</t>
        </is>
      </c>
      <c r="B1897" s="4" t="n">
        <v>2</v>
      </c>
      <c r="C1897" s="4" t="inlineStr">
        <is>
          <t>whitetail</t>
        </is>
      </c>
      <c r="D1897" s="4" t="n">
        <v>2023</v>
      </c>
      <c r="E1897" s="13" t="inlineStr">
        <is>
          <t>General</t>
        </is>
      </c>
      <c r="F1897" s="5" t="n">
        <v>1887</v>
      </c>
      <c r="G1897" s="5" t="n">
        <v>14284</v>
      </c>
      <c r="H1897" s="5" t="n">
        <v>410</v>
      </c>
      <c r="I1897" s="5" t="n">
        <v>333</v>
      </c>
      <c r="J1897" s="5" t="n">
        <v>78</v>
      </c>
      <c r="K1897" s="10">
        <f>IF(F1897&gt;0,H1897/F1897,"")</f>
        <v/>
      </c>
      <c r="L1897" s="16">
        <f>IF(AND(G1897&gt;0,H1897&gt;0),G1897/H1897,"")</f>
        <v/>
      </c>
    </row>
    <row r="1898">
      <c r="A1898" s="4" t="inlineStr">
        <is>
          <t>270</t>
        </is>
      </c>
      <c r="B1898" s="4" t="n">
        <v>2</v>
      </c>
      <c r="C1898" s="4" t="inlineStr">
        <is>
          <t>whitetail</t>
        </is>
      </c>
      <c r="D1898" s="4" t="n">
        <v>2024</v>
      </c>
      <c r="E1898" s="13" t="inlineStr">
        <is>
          <t>General</t>
        </is>
      </c>
      <c r="F1898" s="5" t="n"/>
      <c r="G1898" s="5" t="n"/>
      <c r="H1898" s="5" t="n">
        <v>414</v>
      </c>
      <c r="I1898" s="5" t="n">
        <v>329</v>
      </c>
      <c r="J1898" s="5" t="n">
        <v>86</v>
      </c>
      <c r="K1898" s="10">
        <f>IF(F1898&gt;0,H1898/F1898,"")</f>
        <v/>
      </c>
      <c r="L1898" s="16">
        <f>IF(AND(G1898&gt;0,H1898&gt;0),G1898/H1898,"")</f>
        <v/>
      </c>
    </row>
    <row r="1899">
      <c r="A1899" s="4" t="inlineStr">
        <is>
          <t>270</t>
        </is>
      </c>
      <c r="B1899" s="4" t="n">
        <v>2</v>
      </c>
      <c r="C1899" s="4" t="inlineStr">
        <is>
          <t>whitetail</t>
        </is>
      </c>
      <c r="D1899" s="4" t="n">
        <v>2025</v>
      </c>
      <c r="E1899" s="13" t="inlineStr">
        <is>
          <t>General</t>
        </is>
      </c>
      <c r="F1899" s="5" t="n">
        <v>1968</v>
      </c>
      <c r="G1899" s="5" t="n">
        <v>16116</v>
      </c>
      <c r="H1899" s="5" t="n">
        <v>318</v>
      </c>
      <c r="I1899" s="5" t="n">
        <v>251</v>
      </c>
      <c r="J1899" s="5" t="n">
        <v>67</v>
      </c>
      <c r="K1899" s="10">
        <f>IF(F1899&gt;0,H1899/F1899,"")</f>
        <v/>
      </c>
      <c r="L1899" s="16">
        <f>IF(AND(G1899&gt;0,H1899&gt;0),G1899/H1899,"")</f>
        <v/>
      </c>
    </row>
    <row r="1900">
      <c r="A1900" s="4" t="inlineStr">
        <is>
          <t>280</t>
        </is>
      </c>
      <c r="B1900" s="4" t="n">
        <v>2</v>
      </c>
      <c r="C1900" s="4" t="inlineStr">
        <is>
          <t>whitetail</t>
        </is>
      </c>
      <c r="D1900" s="4" t="n">
        <v>2021</v>
      </c>
      <c r="E1900" s="13" t="inlineStr">
        <is>
          <t>General</t>
        </is>
      </c>
      <c r="F1900" s="5" t="n">
        <v>99</v>
      </c>
      <c r="G1900" s="5" t="n">
        <v>522</v>
      </c>
      <c r="H1900" s="5" t="n">
        <v>24</v>
      </c>
      <c r="I1900" s="5" t="n">
        <v>24</v>
      </c>
      <c r="J1900" s="5" t="n">
        <v>0</v>
      </c>
      <c r="K1900" s="10">
        <f>IF(F1900&gt;0,H1900/F1900,"")</f>
        <v/>
      </c>
      <c r="L1900" s="16">
        <f>IF(AND(G1900&gt;0,H1900&gt;0),G1900/H1900,"")</f>
        <v/>
      </c>
    </row>
    <row r="1901">
      <c r="A1901" s="4" t="inlineStr">
        <is>
          <t>280</t>
        </is>
      </c>
      <c r="B1901" s="4" t="n">
        <v>2</v>
      </c>
      <c r="C1901" s="4" t="inlineStr">
        <is>
          <t>whitetail</t>
        </is>
      </c>
      <c r="D1901" s="4" t="n">
        <v>2022</v>
      </c>
      <c r="E1901" s="13" t="inlineStr">
        <is>
          <t>General</t>
        </is>
      </c>
      <c r="F1901" s="5" t="n"/>
      <c r="G1901" s="5" t="n"/>
      <c r="H1901" s="5" t="n">
        <v>30</v>
      </c>
      <c r="I1901" s="5" t="n">
        <v>23</v>
      </c>
      <c r="J1901" s="5" t="n">
        <v>7</v>
      </c>
      <c r="K1901" s="10">
        <f>IF(F1901&gt;0,H1901/F1901,"")</f>
        <v/>
      </c>
      <c r="L1901" s="16">
        <f>IF(AND(G1901&gt;0,H1901&gt;0),G1901/H1901,"")</f>
        <v/>
      </c>
    </row>
    <row r="1902">
      <c r="A1902" s="4" t="inlineStr">
        <is>
          <t>280</t>
        </is>
      </c>
      <c r="B1902" s="4" t="n">
        <v>2</v>
      </c>
      <c r="C1902" s="4" t="inlineStr">
        <is>
          <t>whitetail</t>
        </is>
      </c>
      <c r="D1902" s="4" t="n">
        <v>2023</v>
      </c>
      <c r="E1902" s="13" t="inlineStr">
        <is>
          <t>General</t>
        </is>
      </c>
      <c r="F1902" s="5" t="n">
        <v>149</v>
      </c>
      <c r="G1902" s="5" t="n">
        <v>968</v>
      </c>
      <c r="H1902" s="5" t="n">
        <v>10</v>
      </c>
      <c r="I1902" s="5" t="n">
        <v>7</v>
      </c>
      <c r="J1902" s="5" t="n">
        <v>3</v>
      </c>
      <c r="K1902" s="10">
        <f>IF(F1902&gt;0,H1902/F1902,"")</f>
        <v/>
      </c>
      <c r="L1902" s="16">
        <f>IF(AND(G1902&gt;0,H1902&gt;0),G1902/H1902,"")</f>
        <v/>
      </c>
    </row>
    <row r="1903">
      <c r="A1903" s="4" t="inlineStr">
        <is>
          <t>280</t>
        </is>
      </c>
      <c r="B1903" s="4" t="n">
        <v>2</v>
      </c>
      <c r="C1903" s="4" t="inlineStr">
        <is>
          <t>whitetail</t>
        </is>
      </c>
      <c r="D1903" s="4" t="n">
        <v>2024</v>
      </c>
      <c r="E1903" s="13" t="inlineStr">
        <is>
          <t>General</t>
        </is>
      </c>
      <c r="F1903" s="5" t="n"/>
      <c r="G1903" s="5" t="n"/>
      <c r="H1903" s="5" t="n">
        <v>25</v>
      </c>
      <c r="I1903" s="5" t="n">
        <v>25</v>
      </c>
      <c r="J1903" s="5" t="n">
        <v>0</v>
      </c>
      <c r="K1903" s="10">
        <f>IF(F1903&gt;0,H1903/F1903,"")</f>
        <v/>
      </c>
      <c r="L1903" s="16">
        <f>IF(AND(G1903&gt;0,H1903&gt;0),G1903/H1903,"")</f>
        <v/>
      </c>
    </row>
    <row r="1904">
      <c r="A1904" s="4" t="inlineStr">
        <is>
          <t>280</t>
        </is>
      </c>
      <c r="B1904" s="4" t="n">
        <v>2</v>
      </c>
      <c r="C1904" s="4" t="inlineStr">
        <is>
          <t>whitetail</t>
        </is>
      </c>
      <c r="D1904" s="4" t="n">
        <v>2025</v>
      </c>
      <c r="E1904" s="13" t="inlineStr">
        <is>
          <t>General</t>
        </is>
      </c>
      <c r="F1904" s="5" t="n">
        <v>191</v>
      </c>
      <c r="G1904" s="5" t="n">
        <v>1204</v>
      </c>
      <c r="H1904" s="5" t="n">
        <v>41</v>
      </c>
      <c r="I1904" s="5" t="n">
        <v>34</v>
      </c>
      <c r="J1904" s="5" t="n">
        <v>6</v>
      </c>
      <c r="K1904" s="10">
        <f>IF(F1904&gt;0,H1904/F1904,"")</f>
        <v/>
      </c>
      <c r="L1904" s="16">
        <f>IF(AND(G1904&gt;0,H1904&gt;0),G1904/H1904,"")</f>
        <v/>
      </c>
    </row>
    <row r="1905">
      <c r="A1905" s="4" t="inlineStr">
        <is>
          <t>281</t>
        </is>
      </c>
      <c r="B1905" s="4" t="n">
        <v>2</v>
      </c>
      <c r="C1905" s="4" t="inlineStr">
        <is>
          <t>whitetail</t>
        </is>
      </c>
      <c r="D1905" s="4" t="n">
        <v>2021</v>
      </c>
      <c r="E1905" s="13" t="inlineStr">
        <is>
          <t>General</t>
        </is>
      </c>
      <c r="F1905" s="5" t="n">
        <v>956</v>
      </c>
      <c r="G1905" s="5" t="n">
        <v>6190</v>
      </c>
      <c r="H1905" s="5" t="n">
        <v>265</v>
      </c>
      <c r="I1905" s="5" t="n">
        <v>249</v>
      </c>
      <c r="J1905" s="5" t="n">
        <v>16</v>
      </c>
      <c r="K1905" s="10">
        <f>IF(F1905&gt;0,H1905/F1905,"")</f>
        <v/>
      </c>
      <c r="L1905" s="16">
        <f>IF(AND(G1905&gt;0,H1905&gt;0),G1905/H1905,"")</f>
        <v/>
      </c>
    </row>
    <row r="1906">
      <c r="A1906" s="4" t="inlineStr">
        <is>
          <t>281</t>
        </is>
      </c>
      <c r="B1906" s="4" t="n">
        <v>2</v>
      </c>
      <c r="C1906" s="4" t="inlineStr">
        <is>
          <t>whitetail</t>
        </is>
      </c>
      <c r="D1906" s="4" t="n">
        <v>2022</v>
      </c>
      <c r="E1906" s="13" t="inlineStr">
        <is>
          <t>General</t>
        </is>
      </c>
      <c r="F1906" s="5" t="n"/>
      <c r="G1906" s="5" t="n"/>
      <c r="H1906" s="5" t="n">
        <v>217</v>
      </c>
      <c r="I1906" s="5" t="n">
        <v>185</v>
      </c>
      <c r="J1906" s="5" t="n">
        <v>32</v>
      </c>
      <c r="K1906" s="10">
        <f>IF(F1906&gt;0,H1906/F1906,"")</f>
        <v/>
      </c>
      <c r="L1906" s="16">
        <f>IF(AND(G1906&gt;0,H1906&gt;0),G1906/H1906,"")</f>
        <v/>
      </c>
    </row>
    <row r="1907">
      <c r="A1907" s="4" t="inlineStr">
        <is>
          <t>281</t>
        </is>
      </c>
      <c r="B1907" s="4" t="n">
        <v>2</v>
      </c>
      <c r="C1907" s="4" t="inlineStr">
        <is>
          <t>whitetail</t>
        </is>
      </c>
      <c r="D1907" s="4" t="n">
        <v>2023</v>
      </c>
      <c r="E1907" s="13" t="inlineStr">
        <is>
          <t>General</t>
        </is>
      </c>
      <c r="F1907" s="5" t="n">
        <v>1153</v>
      </c>
      <c r="G1907" s="5" t="n">
        <v>8211</v>
      </c>
      <c r="H1907" s="5" t="n">
        <v>226</v>
      </c>
      <c r="I1907" s="5" t="n">
        <v>183</v>
      </c>
      <c r="J1907" s="5" t="n">
        <v>43</v>
      </c>
      <c r="K1907" s="10">
        <f>IF(F1907&gt;0,H1907/F1907,"")</f>
        <v/>
      </c>
      <c r="L1907" s="16">
        <f>IF(AND(G1907&gt;0,H1907&gt;0),G1907/H1907,"")</f>
        <v/>
      </c>
    </row>
    <row r="1908">
      <c r="A1908" s="4" t="inlineStr">
        <is>
          <t>281</t>
        </is>
      </c>
      <c r="B1908" s="4" t="n">
        <v>2</v>
      </c>
      <c r="C1908" s="4" t="inlineStr">
        <is>
          <t>whitetail</t>
        </is>
      </c>
      <c r="D1908" s="4" t="n">
        <v>2024</v>
      </c>
      <c r="E1908" s="13" t="inlineStr">
        <is>
          <t>General</t>
        </is>
      </c>
      <c r="F1908" s="5" t="n"/>
      <c r="G1908" s="5" t="n"/>
      <c r="H1908" s="5" t="n">
        <v>279</v>
      </c>
      <c r="I1908" s="5" t="n">
        <v>260</v>
      </c>
      <c r="J1908" s="5" t="n">
        <v>19</v>
      </c>
      <c r="K1908" s="10">
        <f>IF(F1908&gt;0,H1908/F1908,"")</f>
        <v/>
      </c>
      <c r="L1908" s="16">
        <f>IF(AND(G1908&gt;0,H1908&gt;0),G1908/H1908,"")</f>
        <v/>
      </c>
    </row>
    <row r="1909">
      <c r="A1909" s="4" t="inlineStr">
        <is>
          <t>281</t>
        </is>
      </c>
      <c r="B1909" s="4" t="n">
        <v>2</v>
      </c>
      <c r="C1909" s="4" t="inlineStr">
        <is>
          <t>whitetail</t>
        </is>
      </c>
      <c r="D1909" s="4" t="n">
        <v>2025</v>
      </c>
      <c r="E1909" s="13" t="inlineStr">
        <is>
          <t>General</t>
        </is>
      </c>
      <c r="F1909" s="5" t="n">
        <v>1229</v>
      </c>
      <c r="G1909" s="5" t="n">
        <v>7880</v>
      </c>
      <c r="H1909" s="5" t="n">
        <v>285</v>
      </c>
      <c r="I1909" s="5" t="n">
        <v>247</v>
      </c>
      <c r="J1909" s="5" t="n">
        <v>35</v>
      </c>
      <c r="K1909" s="10">
        <f>IF(F1909&gt;0,H1909/F1909,"")</f>
        <v/>
      </c>
      <c r="L1909" s="16">
        <f>IF(AND(G1909&gt;0,H1909&gt;0),G1909/H1909,"")</f>
        <v/>
      </c>
    </row>
    <row r="1910">
      <c r="A1910" s="4" t="inlineStr">
        <is>
          <t>282</t>
        </is>
      </c>
      <c r="B1910" s="4" t="n">
        <v>2</v>
      </c>
      <c r="C1910" s="4" t="inlineStr">
        <is>
          <t>whitetail</t>
        </is>
      </c>
      <c r="D1910" s="4" t="n">
        <v>2021</v>
      </c>
      <c r="E1910" s="13" t="inlineStr">
        <is>
          <t>General</t>
        </is>
      </c>
      <c r="F1910" s="5" t="n">
        <v>198</v>
      </c>
      <c r="G1910" s="5" t="n">
        <v>1195</v>
      </c>
      <c r="H1910" s="5" t="n">
        <v>59</v>
      </c>
      <c r="I1910" s="5" t="n">
        <v>54</v>
      </c>
      <c r="J1910" s="5" t="n">
        <v>5</v>
      </c>
      <c r="K1910" s="10">
        <f>IF(F1910&gt;0,H1910/F1910,"")</f>
        <v/>
      </c>
      <c r="L1910" s="16">
        <f>IF(AND(G1910&gt;0,H1910&gt;0),G1910/H1910,"")</f>
        <v/>
      </c>
    </row>
    <row r="1911">
      <c r="A1911" s="4" t="inlineStr">
        <is>
          <t>282</t>
        </is>
      </c>
      <c r="B1911" s="4" t="n">
        <v>2</v>
      </c>
      <c r="C1911" s="4" t="inlineStr">
        <is>
          <t>whitetail</t>
        </is>
      </c>
      <c r="D1911" s="4" t="n">
        <v>2022</v>
      </c>
      <c r="E1911" s="13" t="inlineStr">
        <is>
          <t>General</t>
        </is>
      </c>
      <c r="F1911" s="5" t="n"/>
      <c r="G1911" s="5" t="n"/>
      <c r="H1911" s="5" t="n">
        <v>77</v>
      </c>
      <c r="I1911" s="5" t="n">
        <v>62</v>
      </c>
      <c r="J1911" s="5" t="n">
        <v>15</v>
      </c>
      <c r="K1911" s="10">
        <f>IF(F1911&gt;0,H1911/F1911,"")</f>
        <v/>
      </c>
      <c r="L1911" s="16">
        <f>IF(AND(G1911&gt;0,H1911&gt;0),G1911/H1911,"")</f>
        <v/>
      </c>
    </row>
    <row r="1912">
      <c r="A1912" s="4" t="inlineStr">
        <is>
          <t>282</t>
        </is>
      </c>
      <c r="B1912" s="4" t="n">
        <v>2</v>
      </c>
      <c r="C1912" s="4" t="inlineStr">
        <is>
          <t>whitetail</t>
        </is>
      </c>
      <c r="D1912" s="4" t="n">
        <v>2023</v>
      </c>
      <c r="E1912" s="13" t="inlineStr">
        <is>
          <t>General</t>
        </is>
      </c>
      <c r="F1912" s="5" t="n">
        <v>257</v>
      </c>
      <c r="G1912" s="5" t="n">
        <v>1611</v>
      </c>
      <c r="H1912" s="5" t="n">
        <v>58</v>
      </c>
      <c r="I1912" s="5" t="n">
        <v>50</v>
      </c>
      <c r="J1912" s="5" t="n">
        <v>7</v>
      </c>
      <c r="K1912" s="10">
        <f>IF(F1912&gt;0,H1912/F1912,"")</f>
        <v/>
      </c>
      <c r="L1912" s="16">
        <f>IF(AND(G1912&gt;0,H1912&gt;0),G1912/H1912,"")</f>
        <v/>
      </c>
    </row>
    <row r="1913">
      <c r="A1913" s="4" t="inlineStr">
        <is>
          <t>282</t>
        </is>
      </c>
      <c r="B1913" s="4" t="n">
        <v>2</v>
      </c>
      <c r="C1913" s="4" t="inlineStr">
        <is>
          <t>whitetail</t>
        </is>
      </c>
      <c r="D1913" s="4" t="n">
        <v>2024</v>
      </c>
      <c r="E1913" s="13" t="inlineStr">
        <is>
          <t>General</t>
        </is>
      </c>
      <c r="F1913" s="5" t="n"/>
      <c r="G1913" s="5" t="n"/>
      <c r="H1913" s="5" t="n">
        <v>85</v>
      </c>
      <c r="I1913" s="5" t="n">
        <v>71</v>
      </c>
      <c r="J1913" s="5" t="n">
        <v>14</v>
      </c>
      <c r="K1913" s="10">
        <f>IF(F1913&gt;0,H1913/F1913,"")</f>
        <v/>
      </c>
      <c r="L1913" s="16">
        <f>IF(AND(G1913&gt;0,H1913&gt;0),G1913/H1913,"")</f>
        <v/>
      </c>
    </row>
    <row r="1914">
      <c r="A1914" s="4" t="inlineStr">
        <is>
          <t>282</t>
        </is>
      </c>
      <c r="B1914" s="4" t="n">
        <v>2</v>
      </c>
      <c r="C1914" s="4" t="inlineStr">
        <is>
          <t>whitetail</t>
        </is>
      </c>
      <c r="D1914" s="4" t="n">
        <v>2025</v>
      </c>
      <c r="E1914" s="13" t="inlineStr">
        <is>
          <t>General</t>
        </is>
      </c>
      <c r="F1914" s="5" t="n">
        <v>367</v>
      </c>
      <c r="G1914" s="5" t="n">
        <v>2250</v>
      </c>
      <c r="H1914" s="5" t="n">
        <v>93</v>
      </c>
      <c r="I1914" s="5" t="n">
        <v>76</v>
      </c>
      <c r="J1914" s="5" t="n">
        <v>15</v>
      </c>
      <c r="K1914" s="10">
        <f>IF(F1914&gt;0,H1914/F1914,"")</f>
        <v/>
      </c>
      <c r="L1914" s="16">
        <f>IF(AND(G1914&gt;0,H1914&gt;0),G1914/H1914,"")</f>
        <v/>
      </c>
    </row>
    <row r="1915">
      <c r="A1915" s="4" t="inlineStr">
        <is>
          <t>283</t>
        </is>
      </c>
      <c r="B1915" s="4" t="n">
        <v>2</v>
      </c>
      <c r="C1915" s="4" t="inlineStr">
        <is>
          <t>whitetail</t>
        </is>
      </c>
      <c r="D1915" s="4" t="n">
        <v>2021</v>
      </c>
      <c r="E1915" s="4" t="inlineStr"/>
      <c r="F1915" s="5" t="n">
        <v>1161</v>
      </c>
      <c r="G1915" s="5" t="n">
        <v>7532</v>
      </c>
      <c r="H1915" s="5" t="n">
        <v>265</v>
      </c>
      <c r="I1915" s="5" t="n">
        <v>208</v>
      </c>
      <c r="J1915" s="5" t="n">
        <v>57</v>
      </c>
      <c r="K1915" s="10">
        <f>IF(F1915&gt;0,H1915/F1915,"")</f>
        <v/>
      </c>
      <c r="L1915" s="16">
        <f>IF(AND(G1915&gt;0,H1915&gt;0),G1915/H1915,"")</f>
        <v/>
      </c>
    </row>
    <row r="1916">
      <c r="A1916" s="4" t="inlineStr">
        <is>
          <t>284</t>
        </is>
      </c>
      <c r="B1916" s="4" t="n">
        <v>2</v>
      </c>
      <c r="C1916" s="4" t="inlineStr">
        <is>
          <t>whitetail</t>
        </is>
      </c>
      <c r="D1916" s="4" t="n">
        <v>2021</v>
      </c>
      <c r="E1916" s="13" t="inlineStr">
        <is>
          <t>General</t>
        </is>
      </c>
      <c r="F1916" s="5" t="n">
        <v>200</v>
      </c>
      <c r="G1916" s="5" t="n">
        <v>1392</v>
      </c>
      <c r="H1916" s="5" t="n">
        <v>46</v>
      </c>
      <c r="I1916" s="5" t="n">
        <v>46</v>
      </c>
      <c r="J1916" s="5" t="n">
        <v>0</v>
      </c>
      <c r="K1916" s="10">
        <f>IF(F1916&gt;0,H1916/F1916,"")</f>
        <v/>
      </c>
      <c r="L1916" s="16">
        <f>IF(AND(G1916&gt;0,H1916&gt;0),G1916/H1916,"")</f>
        <v/>
      </c>
    </row>
    <row r="1917">
      <c r="A1917" s="4" t="inlineStr">
        <is>
          <t>284</t>
        </is>
      </c>
      <c r="B1917" s="4" t="n">
        <v>2</v>
      </c>
      <c r="C1917" s="4" t="inlineStr">
        <is>
          <t>whitetail</t>
        </is>
      </c>
      <c r="D1917" s="4" t="n">
        <v>2022</v>
      </c>
      <c r="E1917" s="13" t="inlineStr">
        <is>
          <t>General</t>
        </is>
      </c>
      <c r="F1917" s="5" t="n"/>
      <c r="G1917" s="5" t="n"/>
      <c r="H1917" s="5" t="n">
        <v>23</v>
      </c>
      <c r="I1917" s="5" t="n">
        <v>16</v>
      </c>
      <c r="J1917" s="5" t="n">
        <v>6</v>
      </c>
      <c r="K1917" s="10">
        <f>IF(F1917&gt;0,H1917/F1917,"")</f>
        <v/>
      </c>
      <c r="L1917" s="16">
        <f>IF(AND(G1917&gt;0,H1917&gt;0),G1917/H1917,"")</f>
        <v/>
      </c>
    </row>
    <row r="1918">
      <c r="A1918" s="4" t="inlineStr">
        <is>
          <t>284</t>
        </is>
      </c>
      <c r="B1918" s="4" t="n">
        <v>2</v>
      </c>
      <c r="C1918" s="4" t="inlineStr">
        <is>
          <t>whitetail</t>
        </is>
      </c>
      <c r="D1918" s="4" t="n">
        <v>2023</v>
      </c>
      <c r="E1918" s="13" t="inlineStr">
        <is>
          <t>General</t>
        </is>
      </c>
      <c r="F1918" s="5" t="n">
        <v>120</v>
      </c>
      <c r="G1918" s="5" t="n">
        <v>1198</v>
      </c>
      <c r="H1918" s="5" t="n">
        <v>20</v>
      </c>
      <c r="I1918" s="5" t="n">
        <v>20</v>
      </c>
      <c r="J1918" s="5" t="n">
        <v>0</v>
      </c>
      <c r="K1918" s="10">
        <f>IF(F1918&gt;0,H1918/F1918,"")</f>
        <v/>
      </c>
      <c r="L1918" s="16">
        <f>IF(AND(G1918&gt;0,H1918&gt;0),G1918/H1918,"")</f>
        <v/>
      </c>
    </row>
    <row r="1919">
      <c r="A1919" s="4" t="inlineStr">
        <is>
          <t>284</t>
        </is>
      </c>
      <c r="B1919" s="4" t="n">
        <v>2</v>
      </c>
      <c r="C1919" s="4" t="inlineStr">
        <is>
          <t>whitetail</t>
        </is>
      </c>
      <c r="D1919" s="4" t="n">
        <v>2024</v>
      </c>
      <c r="E1919" s="13" t="inlineStr">
        <is>
          <t>General</t>
        </is>
      </c>
      <c r="F1919" s="5" t="n"/>
      <c r="G1919" s="5" t="n"/>
      <c r="H1919" s="5" t="n">
        <v>35</v>
      </c>
      <c r="I1919" s="5" t="n">
        <v>30</v>
      </c>
      <c r="J1919" s="5" t="n">
        <v>5</v>
      </c>
      <c r="K1919" s="10">
        <f>IF(F1919&gt;0,H1919/F1919,"")</f>
        <v/>
      </c>
      <c r="L1919" s="16">
        <f>IF(AND(G1919&gt;0,H1919&gt;0),G1919/H1919,"")</f>
        <v/>
      </c>
    </row>
    <row r="1920">
      <c r="A1920" s="4" t="inlineStr">
        <is>
          <t>284</t>
        </is>
      </c>
      <c r="B1920" s="4" t="n">
        <v>2</v>
      </c>
      <c r="C1920" s="4" t="inlineStr">
        <is>
          <t>whitetail</t>
        </is>
      </c>
      <c r="D1920" s="4" t="n">
        <v>2025</v>
      </c>
      <c r="E1920" s="13" t="inlineStr">
        <is>
          <t>General</t>
        </is>
      </c>
      <c r="F1920" s="5" t="n">
        <v>174</v>
      </c>
      <c r="G1920" s="5" t="n">
        <v>1185</v>
      </c>
      <c r="H1920" s="5" t="n">
        <v>14</v>
      </c>
      <c r="I1920" s="5" t="n">
        <v>11</v>
      </c>
      <c r="J1920" s="5" t="n">
        <v>3</v>
      </c>
      <c r="K1920" s="10">
        <f>IF(F1920&gt;0,H1920/F1920,"")</f>
        <v/>
      </c>
      <c r="L1920" s="16">
        <f>IF(AND(G1920&gt;0,H1920&gt;0),G1920/H1920,"")</f>
        <v/>
      </c>
    </row>
    <row r="1921">
      <c r="A1921" s="4" t="inlineStr">
        <is>
          <t>285</t>
        </is>
      </c>
      <c r="B1921" s="4" t="n">
        <v>2</v>
      </c>
      <c r="C1921" s="4" t="inlineStr">
        <is>
          <t>whitetail</t>
        </is>
      </c>
      <c r="D1921" s="4" t="n">
        <v>2021</v>
      </c>
      <c r="E1921" s="13" t="inlineStr">
        <is>
          <t>General</t>
        </is>
      </c>
      <c r="F1921" s="5" t="n">
        <v>2106</v>
      </c>
      <c r="G1921" s="5" t="n">
        <v>14948</v>
      </c>
      <c r="H1921" s="5" t="n">
        <v>659</v>
      </c>
      <c r="I1921" s="5" t="n">
        <v>585</v>
      </c>
      <c r="J1921" s="5" t="n">
        <v>74</v>
      </c>
      <c r="K1921" s="10">
        <f>IF(F1921&gt;0,H1921/F1921,"")</f>
        <v/>
      </c>
      <c r="L1921" s="16">
        <f>IF(AND(G1921&gt;0,H1921&gt;0),G1921/H1921,"")</f>
        <v/>
      </c>
    </row>
    <row r="1922">
      <c r="A1922" s="4" t="inlineStr">
        <is>
          <t>285</t>
        </is>
      </c>
      <c r="B1922" s="4" t="n">
        <v>2</v>
      </c>
      <c r="C1922" s="4" t="inlineStr">
        <is>
          <t>whitetail</t>
        </is>
      </c>
      <c r="D1922" s="4" t="n">
        <v>2022</v>
      </c>
      <c r="E1922" s="13" t="inlineStr">
        <is>
          <t>General</t>
        </is>
      </c>
      <c r="F1922" s="5" t="n"/>
      <c r="G1922" s="5" t="n"/>
      <c r="H1922" s="5" t="n">
        <v>728</v>
      </c>
      <c r="I1922" s="5" t="n">
        <v>583</v>
      </c>
      <c r="J1922" s="5" t="n">
        <v>142</v>
      </c>
      <c r="K1922" s="10">
        <f>IF(F1922&gt;0,H1922/F1922,"")</f>
        <v/>
      </c>
      <c r="L1922" s="16">
        <f>IF(AND(G1922&gt;0,H1922&gt;0),G1922/H1922,"")</f>
        <v/>
      </c>
    </row>
    <row r="1923">
      <c r="A1923" s="4" t="inlineStr">
        <is>
          <t>285</t>
        </is>
      </c>
      <c r="B1923" s="4" t="n">
        <v>2</v>
      </c>
      <c r="C1923" s="4" t="inlineStr">
        <is>
          <t>whitetail</t>
        </is>
      </c>
      <c r="D1923" s="4" t="n">
        <v>2023</v>
      </c>
      <c r="E1923" s="13" t="inlineStr">
        <is>
          <t>General</t>
        </is>
      </c>
      <c r="F1923" s="5" t="n">
        <v>2665</v>
      </c>
      <c r="G1923" s="5" t="n">
        <v>18860</v>
      </c>
      <c r="H1923" s="5" t="n">
        <v>829</v>
      </c>
      <c r="I1923" s="5" t="n">
        <v>676</v>
      </c>
      <c r="J1923" s="5" t="n">
        <v>146</v>
      </c>
      <c r="K1923" s="10">
        <f>IF(F1923&gt;0,H1923/F1923,"")</f>
        <v/>
      </c>
      <c r="L1923" s="16">
        <f>IF(AND(G1923&gt;0,H1923&gt;0),G1923/H1923,"")</f>
        <v/>
      </c>
    </row>
    <row r="1924">
      <c r="A1924" s="4" t="inlineStr">
        <is>
          <t>285</t>
        </is>
      </c>
      <c r="B1924" s="4" t="n">
        <v>2</v>
      </c>
      <c r="C1924" s="4" t="inlineStr">
        <is>
          <t>whitetail</t>
        </is>
      </c>
      <c r="D1924" s="4" t="n">
        <v>2024</v>
      </c>
      <c r="E1924" s="13" t="inlineStr">
        <is>
          <t>General</t>
        </is>
      </c>
      <c r="F1924" s="5" t="n"/>
      <c r="G1924" s="5" t="n"/>
      <c r="H1924" s="5" t="n">
        <v>872</v>
      </c>
      <c r="I1924" s="5" t="n">
        <v>771</v>
      </c>
      <c r="J1924" s="5" t="n">
        <v>102</v>
      </c>
      <c r="K1924" s="10">
        <f>IF(F1924&gt;0,H1924/F1924,"")</f>
        <v/>
      </c>
      <c r="L1924" s="16">
        <f>IF(AND(G1924&gt;0,H1924&gt;0),G1924/H1924,"")</f>
        <v/>
      </c>
    </row>
    <row r="1925">
      <c r="A1925" s="4" t="inlineStr">
        <is>
          <t>285</t>
        </is>
      </c>
      <c r="B1925" s="4" t="n">
        <v>2</v>
      </c>
      <c r="C1925" s="4" t="inlineStr">
        <is>
          <t>whitetail</t>
        </is>
      </c>
      <c r="D1925" s="4" t="n">
        <v>2025</v>
      </c>
      <c r="E1925" s="13" t="inlineStr">
        <is>
          <t>General</t>
        </is>
      </c>
      <c r="F1925" s="5" t="n">
        <v>3133</v>
      </c>
      <c r="G1925" s="5" t="n">
        <v>20680</v>
      </c>
      <c r="H1925" s="5" t="n">
        <v>962</v>
      </c>
      <c r="I1925" s="5" t="n">
        <v>868</v>
      </c>
      <c r="J1925" s="5" t="n">
        <v>95</v>
      </c>
      <c r="K1925" s="10">
        <f>IF(F1925&gt;0,H1925/F1925,"")</f>
        <v/>
      </c>
      <c r="L1925" s="16">
        <f>IF(AND(G1925&gt;0,H1925&gt;0),G1925/H1925,"")</f>
        <v/>
      </c>
    </row>
    <row r="1926">
      <c r="A1926" s="4" t="inlineStr">
        <is>
          <t>290</t>
        </is>
      </c>
      <c r="B1926" s="4" t="n">
        <v>2</v>
      </c>
      <c r="C1926" s="4" t="inlineStr">
        <is>
          <t>whitetail</t>
        </is>
      </c>
      <c r="D1926" s="4" t="n">
        <v>2021</v>
      </c>
      <c r="E1926" s="13" t="inlineStr">
        <is>
          <t>General</t>
        </is>
      </c>
      <c r="F1926" s="5" t="n">
        <v>230</v>
      </c>
      <c r="G1926" s="5" t="n">
        <v>1882</v>
      </c>
      <c r="H1926" s="5" t="n">
        <v>52</v>
      </c>
      <c r="I1926" s="5" t="n">
        <v>31</v>
      </c>
      <c r="J1926" s="5" t="n">
        <v>21</v>
      </c>
      <c r="K1926" s="10">
        <f>IF(F1926&gt;0,H1926/F1926,"")</f>
        <v/>
      </c>
      <c r="L1926" s="16">
        <f>IF(AND(G1926&gt;0,H1926&gt;0),G1926/H1926,"")</f>
        <v/>
      </c>
    </row>
    <row r="1927">
      <c r="A1927" s="4" t="inlineStr">
        <is>
          <t>290</t>
        </is>
      </c>
      <c r="B1927" s="4" t="n">
        <v>2</v>
      </c>
      <c r="C1927" s="4" t="inlineStr">
        <is>
          <t>whitetail</t>
        </is>
      </c>
      <c r="D1927" s="4" t="n">
        <v>2022</v>
      </c>
      <c r="E1927" s="13" t="inlineStr">
        <is>
          <t>General</t>
        </is>
      </c>
      <c r="F1927" s="5" t="n"/>
      <c r="G1927" s="5" t="n"/>
      <c r="H1927" s="5" t="n">
        <v>67</v>
      </c>
      <c r="I1927" s="5" t="n">
        <v>37</v>
      </c>
      <c r="J1927" s="5" t="n">
        <v>30</v>
      </c>
      <c r="K1927" s="10">
        <f>IF(F1927&gt;0,H1927/F1927,"")</f>
        <v/>
      </c>
      <c r="L1927" s="16">
        <f>IF(AND(G1927&gt;0,H1927&gt;0),G1927/H1927,"")</f>
        <v/>
      </c>
    </row>
    <row r="1928">
      <c r="A1928" s="4" t="inlineStr">
        <is>
          <t>290</t>
        </is>
      </c>
      <c r="B1928" s="4" t="n">
        <v>2</v>
      </c>
      <c r="C1928" s="4" t="inlineStr">
        <is>
          <t>whitetail</t>
        </is>
      </c>
      <c r="D1928" s="4" t="n">
        <v>2023</v>
      </c>
      <c r="E1928" s="13" t="inlineStr">
        <is>
          <t>General</t>
        </is>
      </c>
      <c r="F1928" s="5" t="n">
        <v>190</v>
      </c>
      <c r="G1928" s="5" t="n">
        <v>1373</v>
      </c>
      <c r="H1928" s="5" t="n">
        <v>54</v>
      </c>
      <c r="I1928" s="5" t="n">
        <v>36</v>
      </c>
      <c r="J1928" s="5" t="n">
        <v>18</v>
      </c>
      <c r="K1928" s="10">
        <f>IF(F1928&gt;0,H1928/F1928,"")</f>
        <v/>
      </c>
      <c r="L1928" s="16">
        <f>IF(AND(G1928&gt;0,H1928&gt;0),G1928/H1928,"")</f>
        <v/>
      </c>
    </row>
    <row r="1929">
      <c r="A1929" s="4" t="inlineStr">
        <is>
          <t>290</t>
        </is>
      </c>
      <c r="B1929" s="4" t="n">
        <v>2</v>
      </c>
      <c r="C1929" s="4" t="inlineStr">
        <is>
          <t>whitetail</t>
        </is>
      </c>
      <c r="D1929" s="4" t="n">
        <v>2024</v>
      </c>
      <c r="E1929" s="13" t="inlineStr">
        <is>
          <t>General</t>
        </is>
      </c>
      <c r="F1929" s="5" t="n"/>
      <c r="G1929" s="5" t="n"/>
      <c r="H1929" s="5" t="n">
        <v>61</v>
      </c>
      <c r="I1929" s="5" t="n">
        <v>29</v>
      </c>
      <c r="J1929" s="5" t="n">
        <v>32</v>
      </c>
      <c r="K1929" s="10">
        <f>IF(F1929&gt;0,H1929/F1929,"")</f>
        <v/>
      </c>
      <c r="L1929" s="16">
        <f>IF(AND(G1929&gt;0,H1929&gt;0),G1929/H1929,"")</f>
        <v/>
      </c>
    </row>
    <row r="1930">
      <c r="A1930" s="4" t="inlineStr">
        <is>
          <t>290</t>
        </is>
      </c>
      <c r="B1930" s="4" t="n">
        <v>2</v>
      </c>
      <c r="C1930" s="4" t="inlineStr">
        <is>
          <t>whitetail</t>
        </is>
      </c>
      <c r="D1930" s="4" t="n">
        <v>2025</v>
      </c>
      <c r="E1930" s="13" t="inlineStr">
        <is>
          <t>General</t>
        </is>
      </c>
      <c r="F1930" s="5" t="n">
        <v>317</v>
      </c>
      <c r="G1930" s="5" t="n">
        <v>2325</v>
      </c>
      <c r="H1930" s="5" t="n">
        <v>71</v>
      </c>
      <c r="I1930" s="5" t="n">
        <v>37</v>
      </c>
      <c r="J1930" s="5" t="n">
        <v>34</v>
      </c>
      <c r="K1930" s="10">
        <f>IF(F1930&gt;0,H1930/F1930,"")</f>
        <v/>
      </c>
      <c r="L1930" s="16">
        <f>IF(AND(G1930&gt;0,H1930&gt;0),G1930/H1930,"")</f>
        <v/>
      </c>
    </row>
    <row r="1931">
      <c r="A1931" s="4" t="inlineStr">
        <is>
          <t>291</t>
        </is>
      </c>
      <c r="B1931" s="4" t="n">
        <v>2</v>
      </c>
      <c r="C1931" s="4" t="inlineStr">
        <is>
          <t>whitetail</t>
        </is>
      </c>
      <c r="D1931" s="4" t="n">
        <v>2021</v>
      </c>
      <c r="E1931" s="13" t="inlineStr">
        <is>
          <t>General</t>
        </is>
      </c>
      <c r="F1931" s="5" t="n">
        <v>362</v>
      </c>
      <c r="G1931" s="5" t="n">
        <v>2121</v>
      </c>
      <c r="H1931" s="5" t="n">
        <v>62</v>
      </c>
      <c r="I1931" s="5" t="n">
        <v>51</v>
      </c>
      <c r="J1931" s="5" t="n">
        <v>10</v>
      </c>
      <c r="K1931" s="10">
        <f>IF(F1931&gt;0,H1931/F1931,"")</f>
        <v/>
      </c>
      <c r="L1931" s="16">
        <f>IF(AND(G1931&gt;0,H1931&gt;0),G1931/H1931,"")</f>
        <v/>
      </c>
    </row>
    <row r="1932">
      <c r="A1932" s="4" t="inlineStr">
        <is>
          <t>291</t>
        </is>
      </c>
      <c r="B1932" s="4" t="n">
        <v>2</v>
      </c>
      <c r="C1932" s="4" t="inlineStr">
        <is>
          <t>whitetail</t>
        </is>
      </c>
      <c r="D1932" s="4" t="n">
        <v>2022</v>
      </c>
      <c r="E1932" s="13" t="inlineStr">
        <is>
          <t>General</t>
        </is>
      </c>
      <c r="F1932" s="5" t="n"/>
      <c r="G1932" s="5" t="n"/>
      <c r="H1932" s="5" t="n">
        <v>33</v>
      </c>
      <c r="I1932" s="5" t="n">
        <v>25</v>
      </c>
      <c r="J1932" s="5" t="n">
        <v>8</v>
      </c>
      <c r="K1932" s="10">
        <f>IF(F1932&gt;0,H1932/F1932,"")</f>
        <v/>
      </c>
      <c r="L1932" s="16">
        <f>IF(AND(G1932&gt;0,H1932&gt;0),G1932/H1932,"")</f>
        <v/>
      </c>
    </row>
    <row r="1933">
      <c r="A1933" s="4" t="inlineStr">
        <is>
          <t>291</t>
        </is>
      </c>
      <c r="B1933" s="4" t="n">
        <v>2</v>
      </c>
      <c r="C1933" s="4" t="inlineStr">
        <is>
          <t>whitetail</t>
        </is>
      </c>
      <c r="D1933" s="4" t="n">
        <v>2023</v>
      </c>
      <c r="E1933" s="13" t="inlineStr">
        <is>
          <t>General</t>
        </is>
      </c>
      <c r="F1933" s="5" t="n">
        <v>250</v>
      </c>
      <c r="G1933" s="5" t="n">
        <v>1687</v>
      </c>
      <c r="H1933" s="5" t="n">
        <v>23</v>
      </c>
      <c r="I1933" s="5" t="n">
        <v>14</v>
      </c>
      <c r="J1933" s="5" t="n">
        <v>7</v>
      </c>
      <c r="K1933" s="10">
        <f>IF(F1933&gt;0,H1933/F1933,"")</f>
        <v/>
      </c>
      <c r="L1933" s="16">
        <f>IF(AND(G1933&gt;0,H1933&gt;0),G1933/H1933,"")</f>
        <v/>
      </c>
    </row>
    <row r="1934">
      <c r="A1934" s="4" t="inlineStr">
        <is>
          <t>291</t>
        </is>
      </c>
      <c r="B1934" s="4" t="n">
        <v>2</v>
      </c>
      <c r="C1934" s="4" t="inlineStr">
        <is>
          <t>whitetail</t>
        </is>
      </c>
      <c r="D1934" s="4" t="n">
        <v>2024</v>
      </c>
      <c r="E1934" s="13" t="inlineStr">
        <is>
          <t>General</t>
        </is>
      </c>
      <c r="F1934" s="5" t="n"/>
      <c r="G1934" s="5" t="n"/>
      <c r="H1934" s="5" t="n">
        <v>35</v>
      </c>
      <c r="I1934" s="5" t="n">
        <v>34</v>
      </c>
      <c r="J1934" s="5" t="n">
        <v>1</v>
      </c>
      <c r="K1934" s="10">
        <f>IF(F1934&gt;0,H1934/F1934,"")</f>
        <v/>
      </c>
      <c r="L1934" s="16">
        <f>IF(AND(G1934&gt;0,H1934&gt;0),G1934/H1934,"")</f>
        <v/>
      </c>
    </row>
    <row r="1935">
      <c r="A1935" s="4" t="inlineStr">
        <is>
          <t>291</t>
        </is>
      </c>
      <c r="B1935" s="4" t="n">
        <v>2</v>
      </c>
      <c r="C1935" s="4" t="inlineStr">
        <is>
          <t>whitetail</t>
        </is>
      </c>
      <c r="D1935" s="4" t="n">
        <v>2025</v>
      </c>
      <c r="E1935" s="13" t="inlineStr">
        <is>
          <t>General</t>
        </is>
      </c>
      <c r="F1935" s="5" t="n">
        <v>377</v>
      </c>
      <c r="G1935" s="5" t="n">
        <v>2128</v>
      </c>
      <c r="H1935" s="5" t="n">
        <v>45</v>
      </c>
      <c r="I1935" s="5" t="n">
        <v>32</v>
      </c>
      <c r="J1935" s="5" t="n">
        <v>11</v>
      </c>
      <c r="K1935" s="10">
        <f>IF(F1935&gt;0,H1935/F1935,"")</f>
        <v/>
      </c>
      <c r="L1935" s="16">
        <f>IF(AND(G1935&gt;0,H1935&gt;0),G1935/H1935,"")</f>
        <v/>
      </c>
    </row>
    <row r="1936">
      <c r="A1936" s="4" t="inlineStr">
        <is>
          <t>292</t>
        </is>
      </c>
      <c r="B1936" s="4" t="n">
        <v>2</v>
      </c>
      <c r="C1936" s="4" t="inlineStr">
        <is>
          <t>whitetail</t>
        </is>
      </c>
      <c r="D1936" s="4" t="n">
        <v>2021</v>
      </c>
      <c r="E1936" s="13" t="inlineStr">
        <is>
          <t>General</t>
        </is>
      </c>
      <c r="F1936" s="5" t="n">
        <v>1128</v>
      </c>
      <c r="G1936" s="5" t="n">
        <v>6775</v>
      </c>
      <c r="H1936" s="5" t="n">
        <v>300</v>
      </c>
      <c r="I1936" s="5" t="n">
        <v>231</v>
      </c>
      <c r="J1936" s="5" t="n">
        <v>69</v>
      </c>
      <c r="K1936" s="10">
        <f>IF(F1936&gt;0,H1936/F1936,"")</f>
        <v/>
      </c>
      <c r="L1936" s="16">
        <f>IF(AND(G1936&gt;0,H1936&gt;0),G1936/H1936,"")</f>
        <v/>
      </c>
    </row>
    <row r="1937">
      <c r="A1937" s="4" t="inlineStr">
        <is>
          <t>292</t>
        </is>
      </c>
      <c r="B1937" s="4" t="n">
        <v>2</v>
      </c>
      <c r="C1937" s="4" t="inlineStr">
        <is>
          <t>whitetail</t>
        </is>
      </c>
      <c r="D1937" s="4" t="n">
        <v>2022</v>
      </c>
      <c r="E1937" s="13" t="inlineStr">
        <is>
          <t>General</t>
        </is>
      </c>
      <c r="F1937" s="5" t="n"/>
      <c r="G1937" s="5" t="n"/>
      <c r="H1937" s="5" t="n">
        <v>354</v>
      </c>
      <c r="I1937" s="5" t="n">
        <v>299</v>
      </c>
      <c r="J1937" s="5" t="n">
        <v>56</v>
      </c>
      <c r="K1937" s="10">
        <f>IF(F1937&gt;0,H1937/F1937,"")</f>
        <v/>
      </c>
      <c r="L1937" s="16">
        <f>IF(AND(G1937&gt;0,H1937&gt;0),G1937/H1937,"")</f>
        <v/>
      </c>
    </row>
    <row r="1938">
      <c r="A1938" s="4" t="inlineStr">
        <is>
          <t>292</t>
        </is>
      </c>
      <c r="B1938" s="4" t="n">
        <v>2</v>
      </c>
      <c r="C1938" s="4" t="inlineStr">
        <is>
          <t>whitetail</t>
        </is>
      </c>
      <c r="D1938" s="4" t="n">
        <v>2023</v>
      </c>
      <c r="E1938" s="13" t="inlineStr">
        <is>
          <t>General</t>
        </is>
      </c>
      <c r="F1938" s="5" t="n">
        <v>1477</v>
      </c>
      <c r="G1938" s="5" t="n">
        <v>8958</v>
      </c>
      <c r="H1938" s="5" t="n">
        <v>311</v>
      </c>
      <c r="I1938" s="5" t="n">
        <v>249</v>
      </c>
      <c r="J1938" s="5" t="n">
        <v>59</v>
      </c>
      <c r="K1938" s="10">
        <f>IF(F1938&gt;0,H1938/F1938,"")</f>
        <v/>
      </c>
      <c r="L1938" s="16">
        <f>IF(AND(G1938&gt;0,H1938&gt;0),G1938/H1938,"")</f>
        <v/>
      </c>
    </row>
    <row r="1939">
      <c r="A1939" s="4" t="inlineStr">
        <is>
          <t>292</t>
        </is>
      </c>
      <c r="B1939" s="4" t="n">
        <v>2</v>
      </c>
      <c r="C1939" s="4" t="inlineStr">
        <is>
          <t>whitetail</t>
        </is>
      </c>
      <c r="D1939" s="4" t="n">
        <v>2024</v>
      </c>
      <c r="E1939" s="13" t="inlineStr">
        <is>
          <t>General</t>
        </is>
      </c>
      <c r="F1939" s="5" t="n"/>
      <c r="G1939" s="5" t="n"/>
      <c r="H1939" s="5" t="n">
        <v>319</v>
      </c>
      <c r="I1939" s="5" t="n">
        <v>257</v>
      </c>
      <c r="J1939" s="5" t="n">
        <v>62</v>
      </c>
      <c r="K1939" s="10">
        <f>IF(F1939&gt;0,H1939/F1939,"")</f>
        <v/>
      </c>
      <c r="L1939" s="16">
        <f>IF(AND(G1939&gt;0,H1939&gt;0),G1939/H1939,"")</f>
        <v/>
      </c>
    </row>
    <row r="1940">
      <c r="A1940" s="4" t="inlineStr">
        <is>
          <t>292</t>
        </is>
      </c>
      <c r="B1940" s="4" t="n">
        <v>2</v>
      </c>
      <c r="C1940" s="4" t="inlineStr">
        <is>
          <t>whitetail</t>
        </is>
      </c>
      <c r="D1940" s="4" t="n">
        <v>2025</v>
      </c>
      <c r="E1940" s="13" t="inlineStr">
        <is>
          <t>General</t>
        </is>
      </c>
      <c r="F1940" s="5" t="n">
        <v>1492</v>
      </c>
      <c r="G1940" s="5" t="n">
        <v>9373</v>
      </c>
      <c r="H1940" s="5" t="n">
        <v>289</v>
      </c>
      <c r="I1940" s="5" t="n">
        <v>241</v>
      </c>
      <c r="J1940" s="5" t="n">
        <v>48</v>
      </c>
      <c r="K1940" s="10">
        <f>IF(F1940&gt;0,H1940/F1940,"")</f>
        <v/>
      </c>
      <c r="L1940" s="16">
        <f>IF(AND(G1940&gt;0,H1940&gt;0),G1940/H1940,"")</f>
        <v/>
      </c>
    </row>
    <row r="1941">
      <c r="A1941" s="4" t="inlineStr">
        <is>
          <t>293</t>
        </is>
      </c>
      <c r="B1941" s="4" t="n">
        <v>2</v>
      </c>
      <c r="C1941" s="4" t="inlineStr">
        <is>
          <t>whitetail</t>
        </is>
      </c>
      <c r="D1941" s="4" t="n">
        <v>2021</v>
      </c>
      <c r="E1941" s="13" t="inlineStr">
        <is>
          <t>General</t>
        </is>
      </c>
      <c r="F1941" s="5" t="n">
        <v>977</v>
      </c>
      <c r="G1941" s="5" t="n">
        <v>6663</v>
      </c>
      <c r="H1941" s="5" t="n">
        <v>119</v>
      </c>
      <c r="I1941" s="5" t="n">
        <v>107</v>
      </c>
      <c r="J1941" s="5" t="n">
        <v>12</v>
      </c>
      <c r="K1941" s="10">
        <f>IF(F1941&gt;0,H1941/F1941,"")</f>
        <v/>
      </c>
      <c r="L1941" s="16">
        <f>IF(AND(G1941&gt;0,H1941&gt;0),G1941/H1941,"")</f>
        <v/>
      </c>
    </row>
    <row r="1942">
      <c r="A1942" s="4" t="inlineStr">
        <is>
          <t>293</t>
        </is>
      </c>
      <c r="B1942" s="4" t="n">
        <v>2</v>
      </c>
      <c r="C1942" s="4" t="inlineStr">
        <is>
          <t>whitetail</t>
        </is>
      </c>
      <c r="D1942" s="4" t="n">
        <v>2022</v>
      </c>
      <c r="E1942" s="13" t="inlineStr">
        <is>
          <t>General</t>
        </is>
      </c>
      <c r="F1942" s="5" t="n"/>
      <c r="G1942" s="5" t="n"/>
      <c r="H1942" s="5" t="n">
        <v>119</v>
      </c>
      <c r="I1942" s="5" t="n">
        <v>112</v>
      </c>
      <c r="J1942" s="5" t="n">
        <v>7</v>
      </c>
      <c r="K1942" s="10">
        <f>IF(F1942&gt;0,H1942/F1942,"")</f>
        <v/>
      </c>
      <c r="L1942" s="16">
        <f>IF(AND(G1942&gt;0,H1942&gt;0),G1942/H1942,"")</f>
        <v/>
      </c>
    </row>
    <row r="1943">
      <c r="A1943" s="4" t="inlineStr">
        <is>
          <t>293</t>
        </is>
      </c>
      <c r="B1943" s="4" t="n">
        <v>2</v>
      </c>
      <c r="C1943" s="4" t="inlineStr">
        <is>
          <t>whitetail</t>
        </is>
      </c>
      <c r="D1943" s="4" t="n">
        <v>2023</v>
      </c>
      <c r="E1943" s="13" t="inlineStr">
        <is>
          <t>General</t>
        </is>
      </c>
      <c r="F1943" s="5" t="n">
        <v>1061</v>
      </c>
      <c r="G1943" s="5" t="n">
        <v>7106</v>
      </c>
      <c r="H1943" s="5" t="n">
        <v>131</v>
      </c>
      <c r="I1943" s="5" t="n">
        <v>104</v>
      </c>
      <c r="J1943" s="5" t="n">
        <v>27</v>
      </c>
      <c r="K1943" s="10">
        <f>IF(F1943&gt;0,H1943/F1943,"")</f>
        <v/>
      </c>
      <c r="L1943" s="16">
        <f>IF(AND(G1943&gt;0,H1943&gt;0),G1943/H1943,"")</f>
        <v/>
      </c>
    </row>
    <row r="1944">
      <c r="A1944" s="4" t="inlineStr">
        <is>
          <t>293</t>
        </is>
      </c>
      <c r="B1944" s="4" t="n">
        <v>2</v>
      </c>
      <c r="C1944" s="4" t="inlineStr">
        <is>
          <t>whitetail</t>
        </is>
      </c>
      <c r="D1944" s="4" t="n">
        <v>2024</v>
      </c>
      <c r="E1944" s="13" t="inlineStr">
        <is>
          <t>General</t>
        </is>
      </c>
      <c r="F1944" s="5" t="n"/>
      <c r="G1944" s="5" t="n"/>
      <c r="H1944" s="5" t="n">
        <v>103</v>
      </c>
      <c r="I1944" s="5" t="n">
        <v>103</v>
      </c>
      <c r="J1944" s="5" t="n">
        <v>0</v>
      </c>
      <c r="K1944" s="10">
        <f>IF(F1944&gt;0,H1944/F1944,"")</f>
        <v/>
      </c>
      <c r="L1944" s="16">
        <f>IF(AND(G1944&gt;0,H1944&gt;0),G1944/H1944,"")</f>
        <v/>
      </c>
    </row>
    <row r="1945">
      <c r="A1945" s="4" t="inlineStr">
        <is>
          <t>293</t>
        </is>
      </c>
      <c r="B1945" s="4" t="n">
        <v>2</v>
      </c>
      <c r="C1945" s="4" t="inlineStr">
        <is>
          <t>whitetail</t>
        </is>
      </c>
      <c r="D1945" s="4" t="n">
        <v>2025</v>
      </c>
      <c r="E1945" s="13" t="inlineStr">
        <is>
          <t>General</t>
        </is>
      </c>
      <c r="F1945" s="5" t="n">
        <v>1065</v>
      </c>
      <c r="G1945" s="5" t="n">
        <v>7835</v>
      </c>
      <c r="H1945" s="5" t="n">
        <v>176</v>
      </c>
      <c r="I1945" s="5" t="n">
        <v>162</v>
      </c>
      <c r="J1945" s="5" t="n">
        <v>14</v>
      </c>
      <c r="K1945" s="10">
        <f>IF(F1945&gt;0,H1945/F1945,"")</f>
        <v/>
      </c>
      <c r="L1945" s="16">
        <f>IF(AND(G1945&gt;0,H1945&gt;0),G1945/H1945,"")</f>
        <v/>
      </c>
    </row>
    <row r="1946">
      <c r="A1946" s="4" t="inlineStr">
        <is>
          <t>298</t>
        </is>
      </c>
      <c r="B1946" s="4" t="n">
        <v>2</v>
      </c>
      <c r="C1946" s="4" t="inlineStr">
        <is>
          <t>whitetail</t>
        </is>
      </c>
      <c r="D1946" s="4" t="n">
        <v>2021</v>
      </c>
      <c r="E1946" s="13" t="inlineStr">
        <is>
          <t>General</t>
        </is>
      </c>
      <c r="F1946" s="5" t="n">
        <v>177</v>
      </c>
      <c r="G1946" s="5" t="n">
        <v>1077</v>
      </c>
      <c r="H1946" s="5" t="n">
        <v>40</v>
      </c>
      <c r="I1946" s="5" t="n">
        <v>32</v>
      </c>
      <c r="J1946" s="5" t="n">
        <v>8</v>
      </c>
      <c r="K1946" s="10">
        <f>IF(F1946&gt;0,H1946/F1946,"")</f>
        <v/>
      </c>
      <c r="L1946" s="16">
        <f>IF(AND(G1946&gt;0,H1946&gt;0),G1946/H1946,"")</f>
        <v/>
      </c>
    </row>
    <row r="1947">
      <c r="A1947" s="4" t="inlineStr">
        <is>
          <t>298</t>
        </is>
      </c>
      <c r="B1947" s="4" t="n">
        <v>2</v>
      </c>
      <c r="C1947" s="4" t="inlineStr">
        <is>
          <t>whitetail</t>
        </is>
      </c>
      <c r="D1947" s="4" t="n">
        <v>2022</v>
      </c>
      <c r="E1947" s="13" t="inlineStr">
        <is>
          <t>General</t>
        </is>
      </c>
      <c r="F1947" s="5" t="n"/>
      <c r="G1947" s="5" t="n"/>
      <c r="H1947" s="5" t="n">
        <v>38</v>
      </c>
      <c r="I1947" s="5" t="n">
        <v>15</v>
      </c>
      <c r="J1947" s="5" t="n">
        <v>20</v>
      </c>
      <c r="K1947" s="10">
        <f>IF(F1947&gt;0,H1947/F1947,"")</f>
        <v/>
      </c>
      <c r="L1947" s="16">
        <f>IF(AND(G1947&gt;0,H1947&gt;0),G1947/H1947,"")</f>
        <v/>
      </c>
    </row>
    <row r="1948">
      <c r="A1948" s="4" t="inlineStr">
        <is>
          <t>298</t>
        </is>
      </c>
      <c r="B1948" s="4" t="n">
        <v>2</v>
      </c>
      <c r="C1948" s="4" t="inlineStr">
        <is>
          <t>whitetail</t>
        </is>
      </c>
      <c r="D1948" s="4" t="n">
        <v>2023</v>
      </c>
      <c r="E1948" s="13" t="inlineStr">
        <is>
          <t>General</t>
        </is>
      </c>
      <c r="F1948" s="5" t="n">
        <v>217</v>
      </c>
      <c r="G1948" s="5" t="n">
        <v>1243</v>
      </c>
      <c r="H1948" s="5" t="n">
        <v>38</v>
      </c>
      <c r="I1948" s="5" t="n">
        <v>31</v>
      </c>
      <c r="J1948" s="5" t="n">
        <v>7</v>
      </c>
      <c r="K1948" s="10">
        <f>IF(F1948&gt;0,H1948/F1948,"")</f>
        <v/>
      </c>
      <c r="L1948" s="16">
        <f>IF(AND(G1948&gt;0,H1948&gt;0),G1948/H1948,"")</f>
        <v/>
      </c>
    </row>
    <row r="1949">
      <c r="A1949" s="4" t="inlineStr">
        <is>
          <t>298</t>
        </is>
      </c>
      <c r="B1949" s="4" t="n">
        <v>2</v>
      </c>
      <c r="C1949" s="4" t="inlineStr">
        <is>
          <t>whitetail</t>
        </is>
      </c>
      <c r="D1949" s="4" t="n">
        <v>2024</v>
      </c>
      <c r="E1949" s="13" t="inlineStr">
        <is>
          <t>General</t>
        </is>
      </c>
      <c r="F1949" s="5" t="n"/>
      <c r="G1949" s="5" t="n"/>
      <c r="H1949" s="5" t="n">
        <v>34</v>
      </c>
      <c r="I1949" s="5" t="n">
        <v>31</v>
      </c>
      <c r="J1949" s="5" t="n">
        <v>3</v>
      </c>
      <c r="K1949" s="10">
        <f>IF(F1949&gt;0,H1949/F1949,"")</f>
        <v/>
      </c>
      <c r="L1949" s="16">
        <f>IF(AND(G1949&gt;0,H1949&gt;0),G1949/H1949,"")</f>
        <v/>
      </c>
    </row>
    <row r="1950">
      <c r="A1950" s="4" t="inlineStr">
        <is>
          <t>298</t>
        </is>
      </c>
      <c r="B1950" s="4" t="n">
        <v>2</v>
      </c>
      <c r="C1950" s="4" t="inlineStr">
        <is>
          <t>whitetail</t>
        </is>
      </c>
      <c r="D1950" s="4" t="n">
        <v>2025</v>
      </c>
      <c r="E1950" s="13" t="inlineStr">
        <is>
          <t>General</t>
        </is>
      </c>
      <c r="F1950" s="5" t="n">
        <v>286</v>
      </c>
      <c r="G1950" s="5" t="n">
        <v>1663</v>
      </c>
      <c r="H1950" s="5" t="n">
        <v>66</v>
      </c>
      <c r="I1950" s="5" t="n">
        <v>63</v>
      </c>
      <c r="J1950" s="5" t="n">
        <v>4</v>
      </c>
      <c r="K1950" s="10">
        <f>IF(F1950&gt;0,H1950/F1950,"")</f>
        <v/>
      </c>
      <c r="L1950" s="16">
        <f>IF(AND(G1950&gt;0,H1950&gt;0),G1950/H1950,"")</f>
        <v/>
      </c>
    </row>
    <row r="1951">
      <c r="A1951" s="4" t="inlineStr">
        <is>
          <t>300</t>
        </is>
      </c>
      <c r="B1951" s="4" t="n">
        <v>3</v>
      </c>
      <c r="C1951" s="4" t="inlineStr">
        <is>
          <t>whitetail</t>
        </is>
      </c>
      <c r="D1951" s="4" t="n">
        <v>2021</v>
      </c>
      <c r="E1951" s="4" t="inlineStr"/>
      <c r="F1951" s="5" t="n">
        <v>653</v>
      </c>
      <c r="G1951" s="5" t="n">
        <v>4641</v>
      </c>
      <c r="H1951" s="5" t="n">
        <v>46</v>
      </c>
      <c r="I1951" s="5" t="n">
        <v>31</v>
      </c>
      <c r="J1951" s="5" t="n">
        <v>15</v>
      </c>
      <c r="K1951" s="10">
        <f>IF(F1951&gt;0,H1951/F1951,"")</f>
        <v/>
      </c>
      <c r="L1951" s="16">
        <f>IF(AND(G1951&gt;0,H1951&gt;0),G1951/H1951,"")</f>
        <v/>
      </c>
    </row>
    <row r="1952">
      <c r="A1952" s="4" t="inlineStr">
        <is>
          <t>301</t>
        </is>
      </c>
      <c r="B1952" s="4" t="n">
        <v>3</v>
      </c>
      <c r="C1952" s="4" t="inlineStr">
        <is>
          <t>whitetail</t>
        </is>
      </c>
      <c r="D1952" s="4" t="n">
        <v>2021</v>
      </c>
      <c r="E1952" s="13" t="inlineStr">
        <is>
          <t>General</t>
        </is>
      </c>
      <c r="F1952" s="5" t="n">
        <v>704</v>
      </c>
      <c r="G1952" s="5" t="n">
        <v>4334</v>
      </c>
      <c r="H1952" s="5" t="n">
        <v>146</v>
      </c>
      <c r="I1952" s="5" t="n">
        <v>87</v>
      </c>
      <c r="J1952" s="5" t="n">
        <v>59</v>
      </c>
      <c r="K1952" s="10">
        <f>IF(F1952&gt;0,H1952/F1952,"")</f>
        <v/>
      </c>
      <c r="L1952" s="16">
        <f>IF(AND(G1952&gt;0,H1952&gt;0),G1952/H1952,"")</f>
        <v/>
      </c>
    </row>
    <row r="1953">
      <c r="A1953" s="4" t="inlineStr">
        <is>
          <t>301</t>
        </is>
      </c>
      <c r="B1953" s="4" t="n">
        <v>3</v>
      </c>
      <c r="C1953" s="4" t="inlineStr">
        <is>
          <t>whitetail</t>
        </is>
      </c>
      <c r="D1953" s="4" t="n">
        <v>2022</v>
      </c>
      <c r="E1953" s="13" t="inlineStr">
        <is>
          <t>General</t>
        </is>
      </c>
      <c r="F1953" s="5" t="n"/>
      <c r="G1953" s="5" t="n"/>
      <c r="H1953" s="5" t="n">
        <v>124</v>
      </c>
      <c r="I1953" s="5" t="n">
        <v>78</v>
      </c>
      <c r="J1953" s="5" t="n">
        <v>46</v>
      </c>
      <c r="K1953" s="10">
        <f>IF(F1953&gt;0,H1953/F1953,"")</f>
        <v/>
      </c>
      <c r="L1953" s="16">
        <f>IF(AND(G1953&gt;0,H1953&gt;0),G1953/H1953,"")</f>
        <v/>
      </c>
    </row>
    <row r="1954">
      <c r="A1954" s="4" t="inlineStr">
        <is>
          <t>301</t>
        </is>
      </c>
      <c r="B1954" s="4" t="n">
        <v>3</v>
      </c>
      <c r="C1954" s="4" t="inlineStr">
        <is>
          <t>whitetail</t>
        </is>
      </c>
      <c r="D1954" s="4" t="n">
        <v>2023</v>
      </c>
      <c r="E1954" s="13" t="inlineStr">
        <is>
          <t>General</t>
        </is>
      </c>
      <c r="F1954" s="5" t="n">
        <v>952</v>
      </c>
      <c r="G1954" s="5" t="n">
        <v>6492</v>
      </c>
      <c r="H1954" s="5" t="n">
        <v>139</v>
      </c>
      <c r="I1954" s="5" t="n">
        <v>80</v>
      </c>
      <c r="J1954" s="5" t="n">
        <v>59</v>
      </c>
      <c r="K1954" s="10">
        <f>IF(F1954&gt;0,H1954/F1954,"")</f>
        <v/>
      </c>
      <c r="L1954" s="16">
        <f>IF(AND(G1954&gt;0,H1954&gt;0),G1954/H1954,"")</f>
        <v/>
      </c>
    </row>
    <row r="1955">
      <c r="A1955" s="4" t="inlineStr">
        <is>
          <t>301</t>
        </is>
      </c>
      <c r="B1955" s="4" t="n">
        <v>3</v>
      </c>
      <c r="C1955" s="4" t="inlineStr">
        <is>
          <t>whitetail</t>
        </is>
      </c>
      <c r="D1955" s="4" t="n">
        <v>2024</v>
      </c>
      <c r="E1955" s="13" t="inlineStr">
        <is>
          <t>General</t>
        </is>
      </c>
      <c r="F1955" s="5" t="n"/>
      <c r="G1955" s="5" t="n"/>
      <c r="H1955" s="5" t="n">
        <v>202</v>
      </c>
      <c r="I1955" s="5" t="n">
        <v>142</v>
      </c>
      <c r="J1955" s="5" t="n">
        <v>60</v>
      </c>
      <c r="K1955" s="10">
        <f>IF(F1955&gt;0,H1955/F1955,"")</f>
        <v/>
      </c>
      <c r="L1955" s="16">
        <f>IF(AND(G1955&gt;0,H1955&gt;0),G1955/H1955,"")</f>
        <v/>
      </c>
    </row>
    <row r="1956">
      <c r="A1956" s="4" t="inlineStr">
        <is>
          <t>301</t>
        </is>
      </c>
      <c r="B1956" s="4" t="n">
        <v>3</v>
      </c>
      <c r="C1956" s="4" t="inlineStr">
        <is>
          <t>whitetail</t>
        </is>
      </c>
      <c r="D1956" s="4" t="n">
        <v>2025</v>
      </c>
      <c r="E1956" s="13" t="inlineStr">
        <is>
          <t>General</t>
        </is>
      </c>
      <c r="F1956" s="5" t="n">
        <v>1106</v>
      </c>
      <c r="G1956" s="5" t="n">
        <v>6509</v>
      </c>
      <c r="H1956" s="5" t="n">
        <v>169</v>
      </c>
      <c r="I1956" s="5" t="n">
        <v>109</v>
      </c>
      <c r="J1956" s="5" t="n">
        <v>60</v>
      </c>
      <c r="K1956" s="10">
        <f>IF(F1956&gt;0,H1956/F1956,"")</f>
        <v/>
      </c>
      <c r="L1956" s="16">
        <f>IF(AND(G1956&gt;0,H1956&gt;0),G1956/H1956,"")</f>
        <v/>
      </c>
    </row>
    <row r="1957">
      <c r="A1957" s="4" t="inlineStr">
        <is>
          <t>302</t>
        </is>
      </c>
      <c r="B1957" s="4" t="n">
        <v>3</v>
      </c>
      <c r="C1957" s="4" t="inlineStr">
        <is>
          <t>whitetail</t>
        </is>
      </c>
      <c r="D1957" s="4" t="n">
        <v>2021</v>
      </c>
      <c r="E1957" s="13" t="inlineStr">
        <is>
          <t>General</t>
        </is>
      </c>
      <c r="F1957" s="5" t="n">
        <v>726</v>
      </c>
      <c r="G1957" s="5" t="n">
        <v>4422</v>
      </c>
      <c r="H1957" s="5" t="n">
        <v>32</v>
      </c>
      <c r="I1957" s="5" t="n">
        <v>8</v>
      </c>
      <c r="J1957" s="5" t="n">
        <v>20</v>
      </c>
      <c r="K1957" s="10">
        <f>IF(F1957&gt;0,H1957/F1957,"")</f>
        <v/>
      </c>
      <c r="L1957" s="16">
        <f>IF(AND(G1957&gt;0,H1957&gt;0),G1957/H1957,"")</f>
        <v/>
      </c>
    </row>
    <row r="1958">
      <c r="A1958" s="4" t="inlineStr">
        <is>
          <t>302</t>
        </is>
      </c>
      <c r="B1958" s="4" t="n">
        <v>3</v>
      </c>
      <c r="C1958" s="4" t="inlineStr">
        <is>
          <t>whitetail</t>
        </is>
      </c>
      <c r="D1958" s="4" t="n">
        <v>2022</v>
      </c>
      <c r="E1958" s="13" t="inlineStr">
        <is>
          <t>General</t>
        </is>
      </c>
      <c r="F1958" s="5" t="n"/>
      <c r="G1958" s="5" t="n"/>
      <c r="H1958" s="5" t="n">
        <v>37</v>
      </c>
      <c r="I1958" s="5" t="n">
        <v>31</v>
      </c>
      <c r="J1958" s="5" t="n">
        <v>6</v>
      </c>
      <c r="K1958" s="10">
        <f>IF(F1958&gt;0,H1958/F1958,"")</f>
        <v/>
      </c>
      <c r="L1958" s="16">
        <f>IF(AND(G1958&gt;0,H1958&gt;0),G1958/H1958,"")</f>
        <v/>
      </c>
    </row>
    <row r="1959">
      <c r="A1959" s="4" t="inlineStr">
        <is>
          <t>302</t>
        </is>
      </c>
      <c r="B1959" s="4" t="n">
        <v>3</v>
      </c>
      <c r="C1959" s="4" t="inlineStr">
        <is>
          <t>whitetail</t>
        </is>
      </c>
      <c r="D1959" s="4" t="n">
        <v>2023</v>
      </c>
      <c r="E1959" s="13" t="inlineStr">
        <is>
          <t>General</t>
        </is>
      </c>
      <c r="F1959" s="5" t="n">
        <v>764</v>
      </c>
      <c r="G1959" s="5" t="n">
        <v>4757</v>
      </c>
      <c r="H1959" s="5" t="n">
        <v>85</v>
      </c>
      <c r="I1959" s="5" t="n">
        <v>33</v>
      </c>
      <c r="J1959" s="5" t="n">
        <v>53</v>
      </c>
      <c r="K1959" s="10">
        <f>IF(F1959&gt;0,H1959/F1959,"")</f>
        <v/>
      </c>
      <c r="L1959" s="16">
        <f>IF(AND(G1959&gt;0,H1959&gt;0),G1959/H1959,"")</f>
        <v/>
      </c>
    </row>
    <row r="1960">
      <c r="A1960" s="4" t="inlineStr">
        <is>
          <t>302</t>
        </is>
      </c>
      <c r="B1960" s="4" t="n">
        <v>3</v>
      </c>
      <c r="C1960" s="4" t="inlineStr">
        <is>
          <t>whitetail</t>
        </is>
      </c>
      <c r="D1960" s="4" t="n">
        <v>2024</v>
      </c>
      <c r="E1960" s="13" t="inlineStr">
        <is>
          <t>General</t>
        </is>
      </c>
      <c r="F1960" s="5" t="n"/>
      <c r="G1960" s="5" t="n"/>
      <c r="H1960" s="5" t="n">
        <v>22</v>
      </c>
      <c r="I1960" s="5" t="n">
        <v>12</v>
      </c>
      <c r="J1960" s="5" t="n">
        <v>6</v>
      </c>
      <c r="K1960" s="10">
        <f>IF(F1960&gt;0,H1960/F1960,"")</f>
        <v/>
      </c>
      <c r="L1960" s="16">
        <f>IF(AND(G1960&gt;0,H1960&gt;0),G1960/H1960,"")</f>
        <v/>
      </c>
    </row>
    <row r="1961">
      <c r="A1961" s="4" t="inlineStr">
        <is>
          <t>302</t>
        </is>
      </c>
      <c r="B1961" s="4" t="n">
        <v>3</v>
      </c>
      <c r="C1961" s="4" t="inlineStr">
        <is>
          <t>whitetail</t>
        </is>
      </c>
      <c r="D1961" s="4" t="n">
        <v>2025</v>
      </c>
      <c r="E1961" s="13" t="inlineStr">
        <is>
          <t>General</t>
        </is>
      </c>
      <c r="F1961" s="5" t="n">
        <v>960</v>
      </c>
      <c r="G1961" s="5" t="n">
        <v>7112</v>
      </c>
      <c r="H1961" s="5" t="n">
        <v>42</v>
      </c>
      <c r="I1961" s="5" t="n">
        <v>18</v>
      </c>
      <c r="J1961" s="5" t="n">
        <v>24</v>
      </c>
      <c r="K1961" s="10">
        <f>IF(F1961&gt;0,H1961/F1961,"")</f>
        <v/>
      </c>
      <c r="L1961" s="16">
        <f>IF(AND(G1961&gt;0,H1961&gt;0),G1961/H1961,"")</f>
        <v/>
      </c>
    </row>
    <row r="1962">
      <c r="A1962" s="4" t="inlineStr">
        <is>
          <t>303</t>
        </is>
      </c>
      <c r="B1962" s="4" t="n">
        <v>3</v>
      </c>
      <c r="C1962" s="4" t="inlineStr">
        <is>
          <t>whitetail</t>
        </is>
      </c>
      <c r="D1962" s="4" t="n">
        <v>2022</v>
      </c>
      <c r="E1962" s="13" t="inlineStr">
        <is>
          <t>General</t>
        </is>
      </c>
      <c r="F1962" s="5" t="n"/>
      <c r="G1962" s="5" t="n"/>
      <c r="H1962" s="5" t="n">
        <v>9</v>
      </c>
      <c r="I1962" s="5" t="n">
        <v>0</v>
      </c>
      <c r="J1962" s="5" t="n">
        <v>9</v>
      </c>
      <c r="K1962" s="10">
        <f>IF(F1962&gt;0,H1962/F1962,"")</f>
        <v/>
      </c>
      <c r="L1962" s="16">
        <f>IF(AND(G1962&gt;0,H1962&gt;0),G1962/H1962,"")</f>
        <v/>
      </c>
    </row>
    <row r="1963">
      <c r="A1963" s="4" t="inlineStr">
        <is>
          <t>303</t>
        </is>
      </c>
      <c r="B1963" s="4" t="n">
        <v>3</v>
      </c>
      <c r="C1963" s="4" t="inlineStr">
        <is>
          <t>whitetail</t>
        </is>
      </c>
      <c r="D1963" s="4" t="n">
        <v>2023</v>
      </c>
      <c r="E1963" s="13" t="inlineStr">
        <is>
          <t>General</t>
        </is>
      </c>
      <c r="F1963" s="5" t="n">
        <v>327</v>
      </c>
      <c r="G1963" s="5" t="n">
        <v>2125</v>
      </c>
      <c r="H1963" s="5" t="n">
        <v>25</v>
      </c>
      <c r="I1963" s="5" t="n">
        <v>10</v>
      </c>
      <c r="J1963" s="5" t="n">
        <v>15</v>
      </c>
      <c r="K1963" s="10">
        <f>IF(F1963&gt;0,H1963/F1963,"")</f>
        <v/>
      </c>
      <c r="L1963" s="16">
        <f>IF(AND(G1963&gt;0,H1963&gt;0),G1963/H1963,"")</f>
        <v/>
      </c>
    </row>
    <row r="1964">
      <c r="A1964" s="4" t="inlineStr">
        <is>
          <t>303</t>
        </is>
      </c>
      <c r="B1964" s="4" t="n">
        <v>3</v>
      </c>
      <c r="C1964" s="4" t="inlineStr">
        <is>
          <t>whitetail</t>
        </is>
      </c>
      <c r="D1964" s="4" t="n">
        <v>2024</v>
      </c>
      <c r="E1964" s="13" t="inlineStr">
        <is>
          <t>General</t>
        </is>
      </c>
      <c r="F1964" s="5" t="n"/>
      <c r="G1964" s="5" t="n"/>
      <c r="H1964" s="5" t="n">
        <v>18</v>
      </c>
      <c r="I1964" s="5" t="n">
        <v>15</v>
      </c>
      <c r="J1964" s="5" t="n">
        <v>3</v>
      </c>
      <c r="K1964" s="10">
        <f>IF(F1964&gt;0,H1964/F1964,"")</f>
        <v/>
      </c>
      <c r="L1964" s="16">
        <f>IF(AND(G1964&gt;0,H1964&gt;0),G1964/H1964,"")</f>
        <v/>
      </c>
    </row>
    <row r="1965">
      <c r="A1965" s="4" t="inlineStr">
        <is>
          <t>303</t>
        </is>
      </c>
      <c r="B1965" s="4" t="n">
        <v>3</v>
      </c>
      <c r="C1965" s="4" t="inlineStr">
        <is>
          <t>whitetail</t>
        </is>
      </c>
      <c r="D1965" s="4" t="n">
        <v>2025</v>
      </c>
      <c r="E1965" s="13" t="inlineStr">
        <is>
          <t>General</t>
        </is>
      </c>
      <c r="F1965" s="5" t="n">
        <v>348</v>
      </c>
      <c r="G1965" s="5" t="n">
        <v>2477</v>
      </c>
      <c r="H1965" s="5" t="n">
        <v>28</v>
      </c>
      <c r="I1965" s="5" t="n">
        <v>15</v>
      </c>
      <c r="J1965" s="5" t="n">
        <v>13</v>
      </c>
      <c r="K1965" s="10">
        <f>IF(F1965&gt;0,H1965/F1965,"")</f>
        <v/>
      </c>
      <c r="L1965" s="16">
        <f>IF(AND(G1965&gt;0,H1965&gt;0),G1965/H1965,"")</f>
        <v/>
      </c>
    </row>
    <row r="1966">
      <c r="A1966" s="4" t="inlineStr">
        <is>
          <t>304</t>
        </is>
      </c>
      <c r="B1966" s="4" t="n">
        <v>3</v>
      </c>
      <c r="C1966" s="4" t="inlineStr">
        <is>
          <t>whitetail</t>
        </is>
      </c>
      <c r="D1966" s="4" t="n">
        <v>2022</v>
      </c>
      <c r="E1966" s="13" t="inlineStr">
        <is>
          <t>General</t>
        </is>
      </c>
      <c r="F1966" s="5" t="n"/>
      <c r="G1966" s="5" t="n"/>
      <c r="H1966" s="5" t="n">
        <v>73</v>
      </c>
      <c r="I1966" s="5" t="n">
        <v>42</v>
      </c>
      <c r="J1966" s="5" t="n">
        <v>31</v>
      </c>
      <c r="K1966" s="10">
        <f>IF(F1966&gt;0,H1966/F1966,"")</f>
        <v/>
      </c>
      <c r="L1966" s="16">
        <f>IF(AND(G1966&gt;0,H1966&gt;0),G1966/H1966,"")</f>
        <v/>
      </c>
    </row>
    <row r="1967">
      <c r="A1967" s="4" t="inlineStr">
        <is>
          <t>304</t>
        </is>
      </c>
      <c r="B1967" s="4" t="n">
        <v>3</v>
      </c>
      <c r="C1967" s="4" t="inlineStr">
        <is>
          <t>whitetail</t>
        </is>
      </c>
      <c r="D1967" s="4" t="n">
        <v>2023</v>
      </c>
      <c r="E1967" s="13" t="inlineStr">
        <is>
          <t>General</t>
        </is>
      </c>
      <c r="F1967" s="5" t="n">
        <v>490</v>
      </c>
      <c r="G1967" s="5" t="n">
        <v>2685</v>
      </c>
      <c r="H1967" s="5" t="n">
        <v>105</v>
      </c>
      <c r="I1967" s="5" t="n">
        <v>57</v>
      </c>
      <c r="J1967" s="5" t="n">
        <v>41</v>
      </c>
      <c r="K1967" s="10">
        <f>IF(F1967&gt;0,H1967/F1967,"")</f>
        <v/>
      </c>
      <c r="L1967" s="16">
        <f>IF(AND(G1967&gt;0,H1967&gt;0),G1967/H1967,"")</f>
        <v/>
      </c>
    </row>
    <row r="1968">
      <c r="A1968" s="4" t="inlineStr">
        <is>
          <t>304</t>
        </is>
      </c>
      <c r="B1968" s="4" t="n">
        <v>3</v>
      </c>
      <c r="C1968" s="4" t="inlineStr">
        <is>
          <t>whitetail</t>
        </is>
      </c>
      <c r="D1968" s="4" t="n">
        <v>2024</v>
      </c>
      <c r="E1968" s="13" t="inlineStr">
        <is>
          <t>General</t>
        </is>
      </c>
      <c r="F1968" s="5" t="n"/>
      <c r="G1968" s="5" t="n"/>
      <c r="H1968" s="5" t="n">
        <v>85</v>
      </c>
      <c r="I1968" s="5" t="n">
        <v>54</v>
      </c>
      <c r="J1968" s="5" t="n">
        <v>31</v>
      </c>
      <c r="K1968" s="10">
        <f>IF(F1968&gt;0,H1968/F1968,"")</f>
        <v/>
      </c>
      <c r="L1968" s="16">
        <f>IF(AND(G1968&gt;0,H1968&gt;0),G1968/H1968,"")</f>
        <v/>
      </c>
    </row>
    <row r="1969">
      <c r="A1969" s="4" t="inlineStr">
        <is>
          <t>304</t>
        </is>
      </c>
      <c r="B1969" s="4" t="n">
        <v>3</v>
      </c>
      <c r="C1969" s="4" t="inlineStr">
        <is>
          <t>whitetail</t>
        </is>
      </c>
      <c r="D1969" s="4" t="n">
        <v>2025</v>
      </c>
      <c r="E1969" s="13" t="inlineStr">
        <is>
          <t>General</t>
        </is>
      </c>
      <c r="F1969" s="5" t="n">
        <v>462</v>
      </c>
      <c r="G1969" s="5" t="n">
        <v>2772</v>
      </c>
      <c r="H1969" s="5" t="n">
        <v>110</v>
      </c>
      <c r="I1969" s="5" t="n">
        <v>76</v>
      </c>
      <c r="J1969" s="5" t="n">
        <v>35</v>
      </c>
      <c r="K1969" s="10">
        <f>IF(F1969&gt;0,H1969/F1969,"")</f>
        <v/>
      </c>
      <c r="L1969" s="16">
        <f>IF(AND(G1969&gt;0,H1969&gt;0),G1969/H1969,"")</f>
        <v/>
      </c>
    </row>
    <row r="1970">
      <c r="A1970" s="4" t="inlineStr">
        <is>
          <t>309</t>
        </is>
      </c>
      <c r="B1970" s="4" t="n">
        <v>3</v>
      </c>
      <c r="C1970" s="4" t="inlineStr">
        <is>
          <t>whitetail</t>
        </is>
      </c>
      <c r="D1970" s="4" t="n">
        <v>2021</v>
      </c>
      <c r="E1970" s="13" t="inlineStr">
        <is>
          <t>General</t>
        </is>
      </c>
      <c r="F1970" s="5" t="n">
        <v>764</v>
      </c>
      <c r="G1970" s="5" t="n">
        <v>4932</v>
      </c>
      <c r="H1970" s="5" t="n">
        <v>498</v>
      </c>
      <c r="I1970" s="5" t="n">
        <v>267</v>
      </c>
      <c r="J1970" s="5" t="n">
        <v>232</v>
      </c>
      <c r="K1970" s="10">
        <f>IF(F1970&gt;0,H1970/F1970,"")</f>
        <v/>
      </c>
      <c r="L1970" s="16">
        <f>IF(AND(G1970&gt;0,H1970&gt;0),G1970/H1970,"")</f>
        <v/>
      </c>
    </row>
    <row r="1971">
      <c r="A1971" s="4" t="inlineStr">
        <is>
          <t>309</t>
        </is>
      </c>
      <c r="B1971" s="4" t="n">
        <v>3</v>
      </c>
      <c r="C1971" s="4" t="inlineStr">
        <is>
          <t>whitetail</t>
        </is>
      </c>
      <c r="D1971" s="4" t="n">
        <v>2022</v>
      </c>
      <c r="E1971" s="13" t="inlineStr">
        <is>
          <t>General</t>
        </is>
      </c>
      <c r="F1971" s="5" t="n"/>
      <c r="G1971" s="5" t="n"/>
      <c r="H1971" s="5" t="n">
        <v>488</v>
      </c>
      <c r="I1971" s="5" t="n">
        <v>223</v>
      </c>
      <c r="J1971" s="5" t="n">
        <v>265</v>
      </c>
      <c r="K1971" s="10">
        <f>IF(F1971&gt;0,H1971/F1971,"")</f>
        <v/>
      </c>
      <c r="L1971" s="16">
        <f>IF(AND(G1971&gt;0,H1971&gt;0),G1971/H1971,"")</f>
        <v/>
      </c>
    </row>
    <row r="1972">
      <c r="A1972" s="4" t="inlineStr">
        <is>
          <t>309</t>
        </is>
      </c>
      <c r="B1972" s="4" t="n">
        <v>3</v>
      </c>
      <c r="C1972" s="4" t="inlineStr">
        <is>
          <t>whitetail</t>
        </is>
      </c>
      <c r="D1972" s="4" t="n">
        <v>2023</v>
      </c>
      <c r="E1972" s="13" t="inlineStr">
        <is>
          <t>General</t>
        </is>
      </c>
      <c r="F1972" s="5" t="n">
        <v>627</v>
      </c>
      <c r="G1972" s="5" t="n">
        <v>4167</v>
      </c>
      <c r="H1972" s="5" t="n">
        <v>398</v>
      </c>
      <c r="I1972" s="5" t="n">
        <v>196</v>
      </c>
      <c r="J1972" s="5" t="n">
        <v>202</v>
      </c>
      <c r="K1972" s="10">
        <f>IF(F1972&gt;0,H1972/F1972,"")</f>
        <v/>
      </c>
      <c r="L1972" s="16">
        <f>IF(AND(G1972&gt;0,H1972&gt;0),G1972/H1972,"")</f>
        <v/>
      </c>
    </row>
    <row r="1973">
      <c r="A1973" s="4" t="inlineStr">
        <is>
          <t>309</t>
        </is>
      </c>
      <c r="B1973" s="4" t="n">
        <v>3</v>
      </c>
      <c r="C1973" s="4" t="inlineStr">
        <is>
          <t>whitetail</t>
        </is>
      </c>
      <c r="D1973" s="4" t="n">
        <v>2024</v>
      </c>
      <c r="E1973" s="13" t="inlineStr">
        <is>
          <t>General</t>
        </is>
      </c>
      <c r="F1973" s="5" t="n"/>
      <c r="G1973" s="5" t="n"/>
      <c r="H1973" s="5" t="n">
        <v>405</v>
      </c>
      <c r="I1973" s="5" t="n">
        <v>236</v>
      </c>
      <c r="J1973" s="5" t="n">
        <v>169</v>
      </c>
      <c r="K1973" s="10">
        <f>IF(F1973&gt;0,H1973/F1973,"")</f>
        <v/>
      </c>
      <c r="L1973" s="16">
        <f>IF(AND(G1973&gt;0,H1973&gt;0),G1973/H1973,"")</f>
        <v/>
      </c>
    </row>
    <row r="1974">
      <c r="A1974" s="4" t="inlineStr">
        <is>
          <t>309</t>
        </is>
      </c>
      <c r="B1974" s="4" t="n">
        <v>3</v>
      </c>
      <c r="C1974" s="4" t="inlineStr">
        <is>
          <t>whitetail</t>
        </is>
      </c>
      <c r="D1974" s="4" t="n">
        <v>2025</v>
      </c>
      <c r="E1974" s="13" t="inlineStr">
        <is>
          <t>General</t>
        </is>
      </c>
      <c r="F1974" s="5" t="n">
        <v>802</v>
      </c>
      <c r="G1974" s="5" t="n">
        <v>5389</v>
      </c>
      <c r="H1974" s="5" t="n">
        <v>346</v>
      </c>
      <c r="I1974" s="5" t="n">
        <v>174</v>
      </c>
      <c r="J1974" s="5" t="n">
        <v>173</v>
      </c>
      <c r="K1974" s="10">
        <f>IF(F1974&gt;0,H1974/F1974,"")</f>
        <v/>
      </c>
      <c r="L1974" s="16">
        <f>IF(AND(G1974&gt;0,H1974&gt;0),G1974/H1974,"")</f>
        <v/>
      </c>
    </row>
    <row r="1975">
      <c r="A1975" s="4" t="inlineStr">
        <is>
          <t>310</t>
        </is>
      </c>
      <c r="B1975" s="4" t="n">
        <v>3</v>
      </c>
      <c r="C1975" s="4" t="inlineStr">
        <is>
          <t>whitetail</t>
        </is>
      </c>
      <c r="D1975" s="4" t="n">
        <v>2021</v>
      </c>
      <c r="E1975" s="13" t="inlineStr">
        <is>
          <t>General</t>
        </is>
      </c>
      <c r="F1975" s="5" t="n">
        <v>295</v>
      </c>
      <c r="G1975" s="5" t="n">
        <v>1884</v>
      </c>
      <c r="H1975" s="5" t="n">
        <v>11</v>
      </c>
      <c r="I1975" s="5" t="n">
        <v>11</v>
      </c>
      <c r="J1975" s="5" t="n">
        <v>0</v>
      </c>
      <c r="K1975" s="10">
        <f>IF(F1975&gt;0,H1975/F1975,"")</f>
        <v/>
      </c>
      <c r="L1975" s="16">
        <f>IF(AND(G1975&gt;0,H1975&gt;0),G1975/H1975,"")</f>
        <v/>
      </c>
    </row>
    <row r="1976">
      <c r="A1976" s="4" t="inlineStr">
        <is>
          <t>310</t>
        </is>
      </c>
      <c r="B1976" s="4" t="n">
        <v>3</v>
      </c>
      <c r="C1976" s="4" t="inlineStr">
        <is>
          <t>whitetail</t>
        </is>
      </c>
      <c r="D1976" s="4" t="n">
        <v>2022</v>
      </c>
      <c r="E1976" s="13" t="inlineStr">
        <is>
          <t>General</t>
        </is>
      </c>
      <c r="F1976" s="5" t="n"/>
      <c r="G1976" s="5" t="n"/>
      <c r="H1976" s="5" t="n">
        <v>25</v>
      </c>
      <c r="I1976" s="5" t="n">
        <v>10</v>
      </c>
      <c r="J1976" s="5" t="n">
        <v>15</v>
      </c>
      <c r="K1976" s="10">
        <f>IF(F1976&gt;0,H1976/F1976,"")</f>
        <v/>
      </c>
      <c r="L1976" s="16">
        <f>IF(AND(G1976&gt;0,H1976&gt;0),G1976/H1976,"")</f>
        <v/>
      </c>
    </row>
    <row r="1977">
      <c r="A1977" s="4" t="inlineStr">
        <is>
          <t>310</t>
        </is>
      </c>
      <c r="B1977" s="4" t="n">
        <v>3</v>
      </c>
      <c r="C1977" s="4" t="inlineStr">
        <is>
          <t>whitetail</t>
        </is>
      </c>
      <c r="D1977" s="4" t="n">
        <v>2023</v>
      </c>
      <c r="E1977" s="13" t="inlineStr">
        <is>
          <t>General</t>
        </is>
      </c>
      <c r="F1977" s="5" t="n">
        <v>504</v>
      </c>
      <c r="G1977" s="5" t="n">
        <v>3778</v>
      </c>
      <c r="H1977" s="5" t="n">
        <v>36</v>
      </c>
      <c r="I1977" s="5" t="n">
        <v>23</v>
      </c>
      <c r="J1977" s="5" t="n">
        <v>13</v>
      </c>
      <c r="K1977" s="10">
        <f>IF(F1977&gt;0,H1977/F1977,"")</f>
        <v/>
      </c>
      <c r="L1977" s="16">
        <f>IF(AND(G1977&gt;0,H1977&gt;0),G1977/H1977,"")</f>
        <v/>
      </c>
    </row>
    <row r="1978">
      <c r="A1978" s="4" t="inlineStr">
        <is>
          <t>310</t>
        </is>
      </c>
      <c r="B1978" s="4" t="n">
        <v>3</v>
      </c>
      <c r="C1978" s="4" t="inlineStr">
        <is>
          <t>whitetail</t>
        </is>
      </c>
      <c r="D1978" s="4" t="n">
        <v>2024</v>
      </c>
      <c r="E1978" s="13" t="inlineStr">
        <is>
          <t>General</t>
        </is>
      </c>
      <c r="F1978" s="5" t="n"/>
      <c r="G1978" s="5" t="n"/>
      <c r="H1978" s="5" t="n">
        <v>21</v>
      </c>
      <c r="I1978" s="5" t="n">
        <v>16</v>
      </c>
      <c r="J1978" s="5" t="n">
        <v>6</v>
      </c>
      <c r="K1978" s="10">
        <f>IF(F1978&gt;0,H1978/F1978,"")</f>
        <v/>
      </c>
      <c r="L1978" s="16">
        <f>IF(AND(G1978&gt;0,H1978&gt;0),G1978/H1978,"")</f>
        <v/>
      </c>
    </row>
    <row r="1979">
      <c r="A1979" s="4" t="inlineStr">
        <is>
          <t>310</t>
        </is>
      </c>
      <c r="B1979" s="4" t="n">
        <v>3</v>
      </c>
      <c r="C1979" s="4" t="inlineStr">
        <is>
          <t>whitetail</t>
        </is>
      </c>
      <c r="D1979" s="4" t="n">
        <v>2025</v>
      </c>
      <c r="E1979" s="13" t="inlineStr">
        <is>
          <t>General</t>
        </is>
      </c>
      <c r="F1979" s="5" t="n">
        <v>527</v>
      </c>
      <c r="G1979" s="5" t="n">
        <v>3514</v>
      </c>
      <c r="H1979" s="5" t="n">
        <v>38</v>
      </c>
      <c r="I1979" s="5" t="n">
        <v>31</v>
      </c>
      <c r="J1979" s="5" t="n">
        <v>7</v>
      </c>
      <c r="K1979" s="10">
        <f>IF(F1979&gt;0,H1979/F1979,"")</f>
        <v/>
      </c>
      <c r="L1979" s="16">
        <f>IF(AND(G1979&gt;0,H1979&gt;0),G1979/H1979,"")</f>
        <v/>
      </c>
    </row>
    <row r="1980">
      <c r="A1980" s="4" t="inlineStr">
        <is>
          <t>311</t>
        </is>
      </c>
      <c r="B1980" s="4" t="n">
        <v>3</v>
      </c>
      <c r="C1980" s="4" t="inlineStr">
        <is>
          <t>whitetail</t>
        </is>
      </c>
      <c r="D1980" s="4" t="n">
        <v>2021</v>
      </c>
      <c r="E1980" s="13" t="inlineStr">
        <is>
          <t>General</t>
        </is>
      </c>
      <c r="F1980" s="5" t="n">
        <v>1928</v>
      </c>
      <c r="G1980" s="5" t="n">
        <v>12380</v>
      </c>
      <c r="H1980" s="5" t="n">
        <v>697</v>
      </c>
      <c r="I1980" s="5" t="n">
        <v>348</v>
      </c>
      <c r="J1980" s="5" t="n">
        <v>349</v>
      </c>
      <c r="K1980" s="10">
        <f>IF(F1980&gt;0,H1980/F1980,"")</f>
        <v/>
      </c>
      <c r="L1980" s="16">
        <f>IF(AND(G1980&gt;0,H1980&gt;0),G1980/H1980,"")</f>
        <v/>
      </c>
    </row>
    <row r="1981">
      <c r="A1981" s="4" t="inlineStr">
        <is>
          <t>311</t>
        </is>
      </c>
      <c r="B1981" s="4" t="n">
        <v>3</v>
      </c>
      <c r="C1981" s="4" t="inlineStr">
        <is>
          <t>whitetail</t>
        </is>
      </c>
      <c r="D1981" s="4" t="n">
        <v>2022</v>
      </c>
      <c r="E1981" s="13" t="inlineStr">
        <is>
          <t>General</t>
        </is>
      </c>
      <c r="F1981" s="5" t="n"/>
      <c r="G1981" s="5" t="n"/>
      <c r="H1981" s="5" t="n">
        <v>629</v>
      </c>
      <c r="I1981" s="5" t="n">
        <v>321</v>
      </c>
      <c r="J1981" s="5" t="n">
        <v>305</v>
      </c>
      <c r="K1981" s="10">
        <f>IF(F1981&gt;0,H1981/F1981,"")</f>
        <v/>
      </c>
      <c r="L1981" s="16">
        <f>IF(AND(G1981&gt;0,H1981&gt;0),G1981/H1981,"")</f>
        <v/>
      </c>
    </row>
    <row r="1982">
      <c r="A1982" s="4" t="inlineStr">
        <is>
          <t>311</t>
        </is>
      </c>
      <c r="B1982" s="4" t="n">
        <v>3</v>
      </c>
      <c r="C1982" s="4" t="inlineStr">
        <is>
          <t>whitetail</t>
        </is>
      </c>
      <c r="D1982" s="4" t="n">
        <v>2023</v>
      </c>
      <c r="E1982" s="13" t="inlineStr">
        <is>
          <t>General</t>
        </is>
      </c>
      <c r="F1982" s="5" t="n">
        <v>1596</v>
      </c>
      <c r="G1982" s="5" t="n">
        <v>9556</v>
      </c>
      <c r="H1982" s="5" t="n">
        <v>648</v>
      </c>
      <c r="I1982" s="5" t="n">
        <v>319</v>
      </c>
      <c r="J1982" s="5" t="n">
        <v>326</v>
      </c>
      <c r="K1982" s="10">
        <f>IF(F1982&gt;0,H1982/F1982,"")</f>
        <v/>
      </c>
      <c r="L1982" s="16">
        <f>IF(AND(G1982&gt;0,H1982&gt;0),G1982/H1982,"")</f>
        <v/>
      </c>
    </row>
    <row r="1983">
      <c r="A1983" s="4" t="inlineStr">
        <is>
          <t>311</t>
        </is>
      </c>
      <c r="B1983" s="4" t="n">
        <v>3</v>
      </c>
      <c r="C1983" s="4" t="inlineStr">
        <is>
          <t>whitetail</t>
        </is>
      </c>
      <c r="D1983" s="4" t="n">
        <v>2024</v>
      </c>
      <c r="E1983" s="13" t="inlineStr">
        <is>
          <t>General</t>
        </is>
      </c>
      <c r="F1983" s="5" t="n"/>
      <c r="G1983" s="5" t="n"/>
      <c r="H1983" s="5" t="n">
        <v>692</v>
      </c>
      <c r="I1983" s="5" t="n">
        <v>312</v>
      </c>
      <c r="J1983" s="5" t="n">
        <v>377</v>
      </c>
      <c r="K1983" s="10">
        <f>IF(F1983&gt;0,H1983/F1983,"")</f>
        <v/>
      </c>
      <c r="L1983" s="16">
        <f>IF(AND(G1983&gt;0,H1983&gt;0),G1983/H1983,"")</f>
        <v/>
      </c>
    </row>
    <row r="1984">
      <c r="A1984" s="4" t="inlineStr">
        <is>
          <t>311</t>
        </is>
      </c>
      <c r="B1984" s="4" t="n">
        <v>3</v>
      </c>
      <c r="C1984" s="4" t="inlineStr">
        <is>
          <t>whitetail</t>
        </is>
      </c>
      <c r="D1984" s="4" t="n">
        <v>2025</v>
      </c>
      <c r="E1984" s="13" t="inlineStr">
        <is>
          <t>General</t>
        </is>
      </c>
      <c r="F1984" s="5" t="n">
        <v>1633</v>
      </c>
      <c r="G1984" s="5" t="n">
        <v>9458</v>
      </c>
      <c r="H1984" s="5" t="n">
        <v>653</v>
      </c>
      <c r="I1984" s="5" t="n">
        <v>298</v>
      </c>
      <c r="J1984" s="5" t="n">
        <v>355</v>
      </c>
      <c r="K1984" s="10">
        <f>IF(F1984&gt;0,H1984/F1984,"")</f>
        <v/>
      </c>
      <c r="L1984" s="16">
        <f>IF(AND(G1984&gt;0,H1984&gt;0),G1984/H1984,"")</f>
        <v/>
      </c>
    </row>
    <row r="1985">
      <c r="A1985" s="4" t="inlineStr">
        <is>
          <t>312</t>
        </is>
      </c>
      <c r="B1985" s="4" t="n">
        <v>3</v>
      </c>
      <c r="C1985" s="4" t="inlineStr">
        <is>
          <t>whitetail</t>
        </is>
      </c>
      <c r="D1985" s="4" t="n">
        <v>2021</v>
      </c>
      <c r="E1985" s="13" t="inlineStr">
        <is>
          <t>General</t>
        </is>
      </c>
      <c r="F1985" s="5" t="n">
        <v>1341</v>
      </c>
      <c r="G1985" s="5" t="n">
        <v>7253</v>
      </c>
      <c r="H1985" s="5" t="n">
        <v>486</v>
      </c>
      <c r="I1985" s="5" t="n">
        <v>297</v>
      </c>
      <c r="J1985" s="5" t="n">
        <v>189</v>
      </c>
      <c r="K1985" s="10">
        <f>IF(F1985&gt;0,H1985/F1985,"")</f>
        <v/>
      </c>
      <c r="L1985" s="16">
        <f>IF(AND(G1985&gt;0,H1985&gt;0),G1985/H1985,"")</f>
        <v/>
      </c>
    </row>
    <row r="1986">
      <c r="A1986" s="4" t="inlineStr">
        <is>
          <t>312</t>
        </is>
      </c>
      <c r="B1986" s="4" t="n">
        <v>3</v>
      </c>
      <c r="C1986" s="4" t="inlineStr">
        <is>
          <t>whitetail</t>
        </is>
      </c>
      <c r="D1986" s="4" t="n">
        <v>2022</v>
      </c>
      <c r="E1986" s="13" t="inlineStr">
        <is>
          <t>General</t>
        </is>
      </c>
      <c r="F1986" s="5" t="n"/>
      <c r="G1986" s="5" t="n"/>
      <c r="H1986" s="5" t="n">
        <v>503</v>
      </c>
      <c r="I1986" s="5" t="n">
        <v>283</v>
      </c>
      <c r="J1986" s="5" t="n">
        <v>221</v>
      </c>
      <c r="K1986" s="10">
        <f>IF(F1986&gt;0,H1986/F1986,"")</f>
        <v/>
      </c>
      <c r="L1986" s="16">
        <f>IF(AND(G1986&gt;0,H1986&gt;0),G1986/H1986,"")</f>
        <v/>
      </c>
    </row>
    <row r="1987">
      <c r="A1987" s="4" t="inlineStr">
        <is>
          <t>312</t>
        </is>
      </c>
      <c r="B1987" s="4" t="n">
        <v>3</v>
      </c>
      <c r="C1987" s="4" t="inlineStr">
        <is>
          <t>whitetail</t>
        </is>
      </c>
      <c r="D1987" s="4" t="n">
        <v>2023</v>
      </c>
      <c r="E1987" s="13" t="inlineStr">
        <is>
          <t>General</t>
        </is>
      </c>
      <c r="F1987" s="5" t="n">
        <v>1471</v>
      </c>
      <c r="G1987" s="5" t="n">
        <v>8723</v>
      </c>
      <c r="H1987" s="5" t="n">
        <v>370</v>
      </c>
      <c r="I1987" s="5" t="n">
        <v>203</v>
      </c>
      <c r="J1987" s="5" t="n">
        <v>164</v>
      </c>
      <c r="K1987" s="10">
        <f>IF(F1987&gt;0,H1987/F1987,"")</f>
        <v/>
      </c>
      <c r="L1987" s="16">
        <f>IF(AND(G1987&gt;0,H1987&gt;0),G1987/H1987,"")</f>
        <v/>
      </c>
    </row>
    <row r="1988">
      <c r="A1988" s="4" t="inlineStr">
        <is>
          <t>312</t>
        </is>
      </c>
      <c r="B1988" s="4" t="n">
        <v>3</v>
      </c>
      <c r="C1988" s="4" t="inlineStr">
        <is>
          <t>whitetail</t>
        </is>
      </c>
      <c r="D1988" s="4" t="n">
        <v>2024</v>
      </c>
      <c r="E1988" s="13" t="inlineStr">
        <is>
          <t>General</t>
        </is>
      </c>
      <c r="F1988" s="5" t="n"/>
      <c r="G1988" s="5" t="n"/>
      <c r="H1988" s="5" t="n">
        <v>535</v>
      </c>
      <c r="I1988" s="5" t="n">
        <v>339</v>
      </c>
      <c r="J1988" s="5" t="n">
        <v>196</v>
      </c>
      <c r="K1988" s="10">
        <f>IF(F1988&gt;0,H1988/F1988,"")</f>
        <v/>
      </c>
      <c r="L1988" s="16">
        <f>IF(AND(G1988&gt;0,H1988&gt;0),G1988/H1988,"")</f>
        <v/>
      </c>
    </row>
    <row r="1989">
      <c r="A1989" s="4" t="inlineStr">
        <is>
          <t>312</t>
        </is>
      </c>
      <c r="B1989" s="4" t="n">
        <v>3</v>
      </c>
      <c r="C1989" s="4" t="inlineStr">
        <is>
          <t>whitetail</t>
        </is>
      </c>
      <c r="D1989" s="4" t="n">
        <v>2025</v>
      </c>
      <c r="E1989" s="13" t="inlineStr">
        <is>
          <t>General</t>
        </is>
      </c>
      <c r="F1989" s="5" t="n">
        <v>1459</v>
      </c>
      <c r="G1989" s="5" t="n">
        <v>8909</v>
      </c>
      <c r="H1989" s="5" t="n">
        <v>417</v>
      </c>
      <c r="I1989" s="5" t="n">
        <v>250</v>
      </c>
      <c r="J1989" s="5" t="n">
        <v>163</v>
      </c>
      <c r="K1989" s="10">
        <f>IF(F1989&gt;0,H1989/F1989,"")</f>
        <v/>
      </c>
      <c r="L1989" s="16">
        <f>IF(AND(G1989&gt;0,H1989&gt;0),G1989/H1989,"")</f>
        <v/>
      </c>
    </row>
    <row r="1990">
      <c r="A1990" s="4" t="inlineStr">
        <is>
          <t>313</t>
        </is>
      </c>
      <c r="B1990" s="4" t="n">
        <v>3</v>
      </c>
      <c r="C1990" s="4" t="inlineStr">
        <is>
          <t>whitetail</t>
        </is>
      </c>
      <c r="D1990" s="4" t="n">
        <v>2021</v>
      </c>
      <c r="E1990" s="13" t="inlineStr">
        <is>
          <t>General</t>
        </is>
      </c>
      <c r="F1990" s="5" t="n">
        <v>733</v>
      </c>
      <c r="G1990" s="5" t="n">
        <v>4594</v>
      </c>
      <c r="H1990" s="5" t="n">
        <v>27</v>
      </c>
      <c r="I1990" s="5" t="n">
        <v>8</v>
      </c>
      <c r="J1990" s="5" t="n">
        <v>19</v>
      </c>
      <c r="K1990" s="10">
        <f>IF(F1990&gt;0,H1990/F1990,"")</f>
        <v/>
      </c>
      <c r="L1990" s="16">
        <f>IF(AND(G1990&gt;0,H1990&gt;0),G1990/H1990,"")</f>
        <v/>
      </c>
    </row>
    <row r="1991">
      <c r="A1991" s="4" t="inlineStr">
        <is>
          <t>313</t>
        </is>
      </c>
      <c r="B1991" s="4" t="n">
        <v>3</v>
      </c>
      <c r="C1991" s="4" t="inlineStr">
        <is>
          <t>whitetail</t>
        </is>
      </c>
      <c r="D1991" s="4" t="n">
        <v>2022</v>
      </c>
      <c r="E1991" s="13" t="inlineStr">
        <is>
          <t>General</t>
        </is>
      </c>
      <c r="F1991" s="5" t="n"/>
      <c r="G1991" s="5" t="n"/>
      <c r="H1991" s="5" t="n">
        <v>37</v>
      </c>
      <c r="I1991" s="5" t="n">
        <v>25</v>
      </c>
      <c r="J1991" s="5" t="n">
        <v>12</v>
      </c>
      <c r="K1991" s="10">
        <f>IF(F1991&gt;0,H1991/F1991,"")</f>
        <v/>
      </c>
      <c r="L1991" s="16">
        <f>IF(AND(G1991&gt;0,H1991&gt;0),G1991/H1991,"")</f>
        <v/>
      </c>
    </row>
    <row r="1992">
      <c r="A1992" s="4" t="inlineStr">
        <is>
          <t>313</t>
        </is>
      </c>
      <c r="B1992" s="4" t="n">
        <v>3</v>
      </c>
      <c r="C1992" s="4" t="inlineStr">
        <is>
          <t>whitetail</t>
        </is>
      </c>
      <c r="D1992" s="4" t="n">
        <v>2023</v>
      </c>
      <c r="E1992" s="13" t="inlineStr">
        <is>
          <t>General</t>
        </is>
      </c>
      <c r="F1992" s="5" t="n">
        <v>633</v>
      </c>
      <c r="G1992" s="5" t="n">
        <v>4776</v>
      </c>
      <c r="H1992" s="5" t="n">
        <v>35</v>
      </c>
      <c r="I1992" s="5" t="n">
        <v>13</v>
      </c>
      <c r="J1992" s="5" t="n">
        <v>22</v>
      </c>
      <c r="K1992" s="10">
        <f>IF(F1992&gt;0,H1992/F1992,"")</f>
        <v/>
      </c>
      <c r="L1992" s="16">
        <f>IF(AND(G1992&gt;0,H1992&gt;0),G1992/H1992,"")</f>
        <v/>
      </c>
    </row>
    <row r="1993">
      <c r="A1993" s="4" t="inlineStr">
        <is>
          <t>313</t>
        </is>
      </c>
      <c r="B1993" s="4" t="n">
        <v>3</v>
      </c>
      <c r="C1993" s="4" t="inlineStr">
        <is>
          <t>whitetail</t>
        </is>
      </c>
      <c r="D1993" s="4" t="n">
        <v>2024</v>
      </c>
      <c r="E1993" s="13" t="inlineStr">
        <is>
          <t>General</t>
        </is>
      </c>
      <c r="F1993" s="5" t="n"/>
      <c r="G1993" s="5" t="n"/>
      <c r="H1993" s="5" t="n">
        <v>24</v>
      </c>
      <c r="I1993" s="5" t="n">
        <v>15</v>
      </c>
      <c r="J1993" s="5" t="n">
        <v>9</v>
      </c>
      <c r="K1993" s="10">
        <f>IF(F1993&gt;0,H1993/F1993,"")</f>
        <v/>
      </c>
      <c r="L1993" s="16">
        <f>IF(AND(G1993&gt;0,H1993&gt;0),G1993/H1993,"")</f>
        <v/>
      </c>
    </row>
    <row r="1994">
      <c r="A1994" s="4" t="inlineStr">
        <is>
          <t>313</t>
        </is>
      </c>
      <c r="B1994" s="4" t="n">
        <v>3</v>
      </c>
      <c r="C1994" s="4" t="inlineStr">
        <is>
          <t>whitetail</t>
        </is>
      </c>
      <c r="D1994" s="4" t="n">
        <v>2025</v>
      </c>
      <c r="E1994" s="13" t="inlineStr">
        <is>
          <t>General</t>
        </is>
      </c>
      <c r="F1994" s="5" t="n">
        <v>810</v>
      </c>
      <c r="G1994" s="5" t="n">
        <v>5205</v>
      </c>
      <c r="H1994" s="5" t="n">
        <v>50</v>
      </c>
      <c r="I1994" s="5" t="n">
        <v>27</v>
      </c>
      <c r="J1994" s="5" t="n">
        <v>23</v>
      </c>
      <c r="K1994" s="10">
        <f>IF(F1994&gt;0,H1994/F1994,"")</f>
        <v/>
      </c>
      <c r="L1994" s="16">
        <f>IF(AND(G1994&gt;0,H1994&gt;0),G1994/H1994,"")</f>
        <v/>
      </c>
    </row>
    <row r="1995">
      <c r="A1995" s="4" t="inlineStr">
        <is>
          <t>314</t>
        </is>
      </c>
      <c r="B1995" s="4" t="n">
        <v>3</v>
      </c>
      <c r="C1995" s="4" t="inlineStr">
        <is>
          <t>whitetail</t>
        </is>
      </c>
      <c r="D1995" s="4" t="n">
        <v>2021</v>
      </c>
      <c r="E1995" s="13" t="inlineStr">
        <is>
          <t>General</t>
        </is>
      </c>
      <c r="F1995" s="5" t="n">
        <v>1456</v>
      </c>
      <c r="G1995" s="5" t="n">
        <v>9056</v>
      </c>
      <c r="H1995" s="5" t="n">
        <v>224</v>
      </c>
      <c r="I1995" s="5" t="n">
        <v>121</v>
      </c>
      <c r="J1995" s="5" t="n">
        <v>103</v>
      </c>
      <c r="K1995" s="10">
        <f>IF(F1995&gt;0,H1995/F1995,"")</f>
        <v/>
      </c>
      <c r="L1995" s="16">
        <f>IF(AND(G1995&gt;0,H1995&gt;0),G1995/H1995,"")</f>
        <v/>
      </c>
    </row>
    <row r="1996">
      <c r="A1996" s="4" t="inlineStr">
        <is>
          <t>314</t>
        </is>
      </c>
      <c r="B1996" s="4" t="n">
        <v>3</v>
      </c>
      <c r="C1996" s="4" t="inlineStr">
        <is>
          <t>whitetail</t>
        </is>
      </c>
      <c r="D1996" s="4" t="n">
        <v>2022</v>
      </c>
      <c r="E1996" s="13" t="inlineStr">
        <is>
          <t>General</t>
        </is>
      </c>
      <c r="F1996" s="5" t="n"/>
      <c r="G1996" s="5" t="n"/>
      <c r="H1996" s="5" t="n">
        <v>207</v>
      </c>
      <c r="I1996" s="5" t="n">
        <v>102</v>
      </c>
      <c r="J1996" s="5" t="n">
        <v>105</v>
      </c>
      <c r="K1996" s="10">
        <f>IF(F1996&gt;0,H1996/F1996,"")</f>
        <v/>
      </c>
      <c r="L1996" s="16">
        <f>IF(AND(G1996&gt;0,H1996&gt;0),G1996/H1996,"")</f>
        <v/>
      </c>
    </row>
    <row r="1997">
      <c r="A1997" s="4" t="inlineStr">
        <is>
          <t>314</t>
        </is>
      </c>
      <c r="B1997" s="4" t="n">
        <v>3</v>
      </c>
      <c r="C1997" s="4" t="inlineStr">
        <is>
          <t>whitetail</t>
        </is>
      </c>
      <c r="D1997" s="4" t="n">
        <v>2023</v>
      </c>
      <c r="E1997" s="13" t="inlineStr">
        <is>
          <t>General</t>
        </is>
      </c>
      <c r="F1997" s="5" t="n">
        <v>1382</v>
      </c>
      <c r="G1997" s="5" t="n">
        <v>8934</v>
      </c>
      <c r="H1997" s="5" t="n">
        <v>214</v>
      </c>
      <c r="I1997" s="5" t="n">
        <v>99</v>
      </c>
      <c r="J1997" s="5" t="n">
        <v>115</v>
      </c>
      <c r="K1997" s="10">
        <f>IF(F1997&gt;0,H1997/F1997,"")</f>
        <v/>
      </c>
      <c r="L1997" s="16">
        <f>IF(AND(G1997&gt;0,H1997&gt;0),G1997/H1997,"")</f>
        <v/>
      </c>
    </row>
    <row r="1998">
      <c r="A1998" s="4" t="inlineStr">
        <is>
          <t>314</t>
        </is>
      </c>
      <c r="B1998" s="4" t="n">
        <v>3</v>
      </c>
      <c r="C1998" s="4" t="inlineStr">
        <is>
          <t>whitetail</t>
        </is>
      </c>
      <c r="D1998" s="4" t="n">
        <v>2024</v>
      </c>
      <c r="E1998" s="13" t="inlineStr">
        <is>
          <t>General</t>
        </is>
      </c>
      <c r="F1998" s="5" t="n"/>
      <c r="G1998" s="5" t="n"/>
      <c r="H1998" s="5" t="n">
        <v>238</v>
      </c>
      <c r="I1998" s="5" t="n">
        <v>136</v>
      </c>
      <c r="J1998" s="5" t="n">
        <v>102</v>
      </c>
      <c r="K1998" s="10">
        <f>IF(F1998&gt;0,H1998/F1998,"")</f>
        <v/>
      </c>
      <c r="L1998" s="16">
        <f>IF(AND(G1998&gt;0,H1998&gt;0),G1998/H1998,"")</f>
        <v/>
      </c>
    </row>
    <row r="1999">
      <c r="A1999" s="4" t="inlineStr">
        <is>
          <t>314</t>
        </is>
      </c>
      <c r="B1999" s="4" t="n">
        <v>3</v>
      </c>
      <c r="C1999" s="4" t="inlineStr">
        <is>
          <t>whitetail</t>
        </is>
      </c>
      <c r="D1999" s="4" t="n">
        <v>2025</v>
      </c>
      <c r="E1999" s="13" t="inlineStr">
        <is>
          <t>General</t>
        </is>
      </c>
      <c r="F1999" s="5" t="n">
        <v>1401</v>
      </c>
      <c r="G1999" s="5" t="n">
        <v>8661</v>
      </c>
      <c r="H1999" s="5" t="n">
        <v>282</v>
      </c>
      <c r="I1999" s="5" t="n">
        <v>154</v>
      </c>
      <c r="J1999" s="5" t="n">
        <v>125</v>
      </c>
      <c r="K1999" s="10">
        <f>IF(F1999&gt;0,H1999/F1999,"")</f>
        <v/>
      </c>
      <c r="L1999" s="16">
        <f>IF(AND(G1999&gt;0,H1999&gt;0),G1999/H1999,"")</f>
        <v/>
      </c>
    </row>
    <row r="2000">
      <c r="A2000" s="4" t="inlineStr">
        <is>
          <t>315</t>
        </is>
      </c>
      <c r="B2000" s="4" t="n">
        <v>3</v>
      </c>
      <c r="C2000" s="4" t="inlineStr">
        <is>
          <t>whitetail</t>
        </is>
      </c>
      <c r="D2000" s="4" t="n">
        <v>2021</v>
      </c>
      <c r="E2000" s="13" t="inlineStr">
        <is>
          <t>General</t>
        </is>
      </c>
      <c r="F2000" s="5" t="n">
        <v>1338</v>
      </c>
      <c r="G2000" s="5" t="n">
        <v>8170</v>
      </c>
      <c r="H2000" s="5" t="n">
        <v>400</v>
      </c>
      <c r="I2000" s="5" t="n">
        <v>225</v>
      </c>
      <c r="J2000" s="5" t="n">
        <v>175</v>
      </c>
      <c r="K2000" s="10">
        <f>IF(F2000&gt;0,H2000/F2000,"")</f>
        <v/>
      </c>
      <c r="L2000" s="16">
        <f>IF(AND(G2000&gt;0,H2000&gt;0),G2000/H2000,"")</f>
        <v/>
      </c>
    </row>
    <row r="2001">
      <c r="A2001" s="4" t="inlineStr">
        <is>
          <t>315</t>
        </is>
      </c>
      <c r="B2001" s="4" t="n">
        <v>3</v>
      </c>
      <c r="C2001" s="4" t="inlineStr">
        <is>
          <t>whitetail</t>
        </is>
      </c>
      <c r="D2001" s="4" t="n">
        <v>2022</v>
      </c>
      <c r="E2001" s="13" t="inlineStr">
        <is>
          <t>General</t>
        </is>
      </c>
      <c r="F2001" s="5" t="n"/>
      <c r="G2001" s="5" t="n"/>
      <c r="H2001" s="5" t="n">
        <v>379</v>
      </c>
      <c r="I2001" s="5" t="n">
        <v>184</v>
      </c>
      <c r="J2001" s="5" t="n">
        <v>186</v>
      </c>
      <c r="K2001" s="10">
        <f>IF(F2001&gt;0,H2001/F2001,"")</f>
        <v/>
      </c>
      <c r="L2001" s="16">
        <f>IF(AND(G2001&gt;0,H2001&gt;0),G2001/H2001,"")</f>
        <v/>
      </c>
    </row>
    <row r="2002">
      <c r="A2002" s="4" t="inlineStr">
        <is>
          <t>315</t>
        </is>
      </c>
      <c r="B2002" s="4" t="n">
        <v>3</v>
      </c>
      <c r="C2002" s="4" t="inlineStr">
        <is>
          <t>whitetail</t>
        </is>
      </c>
      <c r="D2002" s="4" t="n">
        <v>2023</v>
      </c>
      <c r="E2002" s="13" t="inlineStr">
        <is>
          <t>General</t>
        </is>
      </c>
      <c r="F2002" s="5" t="n">
        <v>1482</v>
      </c>
      <c r="G2002" s="5" t="n">
        <v>8395</v>
      </c>
      <c r="H2002" s="5" t="n">
        <v>389</v>
      </c>
      <c r="I2002" s="5" t="n">
        <v>216</v>
      </c>
      <c r="J2002" s="5" t="n">
        <v>167</v>
      </c>
      <c r="K2002" s="10">
        <f>IF(F2002&gt;0,H2002/F2002,"")</f>
        <v/>
      </c>
      <c r="L2002" s="16">
        <f>IF(AND(G2002&gt;0,H2002&gt;0),G2002/H2002,"")</f>
        <v/>
      </c>
    </row>
    <row r="2003">
      <c r="A2003" s="4" t="inlineStr">
        <is>
          <t>315</t>
        </is>
      </c>
      <c r="B2003" s="4" t="n">
        <v>3</v>
      </c>
      <c r="C2003" s="4" t="inlineStr">
        <is>
          <t>whitetail</t>
        </is>
      </c>
      <c r="D2003" s="4" t="n">
        <v>2024</v>
      </c>
      <c r="E2003" s="13" t="inlineStr">
        <is>
          <t>General</t>
        </is>
      </c>
      <c r="F2003" s="5" t="n"/>
      <c r="G2003" s="5" t="n"/>
      <c r="H2003" s="5" t="n">
        <v>381</v>
      </c>
      <c r="I2003" s="5" t="n">
        <v>166</v>
      </c>
      <c r="J2003" s="5" t="n">
        <v>206</v>
      </c>
      <c r="K2003" s="10">
        <f>IF(F2003&gt;0,H2003/F2003,"")</f>
        <v/>
      </c>
      <c r="L2003" s="16">
        <f>IF(AND(G2003&gt;0,H2003&gt;0),G2003/H2003,"")</f>
        <v/>
      </c>
    </row>
    <row r="2004">
      <c r="A2004" s="4" t="inlineStr">
        <is>
          <t>315</t>
        </is>
      </c>
      <c r="B2004" s="4" t="n">
        <v>3</v>
      </c>
      <c r="C2004" s="4" t="inlineStr">
        <is>
          <t>whitetail</t>
        </is>
      </c>
      <c r="D2004" s="4" t="n">
        <v>2025</v>
      </c>
      <c r="E2004" s="13" t="inlineStr">
        <is>
          <t>General</t>
        </is>
      </c>
      <c r="F2004" s="5" t="n">
        <v>1587</v>
      </c>
      <c r="G2004" s="5" t="n">
        <v>10277</v>
      </c>
      <c r="H2004" s="5" t="n">
        <v>315</v>
      </c>
      <c r="I2004" s="5" t="n">
        <v>152</v>
      </c>
      <c r="J2004" s="5" t="n">
        <v>160</v>
      </c>
      <c r="K2004" s="10">
        <f>IF(F2004&gt;0,H2004/F2004,"")</f>
        <v/>
      </c>
      <c r="L2004" s="16">
        <f>IF(AND(G2004&gt;0,H2004&gt;0),G2004/H2004,"")</f>
        <v/>
      </c>
    </row>
    <row r="2005">
      <c r="A2005" s="4" t="inlineStr">
        <is>
          <t>316</t>
        </is>
      </c>
      <c r="B2005" s="4" t="n">
        <v>3</v>
      </c>
      <c r="C2005" s="4" t="inlineStr">
        <is>
          <t>whitetail</t>
        </is>
      </c>
      <c r="D2005" s="4" t="n">
        <v>2022</v>
      </c>
      <c r="E2005" s="13" t="inlineStr">
        <is>
          <t>General</t>
        </is>
      </c>
      <c r="F2005" s="5" t="n"/>
      <c r="G2005" s="5" t="n"/>
      <c r="H2005" s="5" t="n">
        <v>12</v>
      </c>
      <c r="I2005" s="5" t="n">
        <v>9</v>
      </c>
      <c r="J2005" s="5" t="n">
        <v>3</v>
      </c>
      <c r="K2005" s="10">
        <f>IF(F2005&gt;0,H2005/F2005,"")</f>
        <v/>
      </c>
      <c r="L2005" s="16">
        <f>IF(AND(G2005&gt;0,H2005&gt;0),G2005/H2005,"")</f>
        <v/>
      </c>
    </row>
    <row r="2006">
      <c r="A2006" s="4" t="inlineStr">
        <is>
          <t>316</t>
        </is>
      </c>
      <c r="B2006" s="4" t="n">
        <v>3</v>
      </c>
      <c r="C2006" s="4" t="inlineStr">
        <is>
          <t>whitetail</t>
        </is>
      </c>
      <c r="D2006" s="4" t="n">
        <v>2023</v>
      </c>
      <c r="E2006" s="13" t="inlineStr">
        <is>
          <t>General</t>
        </is>
      </c>
      <c r="F2006" s="5" t="n">
        <v>143</v>
      </c>
      <c r="G2006" s="5" t="n">
        <v>857</v>
      </c>
      <c r="H2006" s="5" t="n">
        <v>6</v>
      </c>
      <c r="I2006" s="5" t="n">
        <v>6</v>
      </c>
      <c r="J2006" s="5" t="n">
        <v>0</v>
      </c>
      <c r="K2006" s="10">
        <f>IF(F2006&gt;0,H2006/F2006,"")</f>
        <v/>
      </c>
      <c r="L2006" s="16">
        <f>IF(AND(G2006&gt;0,H2006&gt;0),G2006/H2006,"")</f>
        <v/>
      </c>
    </row>
    <row r="2007">
      <c r="A2007" s="4" t="inlineStr">
        <is>
          <t>316</t>
        </is>
      </c>
      <c r="B2007" s="4" t="n">
        <v>3</v>
      </c>
      <c r="C2007" s="4" t="inlineStr">
        <is>
          <t>whitetail</t>
        </is>
      </c>
      <c r="D2007" s="4" t="n">
        <v>2024</v>
      </c>
      <c r="E2007" s="13" t="inlineStr">
        <is>
          <t>General</t>
        </is>
      </c>
      <c r="F2007" s="5" t="n"/>
      <c r="G2007" s="5" t="n"/>
      <c r="H2007" s="5" t="n">
        <v>6</v>
      </c>
      <c r="I2007" s="5" t="n">
        <v>3</v>
      </c>
      <c r="J2007" s="5" t="n">
        <v>3</v>
      </c>
      <c r="K2007" s="10">
        <f>IF(F2007&gt;0,H2007/F2007,"")</f>
        <v/>
      </c>
      <c r="L2007" s="16">
        <f>IF(AND(G2007&gt;0,H2007&gt;0),G2007/H2007,"")</f>
        <v/>
      </c>
    </row>
    <row r="2008">
      <c r="A2008" s="4" t="inlineStr">
        <is>
          <t>316</t>
        </is>
      </c>
      <c r="B2008" s="4" t="n">
        <v>3</v>
      </c>
      <c r="C2008" s="4" t="inlineStr">
        <is>
          <t>whitetail</t>
        </is>
      </c>
      <c r="D2008" s="4" t="n">
        <v>2025</v>
      </c>
      <c r="E2008" s="13" t="inlineStr">
        <is>
          <t>General</t>
        </is>
      </c>
      <c r="F2008" s="5" t="n">
        <v>185</v>
      </c>
      <c r="G2008" s="5" t="n">
        <v>1102</v>
      </c>
      <c r="H2008" s="5" t="n">
        <v>3</v>
      </c>
      <c r="I2008" s="5" t="n">
        <v>0</v>
      </c>
      <c r="J2008" s="5" t="n">
        <v>3</v>
      </c>
      <c r="K2008" s="10">
        <f>IF(F2008&gt;0,H2008/F2008,"")</f>
        <v/>
      </c>
      <c r="L2008" s="16">
        <f>IF(AND(G2008&gt;0,H2008&gt;0),G2008/H2008,"")</f>
        <v/>
      </c>
    </row>
    <row r="2009">
      <c r="A2009" s="4" t="inlineStr">
        <is>
          <t>317</t>
        </is>
      </c>
      <c r="B2009" s="4" t="n">
        <v>3</v>
      </c>
      <c r="C2009" s="4" t="inlineStr">
        <is>
          <t>whitetail</t>
        </is>
      </c>
      <c r="D2009" s="4" t="n">
        <v>2021</v>
      </c>
      <c r="E2009" s="13" t="inlineStr">
        <is>
          <t>General</t>
        </is>
      </c>
      <c r="F2009" s="5" t="n">
        <v>1278</v>
      </c>
      <c r="G2009" s="5" t="n">
        <v>7779</v>
      </c>
      <c r="H2009" s="5" t="n">
        <v>478</v>
      </c>
      <c r="I2009" s="5" t="n">
        <v>278</v>
      </c>
      <c r="J2009" s="5" t="n">
        <v>201</v>
      </c>
      <c r="K2009" s="10">
        <f>IF(F2009&gt;0,H2009/F2009,"")</f>
        <v/>
      </c>
      <c r="L2009" s="16">
        <f>IF(AND(G2009&gt;0,H2009&gt;0),G2009/H2009,"")</f>
        <v/>
      </c>
    </row>
    <row r="2010">
      <c r="A2010" s="4" t="inlineStr">
        <is>
          <t>317</t>
        </is>
      </c>
      <c r="B2010" s="4" t="n">
        <v>3</v>
      </c>
      <c r="C2010" s="4" t="inlineStr">
        <is>
          <t>whitetail</t>
        </is>
      </c>
      <c r="D2010" s="4" t="n">
        <v>2022</v>
      </c>
      <c r="E2010" s="13" t="inlineStr">
        <is>
          <t>General</t>
        </is>
      </c>
      <c r="F2010" s="5" t="n"/>
      <c r="G2010" s="5" t="n"/>
      <c r="H2010" s="5" t="n">
        <v>424</v>
      </c>
      <c r="I2010" s="5" t="n">
        <v>229</v>
      </c>
      <c r="J2010" s="5" t="n">
        <v>195</v>
      </c>
      <c r="K2010" s="10">
        <f>IF(F2010&gt;0,H2010/F2010,"")</f>
        <v/>
      </c>
      <c r="L2010" s="16">
        <f>IF(AND(G2010&gt;0,H2010&gt;0),G2010/H2010,"")</f>
        <v/>
      </c>
    </row>
    <row r="2011">
      <c r="A2011" s="4" t="inlineStr">
        <is>
          <t>317</t>
        </is>
      </c>
      <c r="B2011" s="4" t="n">
        <v>3</v>
      </c>
      <c r="C2011" s="4" t="inlineStr">
        <is>
          <t>whitetail</t>
        </is>
      </c>
      <c r="D2011" s="4" t="n">
        <v>2023</v>
      </c>
      <c r="E2011" s="13" t="inlineStr">
        <is>
          <t>General</t>
        </is>
      </c>
      <c r="F2011" s="5" t="n">
        <v>1271</v>
      </c>
      <c r="G2011" s="5" t="n">
        <v>7606</v>
      </c>
      <c r="H2011" s="5" t="n">
        <v>417</v>
      </c>
      <c r="I2011" s="5" t="n">
        <v>262</v>
      </c>
      <c r="J2011" s="5" t="n">
        <v>155</v>
      </c>
      <c r="K2011" s="10">
        <f>IF(F2011&gt;0,H2011/F2011,"")</f>
        <v/>
      </c>
      <c r="L2011" s="16">
        <f>IF(AND(G2011&gt;0,H2011&gt;0),G2011/H2011,"")</f>
        <v/>
      </c>
    </row>
    <row r="2012">
      <c r="A2012" s="4" t="inlineStr">
        <is>
          <t>317</t>
        </is>
      </c>
      <c r="B2012" s="4" t="n">
        <v>3</v>
      </c>
      <c r="C2012" s="4" t="inlineStr">
        <is>
          <t>whitetail</t>
        </is>
      </c>
      <c r="D2012" s="4" t="n">
        <v>2024</v>
      </c>
      <c r="E2012" s="13" t="inlineStr">
        <is>
          <t>General</t>
        </is>
      </c>
      <c r="F2012" s="5" t="n"/>
      <c r="G2012" s="5" t="n"/>
      <c r="H2012" s="5" t="n">
        <v>451</v>
      </c>
      <c r="I2012" s="5" t="n">
        <v>246</v>
      </c>
      <c r="J2012" s="5" t="n">
        <v>203</v>
      </c>
      <c r="K2012" s="10">
        <f>IF(F2012&gt;0,H2012/F2012,"")</f>
        <v/>
      </c>
      <c r="L2012" s="16">
        <f>IF(AND(G2012&gt;0,H2012&gt;0),G2012/H2012,"")</f>
        <v/>
      </c>
    </row>
    <row r="2013">
      <c r="A2013" s="4" t="inlineStr">
        <is>
          <t>317</t>
        </is>
      </c>
      <c r="B2013" s="4" t="n">
        <v>3</v>
      </c>
      <c r="C2013" s="4" t="inlineStr">
        <is>
          <t>whitetail</t>
        </is>
      </c>
      <c r="D2013" s="4" t="n">
        <v>2025</v>
      </c>
      <c r="E2013" s="13" t="inlineStr">
        <is>
          <t>General</t>
        </is>
      </c>
      <c r="F2013" s="5" t="n">
        <v>1116</v>
      </c>
      <c r="G2013" s="5" t="n">
        <v>7569</v>
      </c>
      <c r="H2013" s="5" t="n">
        <v>332</v>
      </c>
      <c r="I2013" s="5" t="n">
        <v>172</v>
      </c>
      <c r="J2013" s="5" t="n">
        <v>160</v>
      </c>
      <c r="K2013" s="10">
        <f>IF(F2013&gt;0,H2013/F2013,"")</f>
        <v/>
      </c>
      <c r="L2013" s="16">
        <f>IF(AND(G2013&gt;0,H2013&gt;0),G2013/H2013,"")</f>
        <v/>
      </c>
    </row>
    <row r="2014">
      <c r="A2014" s="4" t="inlineStr">
        <is>
          <t>318</t>
        </is>
      </c>
      <c r="B2014" s="4" t="n">
        <v>3</v>
      </c>
      <c r="C2014" s="4" t="inlineStr">
        <is>
          <t>whitetail</t>
        </is>
      </c>
      <c r="D2014" s="4" t="n">
        <v>2021</v>
      </c>
      <c r="E2014" s="13" t="inlineStr">
        <is>
          <t>General</t>
        </is>
      </c>
      <c r="F2014" s="5" t="n">
        <v>597</v>
      </c>
      <c r="G2014" s="5" t="n">
        <v>5217</v>
      </c>
      <c r="H2014" s="5" t="n">
        <v>21</v>
      </c>
      <c r="I2014" s="5" t="n">
        <v>21</v>
      </c>
      <c r="J2014" s="5" t="n">
        <v>0</v>
      </c>
      <c r="K2014" s="10">
        <f>IF(F2014&gt;0,H2014/F2014,"")</f>
        <v/>
      </c>
      <c r="L2014" s="16">
        <f>IF(AND(G2014&gt;0,H2014&gt;0),G2014/H2014,"")</f>
        <v/>
      </c>
    </row>
    <row r="2015">
      <c r="A2015" s="4" t="inlineStr">
        <is>
          <t>318</t>
        </is>
      </c>
      <c r="B2015" s="4" t="n">
        <v>3</v>
      </c>
      <c r="C2015" s="4" t="inlineStr">
        <is>
          <t>whitetail</t>
        </is>
      </c>
      <c r="D2015" s="4" t="n">
        <v>2022</v>
      </c>
      <c r="E2015" s="13" t="inlineStr">
        <is>
          <t>General</t>
        </is>
      </c>
      <c r="F2015" s="5" t="n"/>
      <c r="G2015" s="5" t="n"/>
      <c r="H2015" s="5" t="n">
        <v>20</v>
      </c>
      <c r="I2015" s="5" t="n">
        <v>13</v>
      </c>
      <c r="J2015" s="5" t="n">
        <v>6</v>
      </c>
      <c r="K2015" s="10">
        <f>IF(F2015&gt;0,H2015/F2015,"")</f>
        <v/>
      </c>
      <c r="L2015" s="16">
        <f>IF(AND(G2015&gt;0,H2015&gt;0),G2015/H2015,"")</f>
        <v/>
      </c>
    </row>
    <row r="2016">
      <c r="A2016" s="4" t="inlineStr">
        <is>
          <t>318</t>
        </is>
      </c>
      <c r="B2016" s="4" t="n">
        <v>3</v>
      </c>
      <c r="C2016" s="4" t="inlineStr">
        <is>
          <t>whitetail</t>
        </is>
      </c>
      <c r="D2016" s="4" t="n">
        <v>2023</v>
      </c>
      <c r="E2016" s="13" t="inlineStr">
        <is>
          <t>General</t>
        </is>
      </c>
      <c r="F2016" s="5" t="n">
        <v>654</v>
      </c>
      <c r="G2016" s="5" t="n">
        <v>4896</v>
      </c>
      <c r="H2016" s="5" t="n">
        <v>20</v>
      </c>
      <c r="I2016" s="5" t="n">
        <v>3</v>
      </c>
      <c r="J2016" s="5" t="n">
        <v>16</v>
      </c>
      <c r="K2016" s="10">
        <f>IF(F2016&gt;0,H2016/F2016,"")</f>
        <v/>
      </c>
      <c r="L2016" s="16">
        <f>IF(AND(G2016&gt;0,H2016&gt;0),G2016/H2016,"")</f>
        <v/>
      </c>
    </row>
    <row r="2017">
      <c r="A2017" s="4" t="inlineStr">
        <is>
          <t>318</t>
        </is>
      </c>
      <c r="B2017" s="4" t="n">
        <v>3</v>
      </c>
      <c r="C2017" s="4" t="inlineStr">
        <is>
          <t>whitetail</t>
        </is>
      </c>
      <c r="D2017" s="4" t="n">
        <v>2024</v>
      </c>
      <c r="E2017" s="13" t="inlineStr">
        <is>
          <t>General</t>
        </is>
      </c>
      <c r="F2017" s="5" t="n"/>
      <c r="G2017" s="5" t="n"/>
      <c r="H2017" s="5" t="n">
        <v>12</v>
      </c>
      <c r="I2017" s="5" t="n">
        <v>3</v>
      </c>
      <c r="J2017" s="5" t="n">
        <v>8</v>
      </c>
      <c r="K2017" s="10">
        <f>IF(F2017&gt;0,H2017/F2017,"")</f>
        <v/>
      </c>
      <c r="L2017" s="16">
        <f>IF(AND(G2017&gt;0,H2017&gt;0),G2017/H2017,"")</f>
        <v/>
      </c>
    </row>
    <row r="2018">
      <c r="A2018" s="4" t="inlineStr">
        <is>
          <t>318</t>
        </is>
      </c>
      <c r="B2018" s="4" t="n">
        <v>3</v>
      </c>
      <c r="C2018" s="4" t="inlineStr">
        <is>
          <t>whitetail</t>
        </is>
      </c>
      <c r="D2018" s="4" t="n">
        <v>2025</v>
      </c>
      <c r="E2018" s="13" t="inlineStr">
        <is>
          <t>General</t>
        </is>
      </c>
      <c r="F2018" s="5" t="n">
        <v>696</v>
      </c>
      <c r="G2018" s="5" t="n">
        <v>7052</v>
      </c>
      <c r="H2018" s="5" t="n">
        <v>21</v>
      </c>
      <c r="I2018" s="5" t="n">
        <v>17</v>
      </c>
      <c r="J2018" s="5" t="n">
        <v>5</v>
      </c>
      <c r="K2018" s="10">
        <f>IF(F2018&gt;0,H2018/F2018,"")</f>
        <v/>
      </c>
      <c r="L2018" s="16">
        <f>IF(AND(G2018&gt;0,H2018&gt;0),G2018/H2018,"")</f>
        <v/>
      </c>
    </row>
    <row r="2019">
      <c r="A2019" s="4" t="inlineStr">
        <is>
          <t>319</t>
        </is>
      </c>
      <c r="B2019" s="4" t="n">
        <v>3</v>
      </c>
      <c r="C2019" s="4" t="inlineStr">
        <is>
          <t>whitetail</t>
        </is>
      </c>
      <c r="D2019" s="4" t="n">
        <v>2021</v>
      </c>
      <c r="E2019" s="13" t="inlineStr">
        <is>
          <t>General</t>
        </is>
      </c>
      <c r="F2019" s="5" t="n">
        <v>379</v>
      </c>
      <c r="G2019" s="5" t="n">
        <v>2971</v>
      </c>
      <c r="H2019" s="5" t="n">
        <v>19</v>
      </c>
      <c r="I2019" s="5" t="n">
        <v>11</v>
      </c>
      <c r="J2019" s="5" t="n">
        <v>8</v>
      </c>
      <c r="K2019" s="10">
        <f>IF(F2019&gt;0,H2019/F2019,"")</f>
        <v/>
      </c>
      <c r="L2019" s="16">
        <f>IF(AND(G2019&gt;0,H2019&gt;0),G2019/H2019,"")</f>
        <v/>
      </c>
    </row>
    <row r="2020">
      <c r="A2020" s="4" t="inlineStr">
        <is>
          <t>319</t>
        </is>
      </c>
      <c r="B2020" s="4" t="n">
        <v>3</v>
      </c>
      <c r="C2020" s="4" t="inlineStr">
        <is>
          <t>whitetail</t>
        </is>
      </c>
      <c r="D2020" s="4" t="n">
        <v>2022</v>
      </c>
      <c r="E2020" s="13" t="inlineStr">
        <is>
          <t>General</t>
        </is>
      </c>
      <c r="F2020" s="5" t="n"/>
      <c r="G2020" s="5" t="n"/>
      <c r="H2020" s="5" t="n">
        <v>24</v>
      </c>
      <c r="I2020" s="5" t="n">
        <v>5</v>
      </c>
      <c r="J2020" s="5" t="n">
        <v>19</v>
      </c>
      <c r="K2020" s="10">
        <f>IF(F2020&gt;0,H2020/F2020,"")</f>
        <v/>
      </c>
      <c r="L2020" s="16">
        <f>IF(AND(G2020&gt;0,H2020&gt;0),G2020/H2020,"")</f>
        <v/>
      </c>
    </row>
    <row r="2021">
      <c r="A2021" s="4" t="inlineStr">
        <is>
          <t>319</t>
        </is>
      </c>
      <c r="B2021" s="4" t="n">
        <v>3</v>
      </c>
      <c r="C2021" s="4" t="inlineStr">
        <is>
          <t>whitetail</t>
        </is>
      </c>
      <c r="D2021" s="4" t="n">
        <v>2023</v>
      </c>
      <c r="E2021" s="13" t="inlineStr">
        <is>
          <t>General</t>
        </is>
      </c>
      <c r="F2021" s="5" t="n">
        <v>694</v>
      </c>
      <c r="G2021" s="5" t="n">
        <v>5272</v>
      </c>
      <c r="H2021" s="5" t="n">
        <v>56</v>
      </c>
      <c r="I2021" s="5" t="n">
        <v>30</v>
      </c>
      <c r="J2021" s="5" t="n">
        <v>26</v>
      </c>
      <c r="K2021" s="10">
        <f>IF(F2021&gt;0,H2021/F2021,"")</f>
        <v/>
      </c>
      <c r="L2021" s="16">
        <f>IF(AND(G2021&gt;0,H2021&gt;0),G2021/H2021,"")</f>
        <v/>
      </c>
    </row>
    <row r="2022">
      <c r="A2022" s="4" t="inlineStr">
        <is>
          <t>319</t>
        </is>
      </c>
      <c r="B2022" s="4" t="n">
        <v>3</v>
      </c>
      <c r="C2022" s="4" t="inlineStr">
        <is>
          <t>whitetail</t>
        </is>
      </c>
      <c r="D2022" s="4" t="n">
        <v>2024</v>
      </c>
      <c r="E2022" s="13" t="inlineStr">
        <is>
          <t>General</t>
        </is>
      </c>
      <c r="F2022" s="5" t="n"/>
      <c r="G2022" s="5" t="n"/>
      <c r="H2022" s="5" t="n">
        <v>58</v>
      </c>
      <c r="I2022" s="5" t="n">
        <v>32</v>
      </c>
      <c r="J2022" s="5" t="n">
        <v>26</v>
      </c>
      <c r="K2022" s="10">
        <f>IF(F2022&gt;0,H2022/F2022,"")</f>
        <v/>
      </c>
      <c r="L2022" s="16">
        <f>IF(AND(G2022&gt;0,H2022&gt;0),G2022/H2022,"")</f>
        <v/>
      </c>
    </row>
    <row r="2023">
      <c r="A2023" s="4" t="inlineStr">
        <is>
          <t>319</t>
        </is>
      </c>
      <c r="B2023" s="4" t="n">
        <v>3</v>
      </c>
      <c r="C2023" s="4" t="inlineStr">
        <is>
          <t>whitetail</t>
        </is>
      </c>
      <c r="D2023" s="4" t="n">
        <v>2025</v>
      </c>
      <c r="E2023" s="13" t="inlineStr">
        <is>
          <t>General</t>
        </is>
      </c>
      <c r="F2023" s="5" t="n">
        <v>772</v>
      </c>
      <c r="G2023" s="5" t="n">
        <v>5960</v>
      </c>
      <c r="H2023" s="5" t="n">
        <v>77</v>
      </c>
      <c r="I2023" s="5" t="n">
        <v>43</v>
      </c>
      <c r="J2023" s="5" t="n">
        <v>34</v>
      </c>
      <c r="K2023" s="10">
        <f>IF(F2023&gt;0,H2023/F2023,"")</f>
        <v/>
      </c>
      <c r="L2023" s="16">
        <f>IF(AND(G2023&gt;0,H2023&gt;0),G2023/H2023,"")</f>
        <v/>
      </c>
    </row>
    <row r="2024">
      <c r="A2024" s="4" t="inlineStr">
        <is>
          <t>320</t>
        </is>
      </c>
      <c r="B2024" s="4" t="n">
        <v>3</v>
      </c>
      <c r="C2024" s="4" t="inlineStr">
        <is>
          <t>whitetail</t>
        </is>
      </c>
      <c r="D2024" s="4" t="n">
        <v>2021</v>
      </c>
      <c r="E2024" s="13" t="inlineStr">
        <is>
          <t>General</t>
        </is>
      </c>
      <c r="F2024" s="5" t="n">
        <v>1490</v>
      </c>
      <c r="G2024" s="5" t="n">
        <v>8870</v>
      </c>
      <c r="H2024" s="5" t="n">
        <v>552</v>
      </c>
      <c r="I2024" s="5" t="n">
        <v>272</v>
      </c>
      <c r="J2024" s="5" t="n">
        <v>280</v>
      </c>
      <c r="K2024" s="10">
        <f>IF(F2024&gt;0,H2024/F2024,"")</f>
        <v/>
      </c>
      <c r="L2024" s="16">
        <f>IF(AND(G2024&gt;0,H2024&gt;0),G2024/H2024,"")</f>
        <v/>
      </c>
    </row>
    <row r="2025">
      <c r="A2025" s="4" t="inlineStr">
        <is>
          <t>320</t>
        </is>
      </c>
      <c r="B2025" s="4" t="n">
        <v>3</v>
      </c>
      <c r="C2025" s="4" t="inlineStr">
        <is>
          <t>whitetail</t>
        </is>
      </c>
      <c r="D2025" s="4" t="n">
        <v>2022</v>
      </c>
      <c r="E2025" s="13" t="inlineStr">
        <is>
          <t>General</t>
        </is>
      </c>
      <c r="F2025" s="5" t="n"/>
      <c r="G2025" s="5" t="n"/>
      <c r="H2025" s="5" t="n">
        <v>921</v>
      </c>
      <c r="I2025" s="5" t="n">
        <v>462</v>
      </c>
      <c r="J2025" s="5" t="n">
        <v>443</v>
      </c>
      <c r="K2025" s="10">
        <f>IF(F2025&gt;0,H2025/F2025,"")</f>
        <v/>
      </c>
      <c r="L2025" s="16">
        <f>IF(AND(G2025&gt;0,H2025&gt;0),G2025/H2025,"")</f>
        <v/>
      </c>
    </row>
    <row r="2026">
      <c r="A2026" s="4" t="inlineStr">
        <is>
          <t>320</t>
        </is>
      </c>
      <c r="B2026" s="4" t="n">
        <v>3</v>
      </c>
      <c r="C2026" s="4" t="inlineStr">
        <is>
          <t>whitetail</t>
        </is>
      </c>
      <c r="D2026" s="4" t="n">
        <v>2023</v>
      </c>
      <c r="E2026" s="13" t="inlineStr">
        <is>
          <t>General</t>
        </is>
      </c>
      <c r="F2026" s="5" t="n">
        <v>2647</v>
      </c>
      <c r="G2026" s="5" t="n">
        <v>17361</v>
      </c>
      <c r="H2026" s="5" t="n">
        <v>829</v>
      </c>
      <c r="I2026" s="5" t="n">
        <v>423</v>
      </c>
      <c r="J2026" s="5" t="n">
        <v>387</v>
      </c>
      <c r="K2026" s="10">
        <f>IF(F2026&gt;0,H2026/F2026,"")</f>
        <v/>
      </c>
      <c r="L2026" s="16">
        <f>IF(AND(G2026&gt;0,H2026&gt;0),G2026/H2026,"")</f>
        <v/>
      </c>
    </row>
    <row r="2027">
      <c r="A2027" s="4" t="inlineStr">
        <is>
          <t>320</t>
        </is>
      </c>
      <c r="B2027" s="4" t="n">
        <v>3</v>
      </c>
      <c r="C2027" s="4" t="inlineStr">
        <is>
          <t>whitetail</t>
        </is>
      </c>
      <c r="D2027" s="4" t="n">
        <v>2024</v>
      </c>
      <c r="E2027" s="13" t="inlineStr">
        <is>
          <t>General</t>
        </is>
      </c>
      <c r="F2027" s="5" t="n"/>
      <c r="G2027" s="5" t="n"/>
      <c r="H2027" s="5" t="n">
        <v>997</v>
      </c>
      <c r="I2027" s="5" t="n">
        <v>490</v>
      </c>
      <c r="J2027" s="5" t="n">
        <v>497</v>
      </c>
      <c r="K2027" s="10">
        <f>IF(F2027&gt;0,H2027/F2027,"")</f>
        <v/>
      </c>
      <c r="L2027" s="16">
        <f>IF(AND(G2027&gt;0,H2027&gt;0),G2027/H2027,"")</f>
        <v/>
      </c>
    </row>
    <row r="2028">
      <c r="A2028" s="4" t="inlineStr">
        <is>
          <t>320</t>
        </is>
      </c>
      <c r="B2028" s="4" t="n">
        <v>3</v>
      </c>
      <c r="C2028" s="4" t="inlineStr">
        <is>
          <t>whitetail</t>
        </is>
      </c>
      <c r="D2028" s="4" t="n">
        <v>2025</v>
      </c>
      <c r="E2028" s="13" t="inlineStr">
        <is>
          <t>General</t>
        </is>
      </c>
      <c r="F2028" s="5" t="n">
        <v>2611</v>
      </c>
      <c r="G2028" s="5" t="n">
        <v>16728</v>
      </c>
      <c r="H2028" s="5" t="n">
        <v>909</v>
      </c>
      <c r="I2028" s="5" t="n">
        <v>392</v>
      </c>
      <c r="J2028" s="5" t="n">
        <v>499</v>
      </c>
      <c r="K2028" s="10">
        <f>IF(F2028&gt;0,H2028/F2028,"")</f>
        <v/>
      </c>
      <c r="L2028" s="16">
        <f>IF(AND(G2028&gt;0,H2028&gt;0),G2028/H2028,"")</f>
        <v/>
      </c>
    </row>
    <row r="2029">
      <c r="A2029" s="4" t="inlineStr">
        <is>
          <t>321</t>
        </is>
      </c>
      <c r="B2029" s="4" t="n">
        <v>3</v>
      </c>
      <c r="C2029" s="4" t="inlineStr">
        <is>
          <t>whitetail</t>
        </is>
      </c>
      <c r="D2029" s="4" t="n">
        <v>2021</v>
      </c>
      <c r="E2029" s="13" t="inlineStr">
        <is>
          <t>General</t>
        </is>
      </c>
      <c r="F2029" s="5" t="n">
        <v>502</v>
      </c>
      <c r="G2029" s="5" t="n">
        <v>3264</v>
      </c>
      <c r="H2029" s="5" t="n">
        <v>41</v>
      </c>
      <c r="I2029" s="5" t="n">
        <v>32</v>
      </c>
      <c r="J2029" s="5" t="n">
        <v>9</v>
      </c>
      <c r="K2029" s="10">
        <f>IF(F2029&gt;0,H2029/F2029,"")</f>
        <v/>
      </c>
      <c r="L2029" s="16">
        <f>IF(AND(G2029&gt;0,H2029&gt;0),G2029/H2029,"")</f>
        <v/>
      </c>
    </row>
    <row r="2030">
      <c r="A2030" s="4" t="inlineStr">
        <is>
          <t>321</t>
        </is>
      </c>
      <c r="B2030" s="4" t="n">
        <v>3</v>
      </c>
      <c r="C2030" s="4" t="inlineStr">
        <is>
          <t>whitetail</t>
        </is>
      </c>
      <c r="D2030" s="4" t="n">
        <v>2022</v>
      </c>
      <c r="E2030" s="13" t="inlineStr">
        <is>
          <t>General</t>
        </is>
      </c>
      <c r="F2030" s="5" t="n"/>
      <c r="G2030" s="5" t="n"/>
      <c r="H2030" s="5" t="n">
        <v>40</v>
      </c>
      <c r="I2030" s="5" t="n">
        <v>22</v>
      </c>
      <c r="J2030" s="5" t="n">
        <v>18</v>
      </c>
      <c r="K2030" s="10">
        <f>IF(F2030&gt;0,H2030/F2030,"")</f>
        <v/>
      </c>
      <c r="L2030" s="16">
        <f>IF(AND(G2030&gt;0,H2030&gt;0),G2030/H2030,"")</f>
        <v/>
      </c>
    </row>
    <row r="2031">
      <c r="A2031" s="4" t="inlineStr">
        <is>
          <t>321</t>
        </is>
      </c>
      <c r="B2031" s="4" t="n">
        <v>3</v>
      </c>
      <c r="C2031" s="4" t="inlineStr">
        <is>
          <t>whitetail</t>
        </is>
      </c>
      <c r="D2031" s="4" t="n">
        <v>2023</v>
      </c>
      <c r="E2031" s="13" t="inlineStr">
        <is>
          <t>General</t>
        </is>
      </c>
      <c r="F2031" s="5" t="n">
        <v>1005</v>
      </c>
      <c r="G2031" s="5" t="n">
        <v>7465</v>
      </c>
      <c r="H2031" s="5" t="n">
        <v>81</v>
      </c>
      <c r="I2031" s="5" t="n">
        <v>39</v>
      </c>
      <c r="J2031" s="5" t="n">
        <v>41</v>
      </c>
      <c r="K2031" s="10">
        <f>IF(F2031&gt;0,H2031/F2031,"")</f>
        <v/>
      </c>
      <c r="L2031" s="16">
        <f>IF(AND(G2031&gt;0,H2031&gt;0),G2031/H2031,"")</f>
        <v/>
      </c>
    </row>
    <row r="2032">
      <c r="A2032" s="4" t="inlineStr">
        <is>
          <t>321</t>
        </is>
      </c>
      <c r="B2032" s="4" t="n">
        <v>3</v>
      </c>
      <c r="C2032" s="4" t="inlineStr">
        <is>
          <t>whitetail</t>
        </is>
      </c>
      <c r="D2032" s="4" t="n">
        <v>2024</v>
      </c>
      <c r="E2032" s="13" t="inlineStr">
        <is>
          <t>General</t>
        </is>
      </c>
      <c r="F2032" s="5" t="n"/>
      <c r="G2032" s="5" t="n"/>
      <c r="H2032" s="5" t="n">
        <v>45</v>
      </c>
      <c r="I2032" s="5" t="n">
        <v>21</v>
      </c>
      <c r="J2032" s="5" t="n">
        <v>24</v>
      </c>
      <c r="K2032" s="10">
        <f>IF(F2032&gt;0,H2032/F2032,"")</f>
        <v/>
      </c>
      <c r="L2032" s="16">
        <f>IF(AND(G2032&gt;0,H2032&gt;0),G2032/H2032,"")</f>
        <v/>
      </c>
    </row>
    <row r="2033">
      <c r="A2033" s="4" t="inlineStr">
        <is>
          <t>321</t>
        </is>
      </c>
      <c r="B2033" s="4" t="n">
        <v>3</v>
      </c>
      <c r="C2033" s="4" t="inlineStr">
        <is>
          <t>whitetail</t>
        </is>
      </c>
      <c r="D2033" s="4" t="n">
        <v>2025</v>
      </c>
      <c r="E2033" s="13" t="inlineStr">
        <is>
          <t>General</t>
        </is>
      </c>
      <c r="F2033" s="5" t="n">
        <v>1088</v>
      </c>
      <c r="G2033" s="5" t="n">
        <v>7254</v>
      </c>
      <c r="H2033" s="5" t="n">
        <v>50</v>
      </c>
      <c r="I2033" s="5" t="n">
        <v>32</v>
      </c>
      <c r="J2033" s="5" t="n">
        <v>17</v>
      </c>
      <c r="K2033" s="10">
        <f>IF(F2033&gt;0,H2033/F2033,"")</f>
        <v/>
      </c>
      <c r="L2033" s="16">
        <f>IF(AND(G2033&gt;0,H2033&gt;0),G2033/H2033,"")</f>
        <v/>
      </c>
    </row>
    <row r="2034">
      <c r="A2034" s="4" t="inlineStr">
        <is>
          <t>322</t>
        </is>
      </c>
      <c r="B2034" s="4" t="n">
        <v>3</v>
      </c>
      <c r="C2034" s="4" t="inlineStr">
        <is>
          <t>whitetail</t>
        </is>
      </c>
      <c r="D2034" s="4" t="n">
        <v>2021</v>
      </c>
      <c r="E2034" s="13" t="inlineStr">
        <is>
          <t>General</t>
        </is>
      </c>
      <c r="F2034" s="5" t="n">
        <v>1354</v>
      </c>
      <c r="G2034" s="5" t="n">
        <v>6729</v>
      </c>
      <c r="H2034" s="5" t="n">
        <v>675</v>
      </c>
      <c r="I2034" s="5" t="n">
        <v>298</v>
      </c>
      <c r="J2034" s="5" t="n">
        <v>377</v>
      </c>
      <c r="K2034" s="10">
        <f>IF(F2034&gt;0,H2034/F2034,"")</f>
        <v/>
      </c>
      <c r="L2034" s="16">
        <f>IF(AND(G2034&gt;0,H2034&gt;0),G2034/H2034,"")</f>
        <v/>
      </c>
    </row>
    <row r="2035">
      <c r="A2035" s="4" t="inlineStr">
        <is>
          <t>322</t>
        </is>
      </c>
      <c r="B2035" s="4" t="n">
        <v>3</v>
      </c>
      <c r="C2035" s="4" t="inlineStr">
        <is>
          <t>whitetail</t>
        </is>
      </c>
      <c r="D2035" s="4" t="n">
        <v>2022</v>
      </c>
      <c r="E2035" s="13" t="inlineStr">
        <is>
          <t>General</t>
        </is>
      </c>
      <c r="F2035" s="5" t="n"/>
      <c r="G2035" s="5" t="n"/>
      <c r="H2035" s="5" t="n">
        <v>1072</v>
      </c>
      <c r="I2035" s="5" t="n">
        <v>486</v>
      </c>
      <c r="J2035" s="5" t="n">
        <v>569</v>
      </c>
      <c r="K2035" s="10">
        <f>IF(F2035&gt;0,H2035/F2035,"")</f>
        <v/>
      </c>
      <c r="L2035" s="16">
        <f>IF(AND(G2035&gt;0,H2035&gt;0),G2035/H2035,"")</f>
        <v/>
      </c>
    </row>
    <row r="2036">
      <c r="A2036" s="4" t="inlineStr">
        <is>
          <t>322</t>
        </is>
      </c>
      <c r="B2036" s="4" t="n">
        <v>3</v>
      </c>
      <c r="C2036" s="4" t="inlineStr">
        <is>
          <t>whitetail</t>
        </is>
      </c>
      <c r="D2036" s="4" t="n">
        <v>2023</v>
      </c>
      <c r="E2036" s="13" t="inlineStr">
        <is>
          <t>General</t>
        </is>
      </c>
      <c r="F2036" s="5" t="n">
        <v>6176</v>
      </c>
      <c r="G2036" s="5" t="n">
        <v>42243</v>
      </c>
      <c r="H2036" s="5" t="n">
        <v>1022</v>
      </c>
      <c r="I2036" s="5" t="n">
        <v>524</v>
      </c>
      <c r="J2036" s="5" t="n">
        <v>492</v>
      </c>
      <c r="K2036" s="10">
        <f>IF(F2036&gt;0,H2036/F2036,"")</f>
        <v/>
      </c>
      <c r="L2036" s="16">
        <f>IF(AND(G2036&gt;0,H2036&gt;0),G2036/H2036,"")</f>
        <v/>
      </c>
    </row>
    <row r="2037">
      <c r="A2037" s="4" t="inlineStr">
        <is>
          <t>322</t>
        </is>
      </c>
      <c r="B2037" s="4" t="n">
        <v>3</v>
      </c>
      <c r="C2037" s="4" t="inlineStr">
        <is>
          <t>whitetail</t>
        </is>
      </c>
      <c r="D2037" s="4" t="n">
        <v>2024</v>
      </c>
      <c r="E2037" s="13" t="inlineStr">
        <is>
          <t>General</t>
        </is>
      </c>
      <c r="F2037" s="5" t="n"/>
      <c r="G2037" s="5" t="n"/>
      <c r="H2037" s="5" t="n">
        <v>431</v>
      </c>
      <c r="I2037" s="5" t="n">
        <v>224</v>
      </c>
      <c r="J2037" s="5" t="n">
        <v>207</v>
      </c>
      <c r="K2037" s="10">
        <f>IF(F2037&gt;0,H2037/F2037,"")</f>
        <v/>
      </c>
      <c r="L2037" s="16">
        <f>IF(AND(G2037&gt;0,H2037&gt;0),G2037/H2037,"")</f>
        <v/>
      </c>
    </row>
    <row r="2038">
      <c r="A2038" s="4" t="inlineStr">
        <is>
          <t>322</t>
        </is>
      </c>
      <c r="B2038" s="4" t="n">
        <v>3</v>
      </c>
      <c r="C2038" s="4" t="inlineStr">
        <is>
          <t>whitetail</t>
        </is>
      </c>
      <c r="D2038" s="4" t="n">
        <v>2025</v>
      </c>
      <c r="E2038" s="13" t="inlineStr">
        <is>
          <t>General</t>
        </is>
      </c>
      <c r="F2038" s="5" t="n">
        <v>1599</v>
      </c>
      <c r="G2038" s="5" t="n">
        <v>10598</v>
      </c>
      <c r="H2038" s="5" t="n">
        <v>427</v>
      </c>
      <c r="I2038" s="5" t="n">
        <v>178</v>
      </c>
      <c r="J2038" s="5" t="n">
        <v>249</v>
      </c>
      <c r="K2038" s="10">
        <f>IF(F2038&gt;0,H2038/F2038,"")</f>
        <v/>
      </c>
      <c r="L2038" s="16">
        <f>IF(AND(G2038&gt;0,H2038&gt;0),G2038/H2038,"")</f>
        <v/>
      </c>
    </row>
    <row r="2039">
      <c r="A2039" s="4" t="inlineStr">
        <is>
          <t>323</t>
        </is>
      </c>
      <c r="B2039" s="4" t="n">
        <v>3</v>
      </c>
      <c r="C2039" s="4" t="inlineStr">
        <is>
          <t>whitetail</t>
        </is>
      </c>
      <c r="D2039" s="4" t="n">
        <v>2021</v>
      </c>
      <c r="E2039" s="13" t="inlineStr">
        <is>
          <t>General</t>
        </is>
      </c>
      <c r="F2039" s="5" t="n">
        <v>461</v>
      </c>
      <c r="G2039" s="5" t="n">
        <v>3090</v>
      </c>
      <c r="H2039" s="5" t="n">
        <v>22</v>
      </c>
      <c r="I2039" s="5" t="n">
        <v>15</v>
      </c>
      <c r="J2039" s="5" t="n">
        <v>7</v>
      </c>
      <c r="K2039" s="10">
        <f>IF(F2039&gt;0,H2039/F2039,"")</f>
        <v/>
      </c>
      <c r="L2039" s="16">
        <f>IF(AND(G2039&gt;0,H2039&gt;0),G2039/H2039,"")</f>
        <v/>
      </c>
    </row>
    <row r="2040">
      <c r="A2040" s="4" t="inlineStr">
        <is>
          <t>323</t>
        </is>
      </c>
      <c r="B2040" s="4" t="n">
        <v>3</v>
      </c>
      <c r="C2040" s="4" t="inlineStr">
        <is>
          <t>whitetail</t>
        </is>
      </c>
      <c r="D2040" s="4" t="n">
        <v>2024</v>
      </c>
      <c r="E2040" s="13" t="inlineStr">
        <is>
          <t>General</t>
        </is>
      </c>
      <c r="F2040" s="5" t="n"/>
      <c r="G2040" s="5" t="n"/>
      <c r="H2040" s="5" t="n">
        <v>243</v>
      </c>
      <c r="I2040" s="5" t="n">
        <v>111</v>
      </c>
      <c r="J2040" s="5" t="n">
        <v>132</v>
      </c>
      <c r="K2040" s="10">
        <f>IF(F2040&gt;0,H2040/F2040,"")</f>
        <v/>
      </c>
      <c r="L2040" s="16">
        <f>IF(AND(G2040&gt;0,H2040&gt;0),G2040/H2040,"")</f>
        <v/>
      </c>
    </row>
    <row r="2041">
      <c r="A2041" s="4" t="inlineStr">
        <is>
          <t>323</t>
        </is>
      </c>
      <c r="B2041" s="4" t="n">
        <v>3</v>
      </c>
      <c r="C2041" s="4" t="inlineStr">
        <is>
          <t>whitetail</t>
        </is>
      </c>
      <c r="D2041" s="4" t="n">
        <v>2025</v>
      </c>
      <c r="E2041" s="13" t="inlineStr">
        <is>
          <t>General</t>
        </is>
      </c>
      <c r="F2041" s="5" t="n">
        <v>2639</v>
      </c>
      <c r="G2041" s="5" t="n">
        <v>17036</v>
      </c>
      <c r="H2041" s="5" t="n">
        <v>271</v>
      </c>
      <c r="I2041" s="5" t="n">
        <v>152</v>
      </c>
      <c r="J2041" s="5" t="n">
        <v>116</v>
      </c>
      <c r="K2041" s="10">
        <f>IF(F2041&gt;0,H2041/F2041,"")</f>
        <v/>
      </c>
      <c r="L2041" s="16">
        <f>IF(AND(G2041&gt;0,H2041&gt;0),G2041/H2041,"")</f>
        <v/>
      </c>
    </row>
    <row r="2042">
      <c r="A2042" s="4" t="inlineStr">
        <is>
          <t>324</t>
        </is>
      </c>
      <c r="B2042" s="4" t="n">
        <v>3</v>
      </c>
      <c r="C2042" s="4" t="inlineStr">
        <is>
          <t>whitetail</t>
        </is>
      </c>
      <c r="D2042" s="4" t="n">
        <v>2021</v>
      </c>
      <c r="E2042" s="13" t="inlineStr">
        <is>
          <t>General</t>
        </is>
      </c>
      <c r="F2042" s="5" t="n">
        <v>532</v>
      </c>
      <c r="G2042" s="5" t="n">
        <v>3545</v>
      </c>
      <c r="H2042" s="5" t="n">
        <v>70</v>
      </c>
      <c r="I2042" s="5" t="n">
        <v>41</v>
      </c>
      <c r="J2042" s="5" t="n">
        <v>29</v>
      </c>
      <c r="K2042" s="10">
        <f>IF(F2042&gt;0,H2042/F2042,"")</f>
        <v/>
      </c>
      <c r="L2042" s="16">
        <f>IF(AND(G2042&gt;0,H2042&gt;0),G2042/H2042,"")</f>
        <v/>
      </c>
    </row>
    <row r="2043">
      <c r="A2043" s="4" t="inlineStr">
        <is>
          <t>324</t>
        </is>
      </c>
      <c r="B2043" s="4" t="n">
        <v>3</v>
      </c>
      <c r="C2043" s="4" t="inlineStr">
        <is>
          <t>whitetail</t>
        </is>
      </c>
      <c r="D2043" s="4" t="n">
        <v>2024</v>
      </c>
      <c r="E2043" s="13" t="inlineStr">
        <is>
          <t>General</t>
        </is>
      </c>
      <c r="F2043" s="5" t="n"/>
      <c r="G2043" s="5" t="n"/>
      <c r="H2043" s="5" t="n">
        <v>275</v>
      </c>
      <c r="I2043" s="5" t="n">
        <v>130</v>
      </c>
      <c r="J2043" s="5" t="n">
        <v>144</v>
      </c>
      <c r="K2043" s="10">
        <f>IF(F2043&gt;0,H2043/F2043,"")</f>
        <v/>
      </c>
      <c r="L2043" s="16">
        <f>IF(AND(G2043&gt;0,H2043&gt;0),G2043/H2043,"")</f>
        <v/>
      </c>
    </row>
    <row r="2044">
      <c r="A2044" s="4" t="inlineStr">
        <is>
          <t>324</t>
        </is>
      </c>
      <c r="B2044" s="4" t="n">
        <v>3</v>
      </c>
      <c r="C2044" s="4" t="inlineStr">
        <is>
          <t>whitetail</t>
        </is>
      </c>
      <c r="D2044" s="4" t="n">
        <v>2025</v>
      </c>
      <c r="E2044" s="13" t="inlineStr">
        <is>
          <t>General</t>
        </is>
      </c>
      <c r="F2044" s="5" t="n">
        <v>1535</v>
      </c>
      <c r="G2044" s="5" t="n">
        <v>9522</v>
      </c>
      <c r="H2044" s="5" t="n">
        <v>299</v>
      </c>
      <c r="I2044" s="5" t="n">
        <v>172</v>
      </c>
      <c r="J2044" s="5" t="n">
        <v>127</v>
      </c>
      <c r="K2044" s="10">
        <f>IF(F2044&gt;0,H2044/F2044,"")</f>
        <v/>
      </c>
      <c r="L2044" s="16">
        <f>IF(AND(G2044&gt;0,H2044&gt;0),G2044/H2044,"")</f>
        <v/>
      </c>
    </row>
    <row r="2045">
      <c r="A2045" s="4" t="inlineStr">
        <is>
          <t>325</t>
        </is>
      </c>
      <c r="B2045" s="4" t="n">
        <v>3</v>
      </c>
      <c r="C2045" s="4" t="inlineStr">
        <is>
          <t>whitetail</t>
        </is>
      </c>
      <c r="D2045" s="4" t="n">
        <v>2021</v>
      </c>
      <c r="E2045" s="4" t="inlineStr"/>
      <c r="F2045" s="5" t="n">
        <v>1647</v>
      </c>
      <c r="G2045" s="5" t="n">
        <v>9594</v>
      </c>
      <c r="H2045" s="5" t="n">
        <v>313</v>
      </c>
      <c r="I2045" s="5" t="n">
        <v>172</v>
      </c>
      <c r="J2045" s="5" t="n">
        <v>142</v>
      </c>
      <c r="K2045" s="10">
        <f>IF(F2045&gt;0,H2045/F2045,"")</f>
        <v/>
      </c>
      <c r="L2045" s="16">
        <f>IF(AND(G2045&gt;0,H2045&gt;0),G2045/H2045,"")</f>
        <v/>
      </c>
    </row>
    <row r="2046">
      <c r="A2046" s="4" t="inlineStr">
        <is>
          <t>326</t>
        </is>
      </c>
      <c r="B2046" s="4" t="n">
        <v>3</v>
      </c>
      <c r="C2046" s="4" t="inlineStr">
        <is>
          <t>whitetail</t>
        </is>
      </c>
      <c r="D2046" s="4" t="n">
        <v>2021</v>
      </c>
      <c r="E2046" s="4" t="inlineStr"/>
      <c r="F2046" s="5" t="n">
        <v>597</v>
      </c>
      <c r="G2046" s="5" t="n">
        <v>3199</v>
      </c>
      <c r="H2046" s="5" t="n">
        <v>114</v>
      </c>
      <c r="I2046" s="5" t="n">
        <v>56</v>
      </c>
      <c r="J2046" s="5" t="n">
        <v>58</v>
      </c>
      <c r="K2046" s="10">
        <f>IF(F2046&gt;0,H2046/F2046,"")</f>
        <v/>
      </c>
      <c r="L2046" s="16">
        <f>IF(AND(G2046&gt;0,H2046&gt;0),G2046/H2046,"")</f>
        <v/>
      </c>
    </row>
    <row r="2047">
      <c r="A2047" s="4" t="inlineStr">
        <is>
          <t>327</t>
        </is>
      </c>
      <c r="B2047" s="4" t="n">
        <v>3</v>
      </c>
      <c r="C2047" s="4" t="inlineStr">
        <is>
          <t>whitetail</t>
        </is>
      </c>
      <c r="D2047" s="4" t="n">
        <v>2021</v>
      </c>
      <c r="E2047" s="4" t="inlineStr"/>
      <c r="F2047" s="5" t="n">
        <v>546</v>
      </c>
      <c r="G2047" s="5" t="n">
        <v>3451</v>
      </c>
      <c r="H2047" s="5" t="n">
        <v>22</v>
      </c>
      <c r="I2047" s="5" t="n">
        <v>15</v>
      </c>
      <c r="J2047" s="5" t="n">
        <v>7</v>
      </c>
      <c r="K2047" s="10">
        <f>IF(F2047&gt;0,H2047/F2047,"")</f>
        <v/>
      </c>
      <c r="L2047" s="16">
        <f>IF(AND(G2047&gt;0,H2047&gt;0),G2047/H2047,"")</f>
        <v/>
      </c>
    </row>
    <row r="2048">
      <c r="A2048" s="4" t="inlineStr">
        <is>
          <t>328</t>
        </is>
      </c>
      <c r="B2048" s="4" t="n">
        <v>3</v>
      </c>
      <c r="C2048" s="4" t="inlineStr">
        <is>
          <t>whitetail</t>
        </is>
      </c>
      <c r="D2048" s="4" t="n">
        <v>2021</v>
      </c>
      <c r="E2048" s="4" t="inlineStr"/>
      <c r="F2048" s="5" t="n">
        <v>320</v>
      </c>
      <c r="G2048" s="5" t="n">
        <v>1581</v>
      </c>
      <c r="H2048" s="5" t="n">
        <v>4</v>
      </c>
      <c r="I2048" s="5" t="n">
        <v>0</v>
      </c>
      <c r="J2048" s="5" t="n">
        <v>4</v>
      </c>
      <c r="K2048" s="10">
        <f>IF(F2048&gt;0,H2048/F2048,"")</f>
        <v/>
      </c>
      <c r="L2048" s="16">
        <f>IF(AND(G2048&gt;0,H2048&gt;0),G2048/H2048,"")</f>
        <v/>
      </c>
    </row>
    <row r="2049">
      <c r="A2049" s="4" t="inlineStr">
        <is>
          <t>329</t>
        </is>
      </c>
      <c r="B2049" s="4" t="n">
        <v>3</v>
      </c>
      <c r="C2049" s="4" t="inlineStr">
        <is>
          <t>whitetail</t>
        </is>
      </c>
      <c r="D2049" s="4" t="n">
        <v>2021</v>
      </c>
      <c r="E2049" s="13" t="inlineStr">
        <is>
          <t>General</t>
        </is>
      </c>
      <c r="F2049" s="5" t="n">
        <v>839</v>
      </c>
      <c r="G2049" s="5" t="n">
        <v>5236</v>
      </c>
      <c r="H2049" s="5" t="n">
        <v>24</v>
      </c>
      <c r="I2049" s="5" t="n">
        <v>24</v>
      </c>
      <c r="J2049" s="5" t="n">
        <v>0</v>
      </c>
      <c r="K2049" s="10">
        <f>IF(F2049&gt;0,H2049/F2049,"")</f>
        <v/>
      </c>
      <c r="L2049" s="16">
        <f>IF(AND(G2049&gt;0,H2049&gt;0),G2049/H2049,"")</f>
        <v/>
      </c>
    </row>
    <row r="2050">
      <c r="A2050" s="4" t="inlineStr">
        <is>
          <t>329</t>
        </is>
      </c>
      <c r="B2050" s="4" t="n">
        <v>3</v>
      </c>
      <c r="C2050" s="4" t="inlineStr">
        <is>
          <t>whitetail</t>
        </is>
      </c>
      <c r="D2050" s="4" t="n">
        <v>2022</v>
      </c>
      <c r="E2050" s="13" t="inlineStr">
        <is>
          <t>General</t>
        </is>
      </c>
      <c r="F2050" s="5" t="n"/>
      <c r="G2050" s="5" t="n"/>
      <c r="H2050" s="5" t="n">
        <v>38</v>
      </c>
      <c r="I2050" s="5" t="n">
        <v>13</v>
      </c>
      <c r="J2050" s="5" t="n">
        <v>24</v>
      </c>
      <c r="K2050" s="10">
        <f>IF(F2050&gt;0,H2050/F2050,"")</f>
        <v/>
      </c>
      <c r="L2050" s="16">
        <f>IF(AND(G2050&gt;0,H2050&gt;0),G2050/H2050,"")</f>
        <v/>
      </c>
    </row>
    <row r="2051">
      <c r="A2051" s="4" t="inlineStr">
        <is>
          <t>329</t>
        </is>
      </c>
      <c r="B2051" s="4" t="n">
        <v>3</v>
      </c>
      <c r="C2051" s="4" t="inlineStr">
        <is>
          <t>whitetail</t>
        </is>
      </c>
      <c r="D2051" s="4" t="n">
        <v>2023</v>
      </c>
      <c r="E2051" s="13" t="inlineStr">
        <is>
          <t>General</t>
        </is>
      </c>
      <c r="F2051" s="5" t="n">
        <v>1025</v>
      </c>
      <c r="G2051" s="5" t="n">
        <v>6414</v>
      </c>
      <c r="H2051" s="5" t="n">
        <v>68</v>
      </c>
      <c r="I2051" s="5" t="n">
        <v>46</v>
      </c>
      <c r="J2051" s="5" t="n">
        <v>20</v>
      </c>
      <c r="K2051" s="10">
        <f>IF(F2051&gt;0,H2051/F2051,"")</f>
        <v/>
      </c>
      <c r="L2051" s="16">
        <f>IF(AND(G2051&gt;0,H2051&gt;0),G2051/H2051,"")</f>
        <v/>
      </c>
    </row>
    <row r="2052">
      <c r="A2052" s="4" t="inlineStr">
        <is>
          <t>329</t>
        </is>
      </c>
      <c r="B2052" s="4" t="n">
        <v>3</v>
      </c>
      <c r="C2052" s="4" t="inlineStr">
        <is>
          <t>whitetail</t>
        </is>
      </c>
      <c r="D2052" s="4" t="n">
        <v>2024</v>
      </c>
      <c r="E2052" s="13" t="inlineStr">
        <is>
          <t>General</t>
        </is>
      </c>
      <c r="F2052" s="5" t="n"/>
      <c r="G2052" s="5" t="n"/>
      <c r="H2052" s="5" t="n">
        <v>40</v>
      </c>
      <c r="I2052" s="5" t="n">
        <v>16</v>
      </c>
      <c r="J2052" s="5" t="n">
        <v>24</v>
      </c>
      <c r="K2052" s="10">
        <f>IF(F2052&gt;0,H2052/F2052,"")</f>
        <v/>
      </c>
      <c r="L2052" s="16">
        <f>IF(AND(G2052&gt;0,H2052&gt;0),G2052/H2052,"")</f>
        <v/>
      </c>
    </row>
    <row r="2053">
      <c r="A2053" s="4" t="inlineStr">
        <is>
          <t>329</t>
        </is>
      </c>
      <c r="B2053" s="4" t="n">
        <v>3</v>
      </c>
      <c r="C2053" s="4" t="inlineStr">
        <is>
          <t>whitetail</t>
        </is>
      </c>
      <c r="D2053" s="4" t="n">
        <v>2025</v>
      </c>
      <c r="E2053" s="13" t="inlineStr">
        <is>
          <t>General</t>
        </is>
      </c>
      <c r="F2053" s="5" t="n">
        <v>1184</v>
      </c>
      <c r="G2053" s="5" t="n">
        <v>7279</v>
      </c>
      <c r="H2053" s="5" t="n">
        <v>35</v>
      </c>
      <c r="I2053" s="5" t="n">
        <v>13</v>
      </c>
      <c r="J2053" s="5" t="n">
        <v>22</v>
      </c>
      <c r="K2053" s="10">
        <f>IF(F2053&gt;0,H2053/F2053,"")</f>
        <v/>
      </c>
      <c r="L2053" s="16">
        <f>IF(AND(G2053&gt;0,H2053&gt;0),G2053/H2053,"")</f>
        <v/>
      </c>
    </row>
    <row r="2054">
      <c r="A2054" s="4" t="inlineStr">
        <is>
          <t>330</t>
        </is>
      </c>
      <c r="B2054" s="4" t="n">
        <v>3</v>
      </c>
      <c r="C2054" s="4" t="inlineStr">
        <is>
          <t>whitetail</t>
        </is>
      </c>
      <c r="D2054" s="4" t="n">
        <v>2021</v>
      </c>
      <c r="E2054" s="4" t="inlineStr"/>
      <c r="F2054" s="5" t="n">
        <v>1008</v>
      </c>
      <c r="G2054" s="5" t="n">
        <v>6837</v>
      </c>
      <c r="H2054" s="5" t="n">
        <v>168</v>
      </c>
      <c r="I2054" s="5" t="n">
        <v>72</v>
      </c>
      <c r="J2054" s="5" t="n">
        <v>93</v>
      </c>
      <c r="K2054" s="10">
        <f>IF(F2054&gt;0,H2054/F2054,"")</f>
        <v/>
      </c>
      <c r="L2054" s="16">
        <f>IF(AND(G2054&gt;0,H2054&gt;0),G2054/H2054,"")</f>
        <v/>
      </c>
    </row>
    <row r="2055">
      <c r="A2055" s="4" t="inlineStr">
        <is>
          <t>331</t>
        </is>
      </c>
      <c r="B2055" s="4" t="n">
        <v>3</v>
      </c>
      <c r="C2055" s="4" t="inlineStr">
        <is>
          <t>whitetail</t>
        </is>
      </c>
      <c r="D2055" s="4" t="n">
        <v>2021</v>
      </c>
      <c r="E2055" s="13" t="inlineStr">
        <is>
          <t>General</t>
        </is>
      </c>
      <c r="F2055" s="5" t="n">
        <v>1485</v>
      </c>
      <c r="G2055" s="5" t="n">
        <v>10368</v>
      </c>
      <c r="H2055" s="5" t="n">
        <v>135</v>
      </c>
      <c r="I2055" s="5" t="n">
        <v>71</v>
      </c>
      <c r="J2055" s="5" t="n">
        <v>65</v>
      </c>
      <c r="K2055" s="10">
        <f>IF(F2055&gt;0,H2055/F2055,"")</f>
        <v/>
      </c>
      <c r="L2055" s="16">
        <f>IF(AND(G2055&gt;0,H2055&gt;0),G2055/H2055,"")</f>
        <v/>
      </c>
    </row>
    <row r="2056">
      <c r="A2056" s="4" t="inlineStr">
        <is>
          <t>331</t>
        </is>
      </c>
      <c r="B2056" s="4" t="n">
        <v>3</v>
      </c>
      <c r="C2056" s="4" t="inlineStr">
        <is>
          <t>whitetail</t>
        </is>
      </c>
      <c r="D2056" s="4" t="n">
        <v>2022</v>
      </c>
      <c r="E2056" s="13" t="inlineStr">
        <is>
          <t>General</t>
        </is>
      </c>
      <c r="F2056" s="5" t="n"/>
      <c r="G2056" s="5" t="n"/>
      <c r="H2056" s="5" t="n">
        <v>170</v>
      </c>
      <c r="I2056" s="5" t="n">
        <v>98</v>
      </c>
      <c r="J2056" s="5" t="n">
        <v>68</v>
      </c>
      <c r="K2056" s="10">
        <f>IF(F2056&gt;0,H2056/F2056,"")</f>
        <v/>
      </c>
      <c r="L2056" s="16">
        <f>IF(AND(G2056&gt;0,H2056&gt;0),G2056/H2056,"")</f>
        <v/>
      </c>
    </row>
    <row r="2057">
      <c r="A2057" s="4" t="inlineStr">
        <is>
          <t>331</t>
        </is>
      </c>
      <c r="B2057" s="4" t="n">
        <v>3</v>
      </c>
      <c r="C2057" s="4" t="inlineStr">
        <is>
          <t>whitetail</t>
        </is>
      </c>
      <c r="D2057" s="4" t="n">
        <v>2023</v>
      </c>
      <c r="E2057" s="13" t="inlineStr">
        <is>
          <t>General</t>
        </is>
      </c>
      <c r="F2057" s="5" t="n">
        <v>2009</v>
      </c>
      <c r="G2057" s="5" t="n">
        <v>14147</v>
      </c>
      <c r="H2057" s="5" t="n">
        <v>153</v>
      </c>
      <c r="I2057" s="5" t="n">
        <v>78</v>
      </c>
      <c r="J2057" s="5" t="n">
        <v>72</v>
      </c>
      <c r="K2057" s="10">
        <f>IF(F2057&gt;0,H2057/F2057,"")</f>
        <v/>
      </c>
      <c r="L2057" s="16">
        <f>IF(AND(G2057&gt;0,H2057&gt;0),G2057/H2057,"")</f>
        <v/>
      </c>
    </row>
    <row r="2058">
      <c r="A2058" s="4" t="inlineStr">
        <is>
          <t>331</t>
        </is>
      </c>
      <c r="B2058" s="4" t="n">
        <v>3</v>
      </c>
      <c r="C2058" s="4" t="inlineStr">
        <is>
          <t>whitetail</t>
        </is>
      </c>
      <c r="D2058" s="4" t="n">
        <v>2024</v>
      </c>
      <c r="E2058" s="13" t="inlineStr">
        <is>
          <t>General</t>
        </is>
      </c>
      <c r="F2058" s="5" t="n"/>
      <c r="G2058" s="5" t="n"/>
      <c r="H2058" s="5" t="n">
        <v>196</v>
      </c>
      <c r="I2058" s="5" t="n">
        <v>92</v>
      </c>
      <c r="J2058" s="5" t="n">
        <v>105</v>
      </c>
      <c r="K2058" s="10">
        <f>IF(F2058&gt;0,H2058/F2058,"")</f>
        <v/>
      </c>
      <c r="L2058" s="16">
        <f>IF(AND(G2058&gt;0,H2058&gt;0),G2058/H2058,"")</f>
        <v/>
      </c>
    </row>
    <row r="2059">
      <c r="A2059" s="4" t="inlineStr">
        <is>
          <t>331</t>
        </is>
      </c>
      <c r="B2059" s="4" t="n">
        <v>3</v>
      </c>
      <c r="C2059" s="4" t="inlineStr">
        <is>
          <t>whitetail</t>
        </is>
      </c>
      <c r="D2059" s="4" t="n">
        <v>2025</v>
      </c>
      <c r="E2059" s="13" t="inlineStr">
        <is>
          <t>General</t>
        </is>
      </c>
      <c r="F2059" s="5" t="n">
        <v>2606</v>
      </c>
      <c r="G2059" s="5" t="n">
        <v>20916</v>
      </c>
      <c r="H2059" s="5" t="n">
        <v>161</v>
      </c>
      <c r="I2059" s="5" t="n">
        <v>79</v>
      </c>
      <c r="J2059" s="5" t="n">
        <v>83</v>
      </c>
      <c r="K2059" s="10">
        <f>IF(F2059&gt;0,H2059/F2059,"")</f>
        <v/>
      </c>
      <c r="L2059" s="16">
        <f>IF(AND(G2059&gt;0,H2059&gt;0),G2059/H2059,"")</f>
        <v/>
      </c>
    </row>
    <row r="2060">
      <c r="A2060" s="4" t="inlineStr">
        <is>
          <t>332</t>
        </is>
      </c>
      <c r="B2060" s="4" t="n">
        <v>3</v>
      </c>
      <c r="C2060" s="4" t="inlineStr">
        <is>
          <t>whitetail</t>
        </is>
      </c>
      <c r="D2060" s="4" t="n">
        <v>2021</v>
      </c>
      <c r="E2060" s="4" t="inlineStr"/>
      <c r="F2060" s="5" t="n">
        <v>478</v>
      </c>
      <c r="G2060" s="5" t="n">
        <v>3115</v>
      </c>
      <c r="H2060" s="5" t="n">
        <v>21</v>
      </c>
      <c r="I2060" s="5" t="n">
        <v>7</v>
      </c>
      <c r="J2060" s="5" t="n">
        <v>14</v>
      </c>
      <c r="K2060" s="10">
        <f>IF(F2060&gt;0,H2060/F2060,"")</f>
        <v/>
      </c>
      <c r="L2060" s="16">
        <f>IF(AND(G2060&gt;0,H2060&gt;0),G2060/H2060,"")</f>
        <v/>
      </c>
    </row>
    <row r="2061">
      <c r="A2061" s="4" t="inlineStr">
        <is>
          <t>333</t>
        </is>
      </c>
      <c r="B2061" s="4" t="n">
        <v>3</v>
      </c>
      <c r="C2061" s="4" t="inlineStr">
        <is>
          <t>whitetail</t>
        </is>
      </c>
      <c r="D2061" s="4" t="n">
        <v>2021</v>
      </c>
      <c r="E2061" s="4" t="inlineStr"/>
      <c r="F2061" s="5" t="n">
        <v>1452</v>
      </c>
      <c r="G2061" s="5" t="n">
        <v>9148</v>
      </c>
      <c r="H2061" s="5" t="n">
        <v>494</v>
      </c>
      <c r="I2061" s="5" t="n">
        <v>242</v>
      </c>
      <c r="J2061" s="5" t="n">
        <v>253</v>
      </c>
      <c r="K2061" s="10">
        <f>IF(F2061&gt;0,H2061/F2061,"")</f>
        <v/>
      </c>
      <c r="L2061" s="16">
        <f>IF(AND(G2061&gt;0,H2061&gt;0),G2061/H2061,"")</f>
        <v/>
      </c>
    </row>
    <row r="2062">
      <c r="A2062" s="4" t="inlineStr">
        <is>
          <t>334</t>
        </is>
      </c>
      <c r="B2062" s="4" t="n">
        <v>3</v>
      </c>
      <c r="C2062" s="4" t="inlineStr">
        <is>
          <t>whitetail</t>
        </is>
      </c>
      <c r="D2062" s="4" t="n">
        <v>2021</v>
      </c>
      <c r="E2062" s="4" t="inlineStr"/>
      <c r="F2062" s="5" t="n">
        <v>238</v>
      </c>
      <c r="G2062" s="5" t="n">
        <v>1505</v>
      </c>
      <c r="H2062" s="5" t="n">
        <v>8</v>
      </c>
      <c r="I2062" s="5" t="n">
        <v>4</v>
      </c>
      <c r="J2062" s="5" t="n">
        <v>0</v>
      </c>
      <c r="K2062" s="10">
        <f>IF(F2062&gt;0,H2062/F2062,"")</f>
        <v/>
      </c>
      <c r="L2062" s="16">
        <f>IF(AND(G2062&gt;0,H2062&gt;0),G2062/H2062,"")</f>
        <v/>
      </c>
    </row>
    <row r="2063">
      <c r="A2063" s="4" t="inlineStr">
        <is>
          <t>335</t>
        </is>
      </c>
      <c r="B2063" s="4" t="n">
        <v>3</v>
      </c>
      <c r="C2063" s="4" t="inlineStr">
        <is>
          <t>whitetail</t>
        </is>
      </c>
      <c r="D2063" s="4" t="n">
        <v>2021</v>
      </c>
      <c r="E2063" s="13" t="inlineStr">
        <is>
          <t>General</t>
        </is>
      </c>
      <c r="F2063" s="5" t="n">
        <v>875</v>
      </c>
      <c r="G2063" s="5" t="n">
        <v>6923</v>
      </c>
      <c r="H2063" s="5" t="n">
        <v>39</v>
      </c>
      <c r="I2063" s="5" t="n">
        <v>28</v>
      </c>
      <c r="J2063" s="5" t="n">
        <v>11</v>
      </c>
      <c r="K2063" s="10">
        <f>IF(F2063&gt;0,H2063/F2063,"")</f>
        <v/>
      </c>
      <c r="L2063" s="16">
        <f>IF(AND(G2063&gt;0,H2063&gt;0),G2063/H2063,"")</f>
        <v/>
      </c>
    </row>
    <row r="2064">
      <c r="A2064" s="4" t="inlineStr">
        <is>
          <t>335</t>
        </is>
      </c>
      <c r="B2064" s="4" t="n">
        <v>3</v>
      </c>
      <c r="C2064" s="4" t="inlineStr">
        <is>
          <t>whitetail</t>
        </is>
      </c>
      <c r="D2064" s="4" t="n">
        <v>2022</v>
      </c>
      <c r="E2064" s="13" t="inlineStr">
        <is>
          <t>General</t>
        </is>
      </c>
      <c r="F2064" s="5" t="n"/>
      <c r="G2064" s="5" t="n"/>
      <c r="H2064" s="5" t="n">
        <v>85</v>
      </c>
      <c r="I2064" s="5" t="n">
        <v>42</v>
      </c>
      <c r="J2064" s="5" t="n">
        <v>43</v>
      </c>
      <c r="K2064" s="10">
        <f>IF(F2064&gt;0,H2064/F2064,"")</f>
        <v/>
      </c>
      <c r="L2064" s="16">
        <f>IF(AND(G2064&gt;0,H2064&gt;0),G2064/H2064,"")</f>
        <v/>
      </c>
    </row>
    <row r="2065">
      <c r="A2065" s="4" t="inlineStr">
        <is>
          <t>335</t>
        </is>
      </c>
      <c r="B2065" s="4" t="n">
        <v>3</v>
      </c>
      <c r="C2065" s="4" t="inlineStr">
        <is>
          <t>whitetail</t>
        </is>
      </c>
      <c r="D2065" s="4" t="n">
        <v>2023</v>
      </c>
      <c r="E2065" s="13" t="inlineStr">
        <is>
          <t>General</t>
        </is>
      </c>
      <c r="F2065" s="5" t="n">
        <v>1100</v>
      </c>
      <c r="G2065" s="5" t="n">
        <v>9091</v>
      </c>
      <c r="H2065" s="5" t="n">
        <v>40</v>
      </c>
      <c r="I2065" s="5" t="n">
        <v>14</v>
      </c>
      <c r="J2065" s="5" t="n">
        <v>27</v>
      </c>
      <c r="K2065" s="10">
        <f>IF(F2065&gt;0,H2065/F2065,"")</f>
        <v/>
      </c>
      <c r="L2065" s="16">
        <f>IF(AND(G2065&gt;0,H2065&gt;0),G2065/H2065,"")</f>
        <v/>
      </c>
    </row>
    <row r="2066">
      <c r="A2066" s="4" t="inlineStr">
        <is>
          <t>335</t>
        </is>
      </c>
      <c r="B2066" s="4" t="n">
        <v>3</v>
      </c>
      <c r="C2066" s="4" t="inlineStr">
        <is>
          <t>whitetail</t>
        </is>
      </c>
      <c r="D2066" s="4" t="n">
        <v>2024</v>
      </c>
      <c r="E2066" s="13" t="inlineStr">
        <is>
          <t>General</t>
        </is>
      </c>
      <c r="F2066" s="5" t="n"/>
      <c r="G2066" s="5" t="n"/>
      <c r="H2066" s="5" t="n">
        <v>74</v>
      </c>
      <c r="I2066" s="5" t="n">
        <v>52</v>
      </c>
      <c r="J2066" s="5" t="n">
        <v>23</v>
      </c>
      <c r="K2066" s="10">
        <f>IF(F2066&gt;0,H2066/F2066,"")</f>
        <v/>
      </c>
      <c r="L2066" s="16">
        <f>IF(AND(G2066&gt;0,H2066&gt;0),G2066/H2066,"")</f>
        <v/>
      </c>
    </row>
    <row r="2067">
      <c r="A2067" s="4" t="inlineStr">
        <is>
          <t>335</t>
        </is>
      </c>
      <c r="B2067" s="4" t="n">
        <v>3</v>
      </c>
      <c r="C2067" s="4" t="inlineStr">
        <is>
          <t>whitetail</t>
        </is>
      </c>
      <c r="D2067" s="4" t="n">
        <v>2025</v>
      </c>
      <c r="E2067" s="13" t="inlineStr">
        <is>
          <t>General</t>
        </is>
      </c>
      <c r="F2067" s="5" t="n">
        <v>1194</v>
      </c>
      <c r="G2067" s="5" t="n">
        <v>8438</v>
      </c>
      <c r="H2067" s="5" t="n">
        <v>74</v>
      </c>
      <c r="I2067" s="5" t="n">
        <v>38</v>
      </c>
      <c r="J2067" s="5" t="n">
        <v>36</v>
      </c>
      <c r="K2067" s="10">
        <f>IF(F2067&gt;0,H2067/F2067,"")</f>
        <v/>
      </c>
      <c r="L2067" s="16">
        <f>IF(AND(G2067&gt;0,H2067&gt;0),G2067/H2067,"")</f>
        <v/>
      </c>
    </row>
    <row r="2068">
      <c r="A2068" s="4" t="inlineStr">
        <is>
          <t>339</t>
        </is>
      </c>
      <c r="B2068" s="4" t="n">
        <v>3</v>
      </c>
      <c r="C2068" s="4" t="inlineStr">
        <is>
          <t>whitetail</t>
        </is>
      </c>
      <c r="D2068" s="4" t="n">
        <v>2021</v>
      </c>
      <c r="E2068" s="13" t="inlineStr">
        <is>
          <t>General</t>
        </is>
      </c>
      <c r="F2068" s="5" t="n">
        <v>633</v>
      </c>
      <c r="G2068" s="5" t="n">
        <v>4031</v>
      </c>
      <c r="H2068" s="5" t="n">
        <v>50</v>
      </c>
      <c r="I2068" s="5" t="n">
        <v>27</v>
      </c>
      <c r="J2068" s="5" t="n">
        <v>23</v>
      </c>
      <c r="K2068" s="10">
        <f>IF(F2068&gt;0,H2068/F2068,"")</f>
        <v/>
      </c>
      <c r="L2068" s="16">
        <f>IF(AND(G2068&gt;0,H2068&gt;0),G2068/H2068,"")</f>
        <v/>
      </c>
    </row>
    <row r="2069">
      <c r="A2069" s="4" t="inlineStr">
        <is>
          <t>339</t>
        </is>
      </c>
      <c r="B2069" s="4" t="n">
        <v>3</v>
      </c>
      <c r="C2069" s="4" t="inlineStr">
        <is>
          <t>whitetail</t>
        </is>
      </c>
      <c r="D2069" s="4" t="n">
        <v>2022</v>
      </c>
      <c r="E2069" s="13" t="inlineStr">
        <is>
          <t>General</t>
        </is>
      </c>
      <c r="F2069" s="5" t="n"/>
      <c r="G2069" s="5" t="n"/>
      <c r="H2069" s="5" t="n">
        <v>70</v>
      </c>
      <c r="I2069" s="5" t="n">
        <v>36</v>
      </c>
      <c r="J2069" s="5" t="n">
        <v>34</v>
      </c>
      <c r="K2069" s="10">
        <f>IF(F2069&gt;0,H2069/F2069,"")</f>
        <v/>
      </c>
      <c r="L2069" s="16">
        <f>IF(AND(G2069&gt;0,H2069&gt;0),G2069/H2069,"")</f>
        <v/>
      </c>
    </row>
    <row r="2070">
      <c r="A2070" s="4" t="inlineStr">
        <is>
          <t>339</t>
        </is>
      </c>
      <c r="B2070" s="4" t="n">
        <v>3</v>
      </c>
      <c r="C2070" s="4" t="inlineStr">
        <is>
          <t>whitetail</t>
        </is>
      </c>
      <c r="D2070" s="4" t="n">
        <v>2023</v>
      </c>
      <c r="E2070" s="13" t="inlineStr">
        <is>
          <t>General</t>
        </is>
      </c>
      <c r="F2070" s="5" t="n">
        <v>653</v>
      </c>
      <c r="G2070" s="5" t="n">
        <v>4192</v>
      </c>
      <c r="H2070" s="5" t="n">
        <v>57</v>
      </c>
      <c r="I2070" s="5" t="n">
        <v>37</v>
      </c>
      <c r="J2070" s="5" t="n">
        <v>20</v>
      </c>
      <c r="K2070" s="10">
        <f>IF(F2070&gt;0,H2070/F2070,"")</f>
        <v/>
      </c>
      <c r="L2070" s="16">
        <f>IF(AND(G2070&gt;0,H2070&gt;0),G2070/H2070,"")</f>
        <v/>
      </c>
    </row>
    <row r="2071">
      <c r="A2071" s="4" t="inlineStr">
        <is>
          <t>339</t>
        </is>
      </c>
      <c r="B2071" s="4" t="n">
        <v>3</v>
      </c>
      <c r="C2071" s="4" t="inlineStr">
        <is>
          <t>whitetail</t>
        </is>
      </c>
      <c r="D2071" s="4" t="n">
        <v>2024</v>
      </c>
      <c r="E2071" s="13" t="inlineStr">
        <is>
          <t>General</t>
        </is>
      </c>
      <c r="F2071" s="5" t="n"/>
      <c r="G2071" s="5" t="n"/>
      <c r="H2071" s="5" t="n">
        <v>57</v>
      </c>
      <c r="I2071" s="5" t="n">
        <v>37</v>
      </c>
      <c r="J2071" s="5" t="n">
        <v>20</v>
      </c>
      <c r="K2071" s="10">
        <f>IF(F2071&gt;0,H2071/F2071,"")</f>
        <v/>
      </c>
      <c r="L2071" s="16">
        <f>IF(AND(G2071&gt;0,H2071&gt;0),G2071/H2071,"")</f>
        <v/>
      </c>
    </row>
    <row r="2072">
      <c r="A2072" s="4" t="inlineStr">
        <is>
          <t>339</t>
        </is>
      </c>
      <c r="B2072" s="4" t="n">
        <v>3</v>
      </c>
      <c r="C2072" s="4" t="inlineStr">
        <is>
          <t>whitetail</t>
        </is>
      </c>
      <c r="D2072" s="4" t="n">
        <v>2025</v>
      </c>
      <c r="E2072" s="13" t="inlineStr">
        <is>
          <t>General</t>
        </is>
      </c>
      <c r="F2072" s="5" t="n">
        <v>870</v>
      </c>
      <c r="G2072" s="5" t="n">
        <v>5989</v>
      </c>
      <c r="H2072" s="5" t="n">
        <v>69</v>
      </c>
      <c r="I2072" s="5" t="n">
        <v>52</v>
      </c>
      <c r="J2072" s="5" t="n">
        <v>17</v>
      </c>
      <c r="K2072" s="10">
        <f>IF(F2072&gt;0,H2072/F2072,"")</f>
        <v/>
      </c>
      <c r="L2072" s="16">
        <f>IF(AND(G2072&gt;0,H2072&gt;0),G2072/H2072,"")</f>
        <v/>
      </c>
    </row>
    <row r="2073">
      <c r="A2073" s="4" t="inlineStr">
        <is>
          <t>340</t>
        </is>
      </c>
      <c r="B2073" s="4" t="n">
        <v>3</v>
      </c>
      <c r="C2073" s="4" t="inlineStr">
        <is>
          <t>whitetail</t>
        </is>
      </c>
      <c r="D2073" s="4" t="n">
        <v>2021</v>
      </c>
      <c r="E2073" s="13" t="inlineStr">
        <is>
          <t>General</t>
        </is>
      </c>
      <c r="F2073" s="5" t="n">
        <v>2067</v>
      </c>
      <c r="G2073" s="5" t="n">
        <v>13242</v>
      </c>
      <c r="H2073" s="5" t="n">
        <v>444</v>
      </c>
      <c r="I2073" s="5" t="n">
        <v>211</v>
      </c>
      <c r="J2073" s="5" t="n">
        <v>232</v>
      </c>
      <c r="K2073" s="10">
        <f>IF(F2073&gt;0,H2073/F2073,"")</f>
        <v/>
      </c>
      <c r="L2073" s="16">
        <f>IF(AND(G2073&gt;0,H2073&gt;0),G2073/H2073,"")</f>
        <v/>
      </c>
    </row>
    <row r="2074">
      <c r="A2074" s="4" t="inlineStr">
        <is>
          <t>340</t>
        </is>
      </c>
      <c r="B2074" s="4" t="n">
        <v>3</v>
      </c>
      <c r="C2074" s="4" t="inlineStr">
        <is>
          <t>whitetail</t>
        </is>
      </c>
      <c r="D2074" s="4" t="n">
        <v>2022</v>
      </c>
      <c r="E2074" s="13" t="inlineStr">
        <is>
          <t>General</t>
        </is>
      </c>
      <c r="F2074" s="5" t="n"/>
      <c r="G2074" s="5" t="n"/>
      <c r="H2074" s="5" t="n">
        <v>399</v>
      </c>
      <c r="I2074" s="5" t="n">
        <v>215</v>
      </c>
      <c r="J2074" s="5" t="n">
        <v>176</v>
      </c>
      <c r="K2074" s="10">
        <f>IF(F2074&gt;0,H2074/F2074,"")</f>
        <v/>
      </c>
      <c r="L2074" s="16">
        <f>IF(AND(G2074&gt;0,H2074&gt;0),G2074/H2074,"")</f>
        <v/>
      </c>
    </row>
    <row r="2075">
      <c r="A2075" s="4" t="inlineStr">
        <is>
          <t>340</t>
        </is>
      </c>
      <c r="B2075" s="4" t="n">
        <v>3</v>
      </c>
      <c r="C2075" s="4" t="inlineStr">
        <is>
          <t>whitetail</t>
        </is>
      </c>
      <c r="D2075" s="4" t="n">
        <v>2023</v>
      </c>
      <c r="E2075" s="13" t="inlineStr">
        <is>
          <t>General</t>
        </is>
      </c>
      <c r="F2075" s="5" t="n">
        <v>1963</v>
      </c>
      <c r="G2075" s="5" t="n">
        <v>12717</v>
      </c>
      <c r="H2075" s="5" t="n">
        <v>424</v>
      </c>
      <c r="I2075" s="5" t="n">
        <v>236</v>
      </c>
      <c r="J2075" s="5" t="n">
        <v>188</v>
      </c>
      <c r="K2075" s="10">
        <f>IF(F2075&gt;0,H2075/F2075,"")</f>
        <v/>
      </c>
      <c r="L2075" s="16">
        <f>IF(AND(G2075&gt;0,H2075&gt;0),G2075/H2075,"")</f>
        <v/>
      </c>
    </row>
    <row r="2076">
      <c r="A2076" s="4" t="inlineStr">
        <is>
          <t>340</t>
        </is>
      </c>
      <c r="B2076" s="4" t="n">
        <v>3</v>
      </c>
      <c r="C2076" s="4" t="inlineStr">
        <is>
          <t>whitetail</t>
        </is>
      </c>
      <c r="D2076" s="4" t="n">
        <v>2024</v>
      </c>
      <c r="E2076" s="13" t="inlineStr">
        <is>
          <t>General</t>
        </is>
      </c>
      <c r="F2076" s="5" t="n"/>
      <c r="G2076" s="5" t="n"/>
      <c r="H2076" s="5" t="n">
        <v>374</v>
      </c>
      <c r="I2076" s="5" t="n">
        <v>200</v>
      </c>
      <c r="J2076" s="5" t="n">
        <v>173</v>
      </c>
      <c r="K2076" s="10">
        <f>IF(F2076&gt;0,H2076/F2076,"")</f>
        <v/>
      </c>
      <c r="L2076" s="16">
        <f>IF(AND(G2076&gt;0,H2076&gt;0),G2076/H2076,"")</f>
        <v/>
      </c>
    </row>
    <row r="2077">
      <c r="A2077" s="4" t="inlineStr">
        <is>
          <t>340</t>
        </is>
      </c>
      <c r="B2077" s="4" t="n">
        <v>3</v>
      </c>
      <c r="C2077" s="4" t="inlineStr">
        <is>
          <t>whitetail</t>
        </is>
      </c>
      <c r="D2077" s="4" t="n">
        <v>2025</v>
      </c>
      <c r="E2077" s="13" t="inlineStr">
        <is>
          <t>General</t>
        </is>
      </c>
      <c r="F2077" s="5" t="n">
        <v>1922</v>
      </c>
      <c r="G2077" s="5" t="n">
        <v>12825</v>
      </c>
      <c r="H2077" s="5" t="n">
        <v>331</v>
      </c>
      <c r="I2077" s="5" t="n">
        <v>169</v>
      </c>
      <c r="J2077" s="5" t="n">
        <v>162</v>
      </c>
      <c r="K2077" s="10">
        <f>IF(F2077&gt;0,H2077/F2077,"")</f>
        <v/>
      </c>
      <c r="L2077" s="16">
        <f>IF(AND(G2077&gt;0,H2077&gt;0),G2077/H2077,"")</f>
        <v/>
      </c>
    </row>
    <row r="2078">
      <c r="A2078" s="4" t="inlineStr">
        <is>
          <t>341</t>
        </is>
      </c>
      <c r="B2078" s="4" t="n">
        <v>3</v>
      </c>
      <c r="C2078" s="4" t="inlineStr">
        <is>
          <t>whitetail</t>
        </is>
      </c>
      <c r="D2078" s="4" t="n">
        <v>2021</v>
      </c>
      <c r="E2078" s="4" t="inlineStr"/>
      <c r="F2078" s="5" t="n">
        <v>525</v>
      </c>
      <c r="G2078" s="5" t="n">
        <v>3674</v>
      </c>
      <c r="H2078" s="5" t="n">
        <v>58</v>
      </c>
      <c r="I2078" s="5" t="n">
        <v>24</v>
      </c>
      <c r="J2078" s="5" t="n">
        <v>34</v>
      </c>
      <c r="K2078" s="10">
        <f>IF(F2078&gt;0,H2078/F2078,"")</f>
        <v/>
      </c>
      <c r="L2078" s="16">
        <f>IF(AND(G2078&gt;0,H2078&gt;0),G2078/H2078,"")</f>
        <v/>
      </c>
    </row>
    <row r="2079">
      <c r="A2079" s="4" t="inlineStr">
        <is>
          <t>343</t>
        </is>
      </c>
      <c r="B2079" s="4" t="n">
        <v>3</v>
      </c>
      <c r="C2079" s="4" t="inlineStr">
        <is>
          <t>whitetail</t>
        </is>
      </c>
      <c r="D2079" s="4" t="n">
        <v>2021</v>
      </c>
      <c r="E2079" s="13" t="inlineStr">
        <is>
          <t>General</t>
        </is>
      </c>
      <c r="F2079" s="5" t="n">
        <v>826</v>
      </c>
      <c r="G2079" s="5" t="n">
        <v>5774</v>
      </c>
      <c r="H2079" s="5" t="n">
        <v>50</v>
      </c>
      <c r="I2079" s="5" t="n">
        <v>35</v>
      </c>
      <c r="J2079" s="5" t="n">
        <v>15</v>
      </c>
      <c r="K2079" s="10">
        <f>IF(F2079&gt;0,H2079/F2079,"")</f>
        <v/>
      </c>
      <c r="L2079" s="16">
        <f>IF(AND(G2079&gt;0,H2079&gt;0),G2079/H2079,"")</f>
        <v/>
      </c>
    </row>
    <row r="2080">
      <c r="A2080" s="4" t="inlineStr">
        <is>
          <t>343</t>
        </is>
      </c>
      <c r="B2080" s="4" t="n">
        <v>3</v>
      </c>
      <c r="C2080" s="4" t="inlineStr">
        <is>
          <t>whitetail</t>
        </is>
      </c>
      <c r="D2080" s="4" t="n">
        <v>2022</v>
      </c>
      <c r="E2080" s="13" t="inlineStr">
        <is>
          <t>General</t>
        </is>
      </c>
      <c r="F2080" s="5" t="n"/>
      <c r="G2080" s="5" t="n"/>
      <c r="H2080" s="5" t="n">
        <v>54</v>
      </c>
      <c r="I2080" s="5" t="n">
        <v>36</v>
      </c>
      <c r="J2080" s="5" t="n">
        <v>19</v>
      </c>
      <c r="K2080" s="10">
        <f>IF(F2080&gt;0,H2080/F2080,"")</f>
        <v/>
      </c>
      <c r="L2080" s="16">
        <f>IF(AND(G2080&gt;0,H2080&gt;0),G2080/H2080,"")</f>
        <v/>
      </c>
    </row>
    <row r="2081">
      <c r="A2081" s="4" t="inlineStr">
        <is>
          <t>343</t>
        </is>
      </c>
      <c r="B2081" s="4" t="n">
        <v>3</v>
      </c>
      <c r="C2081" s="4" t="inlineStr">
        <is>
          <t>whitetail</t>
        </is>
      </c>
      <c r="D2081" s="4" t="n">
        <v>2023</v>
      </c>
      <c r="E2081" s="13" t="inlineStr">
        <is>
          <t>General</t>
        </is>
      </c>
      <c r="F2081" s="5" t="n">
        <v>949</v>
      </c>
      <c r="G2081" s="5" t="n">
        <v>6944</v>
      </c>
      <c r="H2081" s="5" t="n">
        <v>66</v>
      </c>
      <c r="I2081" s="5" t="n">
        <v>40</v>
      </c>
      <c r="J2081" s="5" t="n">
        <v>26</v>
      </c>
      <c r="K2081" s="10">
        <f>IF(F2081&gt;0,H2081/F2081,"")</f>
        <v/>
      </c>
      <c r="L2081" s="16">
        <f>IF(AND(G2081&gt;0,H2081&gt;0),G2081/H2081,"")</f>
        <v/>
      </c>
    </row>
    <row r="2082">
      <c r="A2082" s="4" t="inlineStr">
        <is>
          <t>343</t>
        </is>
      </c>
      <c r="B2082" s="4" t="n">
        <v>3</v>
      </c>
      <c r="C2082" s="4" t="inlineStr">
        <is>
          <t>whitetail</t>
        </is>
      </c>
      <c r="D2082" s="4" t="n">
        <v>2024</v>
      </c>
      <c r="E2082" s="13" t="inlineStr">
        <is>
          <t>General</t>
        </is>
      </c>
      <c r="F2082" s="5" t="n"/>
      <c r="G2082" s="5" t="n"/>
      <c r="H2082" s="5" t="n">
        <v>57</v>
      </c>
      <c r="I2082" s="5" t="n">
        <v>24</v>
      </c>
      <c r="J2082" s="5" t="n">
        <v>32</v>
      </c>
      <c r="K2082" s="10">
        <f>IF(F2082&gt;0,H2082/F2082,"")</f>
        <v/>
      </c>
      <c r="L2082" s="16">
        <f>IF(AND(G2082&gt;0,H2082&gt;0),G2082/H2082,"")</f>
        <v/>
      </c>
    </row>
    <row r="2083">
      <c r="A2083" s="4" t="inlineStr">
        <is>
          <t>343</t>
        </is>
      </c>
      <c r="B2083" s="4" t="n">
        <v>3</v>
      </c>
      <c r="C2083" s="4" t="inlineStr">
        <is>
          <t>whitetail</t>
        </is>
      </c>
      <c r="D2083" s="4" t="n">
        <v>2025</v>
      </c>
      <c r="E2083" s="13" t="inlineStr">
        <is>
          <t>General</t>
        </is>
      </c>
      <c r="F2083" s="5" t="n">
        <v>1112</v>
      </c>
      <c r="G2083" s="5" t="n">
        <v>7733</v>
      </c>
      <c r="H2083" s="5" t="n">
        <v>52</v>
      </c>
      <c r="I2083" s="5" t="n">
        <v>37</v>
      </c>
      <c r="J2083" s="5" t="n">
        <v>15</v>
      </c>
      <c r="K2083" s="10">
        <f>IF(F2083&gt;0,H2083/F2083,"")</f>
        <v/>
      </c>
      <c r="L2083" s="16">
        <f>IF(AND(G2083&gt;0,H2083&gt;0),G2083/H2083,"")</f>
        <v/>
      </c>
    </row>
    <row r="2084">
      <c r="A2084" s="4" t="inlineStr">
        <is>
          <t>350</t>
        </is>
      </c>
      <c r="B2084" s="4" t="n">
        <v>3</v>
      </c>
      <c r="C2084" s="4" t="inlineStr">
        <is>
          <t>whitetail</t>
        </is>
      </c>
      <c r="D2084" s="4" t="n">
        <v>2021</v>
      </c>
      <c r="E2084" s="13" t="inlineStr">
        <is>
          <t>General</t>
        </is>
      </c>
      <c r="F2084" s="5" t="n">
        <v>586</v>
      </c>
      <c r="G2084" s="5" t="n">
        <v>4076</v>
      </c>
      <c r="H2084" s="5" t="n">
        <v>29</v>
      </c>
      <c r="I2084" s="5" t="n">
        <v>16</v>
      </c>
      <c r="J2084" s="5" t="n">
        <v>13</v>
      </c>
      <c r="K2084" s="10">
        <f>IF(F2084&gt;0,H2084/F2084,"")</f>
        <v/>
      </c>
      <c r="L2084" s="16">
        <f>IF(AND(G2084&gt;0,H2084&gt;0),G2084/H2084,"")</f>
        <v/>
      </c>
    </row>
    <row r="2085">
      <c r="A2085" s="4" t="inlineStr">
        <is>
          <t>350</t>
        </is>
      </c>
      <c r="B2085" s="4" t="n">
        <v>3</v>
      </c>
      <c r="C2085" s="4" t="inlineStr">
        <is>
          <t>whitetail</t>
        </is>
      </c>
      <c r="D2085" s="4" t="n">
        <v>2022</v>
      </c>
      <c r="E2085" s="13" t="inlineStr">
        <is>
          <t>General</t>
        </is>
      </c>
      <c r="F2085" s="5" t="n"/>
      <c r="G2085" s="5" t="n"/>
      <c r="H2085" s="5" t="n">
        <v>55</v>
      </c>
      <c r="I2085" s="5" t="n">
        <v>30</v>
      </c>
      <c r="J2085" s="5" t="n">
        <v>25</v>
      </c>
      <c r="K2085" s="10">
        <f>IF(F2085&gt;0,H2085/F2085,"")</f>
        <v/>
      </c>
      <c r="L2085" s="16">
        <f>IF(AND(G2085&gt;0,H2085&gt;0),G2085/H2085,"")</f>
        <v/>
      </c>
    </row>
    <row r="2086">
      <c r="A2086" s="4" t="inlineStr">
        <is>
          <t>350</t>
        </is>
      </c>
      <c r="B2086" s="4" t="n">
        <v>3</v>
      </c>
      <c r="C2086" s="4" t="inlineStr">
        <is>
          <t>whitetail</t>
        </is>
      </c>
      <c r="D2086" s="4" t="n">
        <v>2023</v>
      </c>
      <c r="E2086" s="13" t="inlineStr">
        <is>
          <t>General</t>
        </is>
      </c>
      <c r="F2086" s="5" t="n">
        <v>717</v>
      </c>
      <c r="G2086" s="5" t="n">
        <v>5179</v>
      </c>
      <c r="H2086" s="5" t="n">
        <v>50</v>
      </c>
      <c r="I2086" s="5" t="n">
        <v>29</v>
      </c>
      <c r="J2086" s="5" t="n">
        <v>21</v>
      </c>
      <c r="K2086" s="10">
        <f>IF(F2086&gt;0,H2086/F2086,"")</f>
        <v/>
      </c>
      <c r="L2086" s="16">
        <f>IF(AND(G2086&gt;0,H2086&gt;0),G2086/H2086,"")</f>
        <v/>
      </c>
    </row>
    <row r="2087">
      <c r="A2087" s="4" t="inlineStr">
        <is>
          <t>350</t>
        </is>
      </c>
      <c r="B2087" s="4" t="n">
        <v>3</v>
      </c>
      <c r="C2087" s="4" t="inlineStr">
        <is>
          <t>whitetail</t>
        </is>
      </c>
      <c r="D2087" s="4" t="n">
        <v>2024</v>
      </c>
      <c r="E2087" s="13" t="inlineStr">
        <is>
          <t>General</t>
        </is>
      </c>
      <c r="F2087" s="5" t="n"/>
      <c r="G2087" s="5" t="n"/>
      <c r="H2087" s="5" t="n">
        <v>74</v>
      </c>
      <c r="I2087" s="5" t="n">
        <v>42</v>
      </c>
      <c r="J2087" s="5" t="n">
        <v>31</v>
      </c>
      <c r="K2087" s="10">
        <f>IF(F2087&gt;0,H2087/F2087,"")</f>
        <v/>
      </c>
      <c r="L2087" s="16">
        <f>IF(AND(G2087&gt;0,H2087&gt;0),G2087/H2087,"")</f>
        <v/>
      </c>
    </row>
    <row r="2088">
      <c r="A2088" s="4" t="inlineStr">
        <is>
          <t>350</t>
        </is>
      </c>
      <c r="B2088" s="4" t="n">
        <v>3</v>
      </c>
      <c r="C2088" s="4" t="inlineStr">
        <is>
          <t>whitetail</t>
        </is>
      </c>
      <c r="D2088" s="4" t="n">
        <v>2025</v>
      </c>
      <c r="E2088" s="13" t="inlineStr">
        <is>
          <t>General</t>
        </is>
      </c>
      <c r="F2088" s="5" t="n">
        <v>768</v>
      </c>
      <c r="G2088" s="5" t="n">
        <v>5373</v>
      </c>
      <c r="H2088" s="5" t="n">
        <v>49</v>
      </c>
      <c r="I2088" s="5" t="n">
        <v>34</v>
      </c>
      <c r="J2088" s="5" t="n">
        <v>15</v>
      </c>
      <c r="K2088" s="10">
        <f>IF(F2088&gt;0,H2088/F2088,"")</f>
        <v/>
      </c>
      <c r="L2088" s="16">
        <f>IF(AND(G2088&gt;0,H2088&gt;0),G2088/H2088,"")</f>
        <v/>
      </c>
    </row>
    <row r="2089">
      <c r="A2089" s="4" t="inlineStr">
        <is>
          <t>360</t>
        </is>
      </c>
      <c r="B2089" s="4" t="n">
        <v>3</v>
      </c>
      <c r="C2089" s="4" t="inlineStr">
        <is>
          <t>whitetail</t>
        </is>
      </c>
      <c r="D2089" s="4" t="n">
        <v>2021</v>
      </c>
      <c r="E2089" s="13" t="inlineStr">
        <is>
          <t>General</t>
        </is>
      </c>
      <c r="F2089" s="5" t="n">
        <v>1139</v>
      </c>
      <c r="G2089" s="5" t="n">
        <v>7573</v>
      </c>
      <c r="H2089" s="5" t="n">
        <v>200</v>
      </c>
      <c r="I2089" s="5" t="n">
        <v>94</v>
      </c>
      <c r="J2089" s="5" t="n">
        <v>105</v>
      </c>
      <c r="K2089" s="10">
        <f>IF(F2089&gt;0,H2089/F2089,"")</f>
        <v/>
      </c>
      <c r="L2089" s="16">
        <f>IF(AND(G2089&gt;0,H2089&gt;0),G2089/H2089,"")</f>
        <v/>
      </c>
    </row>
    <row r="2090">
      <c r="A2090" s="4" t="inlineStr">
        <is>
          <t>360</t>
        </is>
      </c>
      <c r="B2090" s="4" t="n">
        <v>3</v>
      </c>
      <c r="C2090" s="4" t="inlineStr">
        <is>
          <t>whitetail</t>
        </is>
      </c>
      <c r="D2090" s="4" t="n">
        <v>2022</v>
      </c>
      <c r="E2090" s="13" t="inlineStr">
        <is>
          <t>General</t>
        </is>
      </c>
      <c r="F2090" s="5" t="n"/>
      <c r="G2090" s="5" t="n"/>
      <c r="H2090" s="5" t="n">
        <v>264</v>
      </c>
      <c r="I2090" s="5" t="n">
        <v>104</v>
      </c>
      <c r="J2090" s="5" t="n">
        <v>157</v>
      </c>
      <c r="K2090" s="10">
        <f>IF(F2090&gt;0,H2090/F2090,"")</f>
        <v/>
      </c>
      <c r="L2090" s="16">
        <f>IF(AND(G2090&gt;0,H2090&gt;0),G2090/H2090,"")</f>
        <v/>
      </c>
    </row>
    <row r="2091">
      <c r="A2091" s="4" t="inlineStr">
        <is>
          <t>360</t>
        </is>
      </c>
      <c r="B2091" s="4" t="n">
        <v>3</v>
      </c>
      <c r="C2091" s="4" t="inlineStr">
        <is>
          <t>whitetail</t>
        </is>
      </c>
      <c r="D2091" s="4" t="n">
        <v>2023</v>
      </c>
      <c r="E2091" s="13" t="inlineStr">
        <is>
          <t>General</t>
        </is>
      </c>
      <c r="F2091" s="5" t="n">
        <v>1484</v>
      </c>
      <c r="G2091" s="5" t="n">
        <v>10206</v>
      </c>
      <c r="H2091" s="5" t="n">
        <v>201</v>
      </c>
      <c r="I2091" s="5" t="n">
        <v>118</v>
      </c>
      <c r="J2091" s="5" t="n">
        <v>80</v>
      </c>
      <c r="K2091" s="10">
        <f>IF(F2091&gt;0,H2091/F2091,"")</f>
        <v/>
      </c>
      <c r="L2091" s="16">
        <f>IF(AND(G2091&gt;0,H2091&gt;0),G2091/H2091,"")</f>
        <v/>
      </c>
    </row>
    <row r="2092">
      <c r="A2092" s="4" t="inlineStr">
        <is>
          <t>360</t>
        </is>
      </c>
      <c r="B2092" s="4" t="n">
        <v>3</v>
      </c>
      <c r="C2092" s="4" t="inlineStr">
        <is>
          <t>whitetail</t>
        </is>
      </c>
      <c r="D2092" s="4" t="n">
        <v>2024</v>
      </c>
      <c r="E2092" s="13" t="inlineStr">
        <is>
          <t>General</t>
        </is>
      </c>
      <c r="F2092" s="5" t="n"/>
      <c r="G2092" s="5" t="n"/>
      <c r="H2092" s="5" t="n">
        <v>260</v>
      </c>
      <c r="I2092" s="5" t="n">
        <v>138</v>
      </c>
      <c r="J2092" s="5" t="n">
        <v>118</v>
      </c>
      <c r="K2092" s="10">
        <f>IF(F2092&gt;0,H2092/F2092,"")</f>
        <v/>
      </c>
      <c r="L2092" s="16">
        <f>IF(AND(G2092&gt;0,H2092&gt;0),G2092/H2092,"")</f>
        <v/>
      </c>
    </row>
    <row r="2093">
      <c r="A2093" s="4" t="inlineStr">
        <is>
          <t>360</t>
        </is>
      </c>
      <c r="B2093" s="4" t="n">
        <v>3</v>
      </c>
      <c r="C2093" s="4" t="inlineStr">
        <is>
          <t>whitetail</t>
        </is>
      </c>
      <c r="D2093" s="4" t="n">
        <v>2025</v>
      </c>
      <c r="E2093" s="13" t="inlineStr">
        <is>
          <t>General</t>
        </is>
      </c>
      <c r="F2093" s="5" t="n">
        <v>1637</v>
      </c>
      <c r="G2093" s="5" t="n">
        <v>10661</v>
      </c>
      <c r="H2093" s="5" t="n">
        <v>262</v>
      </c>
      <c r="I2093" s="5" t="n">
        <v>127</v>
      </c>
      <c r="J2093" s="5" t="n">
        <v>135</v>
      </c>
      <c r="K2093" s="10">
        <f>IF(F2093&gt;0,H2093/F2093,"")</f>
        <v/>
      </c>
      <c r="L2093" s="16">
        <f>IF(AND(G2093&gt;0,H2093&gt;0),G2093/H2093,"")</f>
        <v/>
      </c>
    </row>
    <row r="2094">
      <c r="A2094" s="4" t="inlineStr">
        <is>
          <t>361</t>
        </is>
      </c>
      <c r="B2094" s="4" t="n">
        <v>3</v>
      </c>
      <c r="C2094" s="4" t="inlineStr">
        <is>
          <t>whitetail</t>
        </is>
      </c>
      <c r="D2094" s="4" t="n">
        <v>2022</v>
      </c>
      <c r="E2094" s="13" t="inlineStr">
        <is>
          <t>General</t>
        </is>
      </c>
      <c r="F2094" s="5" t="n"/>
      <c r="G2094" s="5" t="n"/>
      <c r="H2094" s="5" t="n">
        <v>9</v>
      </c>
      <c r="I2094" s="5" t="n">
        <v>3</v>
      </c>
      <c r="J2094" s="5" t="n">
        <v>6</v>
      </c>
      <c r="K2094" s="10">
        <f>IF(F2094&gt;0,H2094/F2094,"")</f>
        <v/>
      </c>
      <c r="L2094" s="16">
        <f>IF(AND(G2094&gt;0,H2094&gt;0),G2094/H2094,"")</f>
        <v/>
      </c>
    </row>
    <row r="2095">
      <c r="A2095" s="4" t="inlineStr">
        <is>
          <t>361</t>
        </is>
      </c>
      <c r="B2095" s="4" t="n">
        <v>3</v>
      </c>
      <c r="C2095" s="4" t="inlineStr">
        <is>
          <t>whitetail</t>
        </is>
      </c>
      <c r="D2095" s="4" t="n">
        <v>2023</v>
      </c>
      <c r="E2095" s="13" t="inlineStr">
        <is>
          <t>General</t>
        </is>
      </c>
      <c r="F2095" s="5" t="n">
        <v>229</v>
      </c>
      <c r="G2095" s="5" t="n">
        <v>1672</v>
      </c>
      <c r="H2095" s="5" t="n">
        <v>10</v>
      </c>
      <c r="I2095" s="5" t="n">
        <v>3</v>
      </c>
      <c r="J2095" s="5" t="n">
        <v>7</v>
      </c>
      <c r="K2095" s="10">
        <f>IF(F2095&gt;0,H2095/F2095,"")</f>
        <v/>
      </c>
      <c r="L2095" s="16">
        <f>IF(AND(G2095&gt;0,H2095&gt;0),G2095/H2095,"")</f>
        <v/>
      </c>
    </row>
    <row r="2096">
      <c r="A2096" s="4" t="inlineStr">
        <is>
          <t>361</t>
        </is>
      </c>
      <c r="B2096" s="4" t="n">
        <v>3</v>
      </c>
      <c r="C2096" s="4" t="inlineStr">
        <is>
          <t>whitetail</t>
        </is>
      </c>
      <c r="D2096" s="4" t="n">
        <v>2024</v>
      </c>
      <c r="E2096" s="13" t="inlineStr">
        <is>
          <t>General</t>
        </is>
      </c>
      <c r="F2096" s="5" t="n"/>
      <c r="G2096" s="5" t="n"/>
      <c r="H2096" s="5" t="n">
        <v>3</v>
      </c>
      <c r="I2096" s="5" t="n">
        <v>3</v>
      </c>
      <c r="J2096" s="5" t="n">
        <v>0</v>
      </c>
      <c r="K2096" s="10">
        <f>IF(F2096&gt;0,H2096/F2096,"")</f>
        <v/>
      </c>
      <c r="L2096" s="16">
        <f>IF(AND(G2096&gt;0,H2096&gt;0),G2096/H2096,"")</f>
        <v/>
      </c>
    </row>
    <row r="2097">
      <c r="A2097" s="4" t="inlineStr">
        <is>
          <t>361</t>
        </is>
      </c>
      <c r="B2097" s="4" t="n">
        <v>3</v>
      </c>
      <c r="C2097" s="4" t="inlineStr">
        <is>
          <t>whitetail</t>
        </is>
      </c>
      <c r="D2097" s="4" t="n">
        <v>2025</v>
      </c>
      <c r="E2097" s="13" t="inlineStr">
        <is>
          <t>General</t>
        </is>
      </c>
      <c r="F2097" s="5" t="n">
        <v>308</v>
      </c>
      <c r="G2097" s="5" t="n">
        <v>2375</v>
      </c>
      <c r="H2097" s="5" t="n">
        <v>8</v>
      </c>
      <c r="I2097" s="5" t="n">
        <v>4</v>
      </c>
      <c r="J2097" s="5" t="n">
        <v>4</v>
      </c>
      <c r="K2097" s="10">
        <f>IF(F2097&gt;0,H2097/F2097,"")</f>
        <v/>
      </c>
      <c r="L2097" s="16">
        <f>IF(AND(G2097&gt;0,H2097&gt;0),G2097/H2097,"")</f>
        <v/>
      </c>
    </row>
    <row r="2098">
      <c r="A2098" s="4" t="inlineStr">
        <is>
          <t>362</t>
        </is>
      </c>
      <c r="B2098" s="4" t="n">
        <v>3</v>
      </c>
      <c r="C2098" s="4" t="inlineStr">
        <is>
          <t>whitetail</t>
        </is>
      </c>
      <c r="D2098" s="4" t="n">
        <v>2021</v>
      </c>
      <c r="E2098" s="4" t="inlineStr"/>
      <c r="F2098" s="5" t="n">
        <v>305</v>
      </c>
      <c r="G2098" s="5" t="n">
        <v>2102</v>
      </c>
      <c r="H2098" s="5" t="n">
        <v>3</v>
      </c>
      <c r="I2098" s="5" t="n">
        <v>3</v>
      </c>
      <c r="J2098" s="5" t="n">
        <v>0</v>
      </c>
      <c r="K2098" s="10">
        <f>IF(F2098&gt;0,H2098/F2098,"")</f>
        <v/>
      </c>
      <c r="L2098" s="16">
        <f>IF(AND(G2098&gt;0,H2098&gt;0),G2098/H2098,"")</f>
        <v/>
      </c>
    </row>
    <row r="2099">
      <c r="A2099" s="4" t="inlineStr">
        <is>
          <t>370</t>
        </is>
      </c>
      <c r="B2099" s="4" t="n">
        <v>3</v>
      </c>
      <c r="C2099" s="4" t="inlineStr">
        <is>
          <t>whitetail</t>
        </is>
      </c>
      <c r="D2099" s="4" t="n">
        <v>2021</v>
      </c>
      <c r="E2099" s="13" t="inlineStr">
        <is>
          <t>General</t>
        </is>
      </c>
      <c r="F2099" s="5" t="n">
        <v>490</v>
      </c>
      <c r="G2099" s="5" t="n">
        <v>2880</v>
      </c>
      <c r="H2099" s="5" t="n">
        <v>20</v>
      </c>
      <c r="I2099" s="5" t="n">
        <v>15</v>
      </c>
      <c r="J2099" s="5" t="n">
        <v>5</v>
      </c>
      <c r="K2099" s="10">
        <f>IF(F2099&gt;0,H2099/F2099,"")</f>
        <v/>
      </c>
      <c r="L2099" s="16">
        <f>IF(AND(G2099&gt;0,H2099&gt;0),G2099/H2099,"")</f>
        <v/>
      </c>
    </row>
    <row r="2100">
      <c r="A2100" s="4" t="inlineStr">
        <is>
          <t>370</t>
        </is>
      </c>
      <c r="B2100" s="4" t="n">
        <v>3</v>
      </c>
      <c r="C2100" s="4" t="inlineStr">
        <is>
          <t>whitetail</t>
        </is>
      </c>
      <c r="D2100" s="4" t="n">
        <v>2022</v>
      </c>
      <c r="E2100" s="13" t="inlineStr">
        <is>
          <t>General</t>
        </is>
      </c>
      <c r="F2100" s="5" t="n"/>
      <c r="G2100" s="5" t="n"/>
      <c r="H2100" s="5" t="n">
        <v>15</v>
      </c>
      <c r="I2100" s="5" t="n">
        <v>7</v>
      </c>
      <c r="J2100" s="5" t="n">
        <v>8</v>
      </c>
      <c r="K2100" s="10">
        <f>IF(F2100&gt;0,H2100/F2100,"")</f>
        <v/>
      </c>
      <c r="L2100" s="16">
        <f>IF(AND(G2100&gt;0,H2100&gt;0),G2100/H2100,"")</f>
        <v/>
      </c>
    </row>
    <row r="2101">
      <c r="A2101" s="4" t="inlineStr">
        <is>
          <t>370</t>
        </is>
      </c>
      <c r="B2101" s="4" t="n">
        <v>3</v>
      </c>
      <c r="C2101" s="4" t="inlineStr">
        <is>
          <t>whitetail</t>
        </is>
      </c>
      <c r="D2101" s="4" t="n">
        <v>2023</v>
      </c>
      <c r="E2101" s="13" t="inlineStr">
        <is>
          <t>General</t>
        </is>
      </c>
      <c r="F2101" s="5" t="n">
        <v>572</v>
      </c>
      <c r="G2101" s="5" t="n">
        <v>3536</v>
      </c>
      <c r="H2101" s="5" t="n">
        <v>43</v>
      </c>
      <c r="I2101" s="5" t="n">
        <v>32</v>
      </c>
      <c r="J2101" s="5" t="n">
        <v>11</v>
      </c>
      <c r="K2101" s="10">
        <f>IF(F2101&gt;0,H2101/F2101,"")</f>
        <v/>
      </c>
      <c r="L2101" s="16">
        <f>IF(AND(G2101&gt;0,H2101&gt;0),G2101/H2101,"")</f>
        <v/>
      </c>
    </row>
    <row r="2102">
      <c r="A2102" s="4" t="inlineStr">
        <is>
          <t>370</t>
        </is>
      </c>
      <c r="B2102" s="4" t="n">
        <v>3</v>
      </c>
      <c r="C2102" s="4" t="inlineStr">
        <is>
          <t>whitetail</t>
        </is>
      </c>
      <c r="D2102" s="4" t="n">
        <v>2024</v>
      </c>
      <c r="E2102" s="13" t="inlineStr">
        <is>
          <t>General</t>
        </is>
      </c>
      <c r="F2102" s="5" t="n"/>
      <c r="G2102" s="5" t="n"/>
      <c r="H2102" s="5" t="n">
        <v>25</v>
      </c>
      <c r="I2102" s="5" t="n">
        <v>12</v>
      </c>
      <c r="J2102" s="5" t="n">
        <v>13</v>
      </c>
      <c r="K2102" s="10">
        <f>IF(F2102&gt;0,H2102/F2102,"")</f>
        <v/>
      </c>
      <c r="L2102" s="16">
        <f>IF(AND(G2102&gt;0,H2102&gt;0),G2102/H2102,"")</f>
        <v/>
      </c>
    </row>
    <row r="2103">
      <c r="A2103" s="4" t="inlineStr">
        <is>
          <t>370</t>
        </is>
      </c>
      <c r="B2103" s="4" t="n">
        <v>3</v>
      </c>
      <c r="C2103" s="4" t="inlineStr">
        <is>
          <t>whitetail</t>
        </is>
      </c>
      <c r="D2103" s="4" t="n">
        <v>2025</v>
      </c>
      <c r="E2103" s="13" t="inlineStr">
        <is>
          <t>General</t>
        </is>
      </c>
      <c r="F2103" s="5" t="n">
        <v>515</v>
      </c>
      <c r="G2103" s="5" t="n">
        <v>3111</v>
      </c>
      <c r="H2103" s="5" t="n">
        <v>37</v>
      </c>
      <c r="I2103" s="5" t="n">
        <v>24</v>
      </c>
      <c r="J2103" s="5" t="n">
        <v>13</v>
      </c>
      <c r="K2103" s="10">
        <f>IF(F2103&gt;0,H2103/F2103,"")</f>
        <v/>
      </c>
      <c r="L2103" s="16">
        <f>IF(AND(G2103&gt;0,H2103&gt;0),G2103/H2103,"")</f>
        <v/>
      </c>
    </row>
    <row r="2104">
      <c r="A2104" s="4" t="inlineStr">
        <is>
          <t>380</t>
        </is>
      </c>
      <c r="B2104" s="4" t="n">
        <v>3</v>
      </c>
      <c r="C2104" s="4" t="inlineStr">
        <is>
          <t>whitetail</t>
        </is>
      </c>
      <c r="D2104" s="4" t="n">
        <v>2021</v>
      </c>
      <c r="E2104" s="13" t="inlineStr">
        <is>
          <t>General</t>
        </is>
      </c>
      <c r="F2104" s="5" t="n">
        <v>1817</v>
      </c>
      <c r="G2104" s="5" t="n">
        <v>12115</v>
      </c>
      <c r="H2104" s="5" t="n">
        <v>467</v>
      </c>
      <c r="I2104" s="5" t="n">
        <v>236</v>
      </c>
      <c r="J2104" s="5" t="n">
        <v>227</v>
      </c>
      <c r="K2104" s="10">
        <f>IF(F2104&gt;0,H2104/F2104,"")</f>
        <v/>
      </c>
      <c r="L2104" s="16">
        <f>IF(AND(G2104&gt;0,H2104&gt;0),G2104/H2104,"")</f>
        <v/>
      </c>
    </row>
    <row r="2105">
      <c r="A2105" s="4" t="inlineStr">
        <is>
          <t>380</t>
        </is>
      </c>
      <c r="B2105" s="4" t="n">
        <v>3</v>
      </c>
      <c r="C2105" s="4" t="inlineStr">
        <is>
          <t>whitetail</t>
        </is>
      </c>
      <c r="D2105" s="4" t="n">
        <v>2022</v>
      </c>
      <c r="E2105" s="13" t="inlineStr">
        <is>
          <t>General</t>
        </is>
      </c>
      <c r="F2105" s="5" t="n"/>
      <c r="G2105" s="5" t="n"/>
      <c r="H2105" s="5" t="n">
        <v>396</v>
      </c>
      <c r="I2105" s="5" t="n">
        <v>212</v>
      </c>
      <c r="J2105" s="5" t="n">
        <v>181</v>
      </c>
      <c r="K2105" s="10">
        <f>IF(F2105&gt;0,H2105/F2105,"")</f>
        <v/>
      </c>
      <c r="L2105" s="16">
        <f>IF(AND(G2105&gt;0,H2105&gt;0),G2105/H2105,"")</f>
        <v/>
      </c>
    </row>
    <row r="2106">
      <c r="A2106" s="4" t="inlineStr">
        <is>
          <t>380</t>
        </is>
      </c>
      <c r="B2106" s="4" t="n">
        <v>3</v>
      </c>
      <c r="C2106" s="4" t="inlineStr">
        <is>
          <t>whitetail</t>
        </is>
      </c>
      <c r="D2106" s="4" t="n">
        <v>2023</v>
      </c>
      <c r="E2106" s="13" t="inlineStr">
        <is>
          <t>General</t>
        </is>
      </c>
      <c r="F2106" s="5" t="n">
        <v>1770</v>
      </c>
      <c r="G2106" s="5" t="n">
        <v>12249</v>
      </c>
      <c r="H2106" s="5" t="n">
        <v>360</v>
      </c>
      <c r="I2106" s="5" t="n">
        <v>181</v>
      </c>
      <c r="J2106" s="5" t="n">
        <v>179</v>
      </c>
      <c r="K2106" s="10">
        <f>IF(F2106&gt;0,H2106/F2106,"")</f>
        <v/>
      </c>
      <c r="L2106" s="16">
        <f>IF(AND(G2106&gt;0,H2106&gt;0),G2106/H2106,"")</f>
        <v/>
      </c>
    </row>
    <row r="2107">
      <c r="A2107" s="4" t="inlineStr">
        <is>
          <t>380</t>
        </is>
      </c>
      <c r="B2107" s="4" t="n">
        <v>3</v>
      </c>
      <c r="C2107" s="4" t="inlineStr">
        <is>
          <t>whitetail</t>
        </is>
      </c>
      <c r="D2107" s="4" t="n">
        <v>2024</v>
      </c>
      <c r="E2107" s="13" t="inlineStr">
        <is>
          <t>General</t>
        </is>
      </c>
      <c r="F2107" s="5" t="n"/>
      <c r="G2107" s="5" t="n"/>
      <c r="H2107" s="5" t="n">
        <v>443</v>
      </c>
      <c r="I2107" s="5" t="n">
        <v>311</v>
      </c>
      <c r="J2107" s="5" t="n">
        <v>132</v>
      </c>
      <c r="K2107" s="10">
        <f>IF(F2107&gt;0,H2107/F2107,"")</f>
        <v/>
      </c>
      <c r="L2107" s="16">
        <f>IF(AND(G2107&gt;0,H2107&gt;0),G2107/H2107,"")</f>
        <v/>
      </c>
    </row>
    <row r="2108">
      <c r="A2108" s="4" t="inlineStr">
        <is>
          <t>380</t>
        </is>
      </c>
      <c r="B2108" s="4" t="n">
        <v>3</v>
      </c>
      <c r="C2108" s="4" t="inlineStr">
        <is>
          <t>whitetail</t>
        </is>
      </c>
      <c r="D2108" s="4" t="n">
        <v>2025</v>
      </c>
      <c r="E2108" s="13" t="inlineStr">
        <is>
          <t>General</t>
        </is>
      </c>
      <c r="F2108" s="5" t="n">
        <v>1915</v>
      </c>
      <c r="G2108" s="5" t="n">
        <v>12062</v>
      </c>
      <c r="H2108" s="5" t="n">
        <v>366</v>
      </c>
      <c r="I2108" s="5" t="n">
        <v>215</v>
      </c>
      <c r="J2108" s="5" t="n">
        <v>151</v>
      </c>
      <c r="K2108" s="10">
        <f>IF(F2108&gt;0,H2108/F2108,"")</f>
        <v/>
      </c>
      <c r="L2108" s="16">
        <f>IF(AND(G2108&gt;0,H2108&gt;0),G2108/H2108,"")</f>
        <v/>
      </c>
    </row>
    <row r="2109">
      <c r="A2109" s="4" t="inlineStr">
        <is>
          <t>388</t>
        </is>
      </c>
      <c r="B2109" s="4" t="n">
        <v>3</v>
      </c>
      <c r="C2109" s="4" t="inlineStr">
        <is>
          <t>whitetail</t>
        </is>
      </c>
      <c r="D2109" s="4" t="n">
        <v>2021</v>
      </c>
      <c r="E2109" s="13" t="inlineStr">
        <is>
          <t>General</t>
        </is>
      </c>
      <c r="F2109" s="5" t="n">
        <v>431</v>
      </c>
      <c r="G2109" s="5" t="n">
        <v>2635</v>
      </c>
      <c r="H2109" s="5" t="n">
        <v>137</v>
      </c>
      <c r="I2109" s="5" t="n">
        <v>72</v>
      </c>
      <c r="J2109" s="5" t="n">
        <v>66</v>
      </c>
      <c r="K2109" s="10">
        <f>IF(F2109&gt;0,H2109/F2109,"")</f>
        <v/>
      </c>
      <c r="L2109" s="16">
        <f>IF(AND(G2109&gt;0,H2109&gt;0),G2109/H2109,"")</f>
        <v/>
      </c>
    </row>
    <row r="2110">
      <c r="A2110" s="4" t="inlineStr">
        <is>
          <t>388</t>
        </is>
      </c>
      <c r="B2110" s="4" t="n">
        <v>3</v>
      </c>
      <c r="C2110" s="4" t="inlineStr">
        <is>
          <t>whitetail</t>
        </is>
      </c>
      <c r="D2110" s="4" t="n">
        <v>2022</v>
      </c>
      <c r="E2110" s="13" t="inlineStr">
        <is>
          <t>General</t>
        </is>
      </c>
      <c r="F2110" s="5" t="n"/>
      <c r="G2110" s="5" t="n"/>
      <c r="H2110" s="5" t="n">
        <v>161</v>
      </c>
      <c r="I2110" s="5" t="n">
        <v>89</v>
      </c>
      <c r="J2110" s="5" t="n">
        <v>69</v>
      </c>
      <c r="K2110" s="10">
        <f>IF(F2110&gt;0,H2110/F2110,"")</f>
        <v/>
      </c>
      <c r="L2110" s="16">
        <f>IF(AND(G2110&gt;0,H2110&gt;0),G2110/H2110,"")</f>
        <v/>
      </c>
    </row>
    <row r="2111">
      <c r="A2111" s="4" t="inlineStr">
        <is>
          <t>388</t>
        </is>
      </c>
      <c r="B2111" s="4" t="n">
        <v>3</v>
      </c>
      <c r="C2111" s="4" t="inlineStr">
        <is>
          <t>whitetail</t>
        </is>
      </c>
      <c r="D2111" s="4" t="n">
        <v>2023</v>
      </c>
      <c r="E2111" s="13" t="inlineStr">
        <is>
          <t>General</t>
        </is>
      </c>
      <c r="F2111" s="5" t="n">
        <v>562</v>
      </c>
      <c r="G2111" s="5" t="n">
        <v>3479</v>
      </c>
      <c r="H2111" s="5" t="n">
        <v>185</v>
      </c>
      <c r="I2111" s="5" t="n">
        <v>126</v>
      </c>
      <c r="J2111" s="5" t="n">
        <v>59</v>
      </c>
      <c r="K2111" s="10">
        <f>IF(F2111&gt;0,H2111/F2111,"")</f>
        <v/>
      </c>
      <c r="L2111" s="16">
        <f>IF(AND(G2111&gt;0,H2111&gt;0),G2111/H2111,"")</f>
        <v/>
      </c>
    </row>
    <row r="2112">
      <c r="A2112" s="4" t="inlineStr">
        <is>
          <t>388</t>
        </is>
      </c>
      <c r="B2112" s="4" t="n">
        <v>3</v>
      </c>
      <c r="C2112" s="4" t="inlineStr">
        <is>
          <t>whitetail</t>
        </is>
      </c>
      <c r="D2112" s="4" t="n">
        <v>2024</v>
      </c>
      <c r="E2112" s="13" t="inlineStr">
        <is>
          <t>General</t>
        </is>
      </c>
      <c r="F2112" s="5" t="n"/>
      <c r="G2112" s="5" t="n"/>
      <c r="H2112" s="5" t="n">
        <v>175</v>
      </c>
      <c r="I2112" s="5" t="n">
        <v>90</v>
      </c>
      <c r="J2112" s="5" t="n">
        <v>85</v>
      </c>
      <c r="K2112" s="10">
        <f>IF(F2112&gt;0,H2112/F2112,"")</f>
        <v/>
      </c>
      <c r="L2112" s="16">
        <f>IF(AND(G2112&gt;0,H2112&gt;0),G2112/H2112,"")</f>
        <v/>
      </c>
    </row>
    <row r="2113">
      <c r="A2113" s="4" t="inlineStr">
        <is>
          <t>388</t>
        </is>
      </c>
      <c r="B2113" s="4" t="n">
        <v>3</v>
      </c>
      <c r="C2113" s="4" t="inlineStr">
        <is>
          <t>whitetail</t>
        </is>
      </c>
      <c r="D2113" s="4" t="n">
        <v>2025</v>
      </c>
      <c r="E2113" s="13" t="inlineStr">
        <is>
          <t>General</t>
        </is>
      </c>
      <c r="F2113" s="5" t="n">
        <v>518</v>
      </c>
      <c r="G2113" s="5" t="n">
        <v>3176</v>
      </c>
      <c r="H2113" s="5" t="n">
        <v>145</v>
      </c>
      <c r="I2113" s="5" t="n">
        <v>80</v>
      </c>
      <c r="J2113" s="5" t="n">
        <v>65</v>
      </c>
      <c r="K2113" s="10">
        <f>IF(F2113&gt;0,H2113/F2113,"")</f>
        <v/>
      </c>
      <c r="L2113" s="16">
        <f>IF(AND(G2113&gt;0,H2113&gt;0),G2113/H2113,"")</f>
        <v/>
      </c>
    </row>
    <row r="2114">
      <c r="A2114" s="4" t="inlineStr">
        <is>
          <t>390</t>
        </is>
      </c>
      <c r="B2114" s="4" t="n">
        <v>3</v>
      </c>
      <c r="C2114" s="4" t="inlineStr">
        <is>
          <t>whitetail</t>
        </is>
      </c>
      <c r="D2114" s="4" t="n">
        <v>2021</v>
      </c>
      <c r="E2114" s="13" t="inlineStr">
        <is>
          <t>General</t>
        </is>
      </c>
      <c r="F2114" s="5" t="n">
        <v>584</v>
      </c>
      <c r="G2114" s="5" t="n">
        <v>3853</v>
      </c>
      <c r="H2114" s="5" t="n">
        <v>71</v>
      </c>
      <c r="I2114" s="5" t="n">
        <v>63</v>
      </c>
      <c r="J2114" s="5" t="n">
        <v>7</v>
      </c>
      <c r="K2114" s="10">
        <f>IF(F2114&gt;0,H2114/F2114,"")</f>
        <v/>
      </c>
      <c r="L2114" s="16">
        <f>IF(AND(G2114&gt;0,H2114&gt;0),G2114/H2114,"")</f>
        <v/>
      </c>
    </row>
    <row r="2115">
      <c r="A2115" s="4" t="inlineStr">
        <is>
          <t>390</t>
        </is>
      </c>
      <c r="B2115" s="4" t="n">
        <v>3</v>
      </c>
      <c r="C2115" s="4" t="inlineStr">
        <is>
          <t>whitetail</t>
        </is>
      </c>
      <c r="D2115" s="4" t="n">
        <v>2022</v>
      </c>
      <c r="E2115" s="13" t="inlineStr">
        <is>
          <t>General</t>
        </is>
      </c>
      <c r="F2115" s="5" t="n"/>
      <c r="G2115" s="5" t="n"/>
      <c r="H2115" s="5" t="n">
        <v>84</v>
      </c>
      <c r="I2115" s="5" t="n">
        <v>32</v>
      </c>
      <c r="J2115" s="5" t="n">
        <v>52</v>
      </c>
      <c r="K2115" s="10">
        <f>IF(F2115&gt;0,H2115/F2115,"")</f>
        <v/>
      </c>
      <c r="L2115" s="16">
        <f>IF(AND(G2115&gt;0,H2115&gt;0),G2115/H2115,"")</f>
        <v/>
      </c>
    </row>
    <row r="2116">
      <c r="A2116" s="4" t="inlineStr">
        <is>
          <t>390</t>
        </is>
      </c>
      <c r="B2116" s="4" t="n">
        <v>3</v>
      </c>
      <c r="C2116" s="4" t="inlineStr">
        <is>
          <t>whitetail</t>
        </is>
      </c>
      <c r="D2116" s="4" t="n">
        <v>2023</v>
      </c>
      <c r="E2116" s="13" t="inlineStr">
        <is>
          <t>General</t>
        </is>
      </c>
      <c r="F2116" s="5" t="n">
        <v>666</v>
      </c>
      <c r="G2116" s="5" t="n">
        <v>4513</v>
      </c>
      <c r="H2116" s="5" t="n">
        <v>72</v>
      </c>
      <c r="I2116" s="5" t="n">
        <v>46</v>
      </c>
      <c r="J2116" s="5" t="n">
        <v>26</v>
      </c>
      <c r="K2116" s="10">
        <f>IF(F2116&gt;0,H2116/F2116,"")</f>
        <v/>
      </c>
      <c r="L2116" s="16">
        <f>IF(AND(G2116&gt;0,H2116&gt;0),G2116/H2116,"")</f>
        <v/>
      </c>
    </row>
    <row r="2117">
      <c r="A2117" s="4" t="inlineStr">
        <is>
          <t>390</t>
        </is>
      </c>
      <c r="B2117" s="4" t="n">
        <v>3</v>
      </c>
      <c r="C2117" s="4" t="inlineStr">
        <is>
          <t>whitetail</t>
        </is>
      </c>
      <c r="D2117" s="4" t="n">
        <v>2024</v>
      </c>
      <c r="E2117" s="13" t="inlineStr">
        <is>
          <t>General</t>
        </is>
      </c>
      <c r="F2117" s="5" t="n"/>
      <c r="G2117" s="5" t="n"/>
      <c r="H2117" s="5" t="n">
        <v>128</v>
      </c>
      <c r="I2117" s="5" t="n">
        <v>67</v>
      </c>
      <c r="J2117" s="5" t="n">
        <v>61</v>
      </c>
      <c r="K2117" s="10">
        <f>IF(F2117&gt;0,H2117/F2117,"")</f>
        <v/>
      </c>
      <c r="L2117" s="16">
        <f>IF(AND(G2117&gt;0,H2117&gt;0),G2117/H2117,"")</f>
        <v/>
      </c>
    </row>
    <row r="2118">
      <c r="A2118" s="4" t="inlineStr">
        <is>
          <t>390</t>
        </is>
      </c>
      <c r="B2118" s="4" t="n">
        <v>3</v>
      </c>
      <c r="C2118" s="4" t="inlineStr">
        <is>
          <t>whitetail</t>
        </is>
      </c>
      <c r="D2118" s="4" t="n">
        <v>2025</v>
      </c>
      <c r="E2118" s="13" t="inlineStr">
        <is>
          <t>General</t>
        </is>
      </c>
      <c r="F2118" s="5" t="n">
        <v>715</v>
      </c>
      <c r="G2118" s="5" t="n">
        <v>4935</v>
      </c>
      <c r="H2118" s="5" t="n">
        <v>70</v>
      </c>
      <c r="I2118" s="5" t="n">
        <v>34</v>
      </c>
      <c r="J2118" s="5" t="n">
        <v>36</v>
      </c>
      <c r="K2118" s="10">
        <f>IF(F2118&gt;0,H2118/F2118,"")</f>
        <v/>
      </c>
      <c r="L2118" s="16">
        <f>IF(AND(G2118&gt;0,H2118&gt;0),G2118/H2118,"")</f>
        <v/>
      </c>
    </row>
    <row r="2119">
      <c r="A2119" s="4" t="inlineStr">
        <is>
          <t>391</t>
        </is>
      </c>
      <c r="B2119" s="4" t="n">
        <v>3</v>
      </c>
      <c r="C2119" s="4" t="inlineStr">
        <is>
          <t>whitetail</t>
        </is>
      </c>
      <c r="D2119" s="4" t="n">
        <v>2021</v>
      </c>
      <c r="E2119" s="13" t="inlineStr">
        <is>
          <t>General</t>
        </is>
      </c>
      <c r="F2119" s="5" t="n">
        <v>1595</v>
      </c>
      <c r="G2119" s="5" t="n">
        <v>11068</v>
      </c>
      <c r="H2119" s="5" t="n">
        <v>160</v>
      </c>
      <c r="I2119" s="5" t="n">
        <v>104</v>
      </c>
      <c r="J2119" s="5" t="n">
        <v>52</v>
      </c>
      <c r="K2119" s="10">
        <f>IF(F2119&gt;0,H2119/F2119,"")</f>
        <v/>
      </c>
      <c r="L2119" s="16">
        <f>IF(AND(G2119&gt;0,H2119&gt;0),G2119/H2119,"")</f>
        <v/>
      </c>
    </row>
    <row r="2120">
      <c r="A2120" s="4" t="inlineStr">
        <is>
          <t>391</t>
        </is>
      </c>
      <c r="B2120" s="4" t="n">
        <v>3</v>
      </c>
      <c r="C2120" s="4" t="inlineStr">
        <is>
          <t>whitetail</t>
        </is>
      </c>
      <c r="D2120" s="4" t="n">
        <v>2022</v>
      </c>
      <c r="E2120" s="13" t="inlineStr">
        <is>
          <t>General</t>
        </is>
      </c>
      <c r="F2120" s="5" t="n"/>
      <c r="G2120" s="5" t="n"/>
      <c r="H2120" s="5" t="n">
        <v>214</v>
      </c>
      <c r="I2120" s="5" t="n">
        <v>136</v>
      </c>
      <c r="J2120" s="5" t="n">
        <v>71</v>
      </c>
      <c r="K2120" s="10">
        <f>IF(F2120&gt;0,H2120/F2120,"")</f>
        <v/>
      </c>
      <c r="L2120" s="16">
        <f>IF(AND(G2120&gt;0,H2120&gt;0),G2120/H2120,"")</f>
        <v/>
      </c>
    </row>
    <row r="2121">
      <c r="A2121" s="4" t="inlineStr">
        <is>
          <t>391</t>
        </is>
      </c>
      <c r="B2121" s="4" t="n">
        <v>3</v>
      </c>
      <c r="C2121" s="4" t="inlineStr">
        <is>
          <t>whitetail</t>
        </is>
      </c>
      <c r="D2121" s="4" t="n">
        <v>2023</v>
      </c>
      <c r="E2121" s="13" t="inlineStr">
        <is>
          <t>General</t>
        </is>
      </c>
      <c r="F2121" s="5" t="n">
        <v>1809</v>
      </c>
      <c r="G2121" s="5" t="n">
        <v>12961</v>
      </c>
      <c r="H2121" s="5" t="n">
        <v>220</v>
      </c>
      <c r="I2121" s="5" t="n">
        <v>127</v>
      </c>
      <c r="J2121" s="5" t="n">
        <v>93</v>
      </c>
      <c r="K2121" s="10">
        <f>IF(F2121&gt;0,H2121/F2121,"")</f>
        <v/>
      </c>
      <c r="L2121" s="16">
        <f>IF(AND(G2121&gt;0,H2121&gt;0),G2121/H2121,"")</f>
        <v/>
      </c>
    </row>
    <row r="2122">
      <c r="A2122" s="4" t="inlineStr">
        <is>
          <t>391</t>
        </is>
      </c>
      <c r="B2122" s="4" t="n">
        <v>3</v>
      </c>
      <c r="C2122" s="4" t="inlineStr">
        <is>
          <t>whitetail</t>
        </is>
      </c>
      <c r="D2122" s="4" t="n">
        <v>2024</v>
      </c>
      <c r="E2122" s="13" t="inlineStr">
        <is>
          <t>General</t>
        </is>
      </c>
      <c r="F2122" s="5" t="n"/>
      <c r="G2122" s="5" t="n"/>
      <c r="H2122" s="5" t="n">
        <v>238</v>
      </c>
      <c r="I2122" s="5" t="n">
        <v>147</v>
      </c>
      <c r="J2122" s="5" t="n">
        <v>91</v>
      </c>
      <c r="K2122" s="10">
        <f>IF(F2122&gt;0,H2122/F2122,"")</f>
        <v/>
      </c>
      <c r="L2122" s="16">
        <f>IF(AND(G2122&gt;0,H2122&gt;0),G2122/H2122,"")</f>
        <v/>
      </c>
    </row>
    <row r="2123">
      <c r="A2123" s="4" t="inlineStr">
        <is>
          <t>391</t>
        </is>
      </c>
      <c r="B2123" s="4" t="n">
        <v>3</v>
      </c>
      <c r="C2123" s="4" t="inlineStr">
        <is>
          <t>whitetail</t>
        </is>
      </c>
      <c r="D2123" s="4" t="n">
        <v>2025</v>
      </c>
      <c r="E2123" s="13" t="inlineStr">
        <is>
          <t>General</t>
        </is>
      </c>
      <c r="F2123" s="5" t="n">
        <v>1880</v>
      </c>
      <c r="G2123" s="5" t="n">
        <v>13605</v>
      </c>
      <c r="H2123" s="5" t="n">
        <v>229</v>
      </c>
      <c r="I2123" s="5" t="n">
        <v>137</v>
      </c>
      <c r="J2123" s="5" t="n">
        <v>92</v>
      </c>
      <c r="K2123" s="10">
        <f>IF(F2123&gt;0,H2123/F2123,"")</f>
        <v/>
      </c>
      <c r="L2123" s="16">
        <f>IF(AND(G2123&gt;0,H2123&gt;0),G2123/H2123,"")</f>
        <v/>
      </c>
    </row>
    <row r="2124">
      <c r="A2124" s="4" t="inlineStr">
        <is>
          <t>392</t>
        </is>
      </c>
      <c r="B2124" s="4" t="n">
        <v>3</v>
      </c>
      <c r="C2124" s="4" t="inlineStr">
        <is>
          <t>whitetail</t>
        </is>
      </c>
      <c r="D2124" s="4" t="n">
        <v>2021</v>
      </c>
      <c r="E2124" s="13" t="inlineStr">
        <is>
          <t>General</t>
        </is>
      </c>
      <c r="F2124" s="5" t="n">
        <v>518</v>
      </c>
      <c r="G2124" s="5" t="n">
        <v>3500</v>
      </c>
      <c r="H2124" s="5" t="n">
        <v>38</v>
      </c>
      <c r="I2124" s="5" t="n">
        <v>19</v>
      </c>
      <c r="J2124" s="5" t="n">
        <v>15</v>
      </c>
      <c r="K2124" s="10">
        <f>IF(F2124&gt;0,H2124/F2124,"")</f>
        <v/>
      </c>
      <c r="L2124" s="16">
        <f>IF(AND(G2124&gt;0,H2124&gt;0),G2124/H2124,"")</f>
        <v/>
      </c>
    </row>
    <row r="2125">
      <c r="A2125" s="4" t="inlineStr">
        <is>
          <t>392</t>
        </is>
      </c>
      <c r="B2125" s="4" t="n">
        <v>3</v>
      </c>
      <c r="C2125" s="4" t="inlineStr">
        <is>
          <t>whitetail</t>
        </is>
      </c>
      <c r="D2125" s="4" t="n">
        <v>2022</v>
      </c>
      <c r="E2125" s="13" t="inlineStr">
        <is>
          <t>General</t>
        </is>
      </c>
      <c r="F2125" s="5" t="n"/>
      <c r="G2125" s="5" t="n"/>
      <c r="H2125" s="5" t="n">
        <v>50</v>
      </c>
      <c r="I2125" s="5" t="n">
        <v>15</v>
      </c>
      <c r="J2125" s="5" t="n">
        <v>35</v>
      </c>
      <c r="K2125" s="10">
        <f>IF(F2125&gt;0,H2125/F2125,"")</f>
        <v/>
      </c>
      <c r="L2125" s="16">
        <f>IF(AND(G2125&gt;0,H2125&gt;0),G2125/H2125,"")</f>
        <v/>
      </c>
    </row>
    <row r="2126">
      <c r="A2126" s="4" t="inlineStr">
        <is>
          <t>392</t>
        </is>
      </c>
      <c r="B2126" s="4" t="n">
        <v>3</v>
      </c>
      <c r="C2126" s="4" t="inlineStr">
        <is>
          <t>whitetail</t>
        </is>
      </c>
      <c r="D2126" s="4" t="n">
        <v>2023</v>
      </c>
      <c r="E2126" s="13" t="inlineStr">
        <is>
          <t>General</t>
        </is>
      </c>
      <c r="F2126" s="5" t="n">
        <v>649</v>
      </c>
      <c r="G2126" s="5" t="n">
        <v>4216</v>
      </c>
      <c r="H2126" s="5" t="n">
        <v>40</v>
      </c>
      <c r="I2126" s="5" t="n">
        <v>23</v>
      </c>
      <c r="J2126" s="5" t="n">
        <v>17</v>
      </c>
      <c r="K2126" s="10">
        <f>IF(F2126&gt;0,H2126/F2126,"")</f>
        <v/>
      </c>
      <c r="L2126" s="16">
        <f>IF(AND(G2126&gt;0,H2126&gt;0),G2126/H2126,"")</f>
        <v/>
      </c>
    </row>
    <row r="2127">
      <c r="A2127" s="4" t="inlineStr">
        <is>
          <t>392</t>
        </is>
      </c>
      <c r="B2127" s="4" t="n">
        <v>3</v>
      </c>
      <c r="C2127" s="4" t="inlineStr">
        <is>
          <t>whitetail</t>
        </is>
      </c>
      <c r="D2127" s="4" t="n">
        <v>2024</v>
      </c>
      <c r="E2127" s="13" t="inlineStr">
        <is>
          <t>General</t>
        </is>
      </c>
      <c r="F2127" s="5" t="n"/>
      <c r="G2127" s="5" t="n"/>
      <c r="H2127" s="5" t="n">
        <v>11</v>
      </c>
      <c r="I2127" s="5" t="n">
        <v>3</v>
      </c>
      <c r="J2127" s="5" t="n">
        <v>8</v>
      </c>
      <c r="K2127" s="10">
        <f>IF(F2127&gt;0,H2127/F2127,"")</f>
        <v/>
      </c>
      <c r="L2127" s="16">
        <f>IF(AND(G2127&gt;0,H2127&gt;0),G2127/H2127,"")</f>
        <v/>
      </c>
    </row>
    <row r="2128">
      <c r="A2128" s="4" t="inlineStr">
        <is>
          <t>392</t>
        </is>
      </c>
      <c r="B2128" s="4" t="n">
        <v>3</v>
      </c>
      <c r="C2128" s="4" t="inlineStr">
        <is>
          <t>whitetail</t>
        </is>
      </c>
      <c r="D2128" s="4" t="n">
        <v>2025</v>
      </c>
      <c r="E2128" s="13" t="inlineStr">
        <is>
          <t>General</t>
        </is>
      </c>
      <c r="F2128" s="5" t="n">
        <v>691</v>
      </c>
      <c r="G2128" s="5" t="n">
        <v>5085</v>
      </c>
      <c r="H2128" s="5" t="n">
        <v>14</v>
      </c>
      <c r="I2128" s="5" t="n">
        <v>7</v>
      </c>
      <c r="J2128" s="5" t="n">
        <v>7</v>
      </c>
      <c r="K2128" s="10">
        <f>IF(F2128&gt;0,H2128/F2128,"")</f>
        <v/>
      </c>
      <c r="L2128" s="16">
        <f>IF(AND(G2128&gt;0,H2128&gt;0),G2128/H2128,"")</f>
        <v/>
      </c>
    </row>
    <row r="2129">
      <c r="A2129" s="4" t="inlineStr">
        <is>
          <t>393</t>
        </is>
      </c>
      <c r="B2129" s="4" t="n">
        <v>3</v>
      </c>
      <c r="C2129" s="4" t="inlineStr">
        <is>
          <t>whitetail</t>
        </is>
      </c>
      <c r="D2129" s="4" t="n">
        <v>2021</v>
      </c>
      <c r="E2129" s="13" t="inlineStr">
        <is>
          <t>General</t>
        </is>
      </c>
      <c r="F2129" s="5" t="n">
        <v>1405</v>
      </c>
      <c r="G2129" s="5" t="n">
        <v>9290</v>
      </c>
      <c r="H2129" s="5" t="n">
        <v>218</v>
      </c>
      <c r="I2129" s="5" t="n">
        <v>126</v>
      </c>
      <c r="J2129" s="5" t="n">
        <v>92</v>
      </c>
      <c r="K2129" s="10">
        <f>IF(F2129&gt;0,H2129/F2129,"")</f>
        <v/>
      </c>
      <c r="L2129" s="16">
        <f>IF(AND(G2129&gt;0,H2129&gt;0),G2129/H2129,"")</f>
        <v/>
      </c>
    </row>
    <row r="2130">
      <c r="A2130" s="4" t="inlineStr">
        <is>
          <t>393</t>
        </is>
      </c>
      <c r="B2130" s="4" t="n">
        <v>3</v>
      </c>
      <c r="C2130" s="4" t="inlineStr">
        <is>
          <t>whitetail</t>
        </is>
      </c>
      <c r="D2130" s="4" t="n">
        <v>2022</v>
      </c>
      <c r="E2130" s="13" t="inlineStr">
        <is>
          <t>General</t>
        </is>
      </c>
      <c r="F2130" s="5" t="n"/>
      <c r="G2130" s="5" t="n"/>
      <c r="H2130" s="5" t="n">
        <v>246</v>
      </c>
      <c r="I2130" s="5" t="n">
        <v>141</v>
      </c>
      <c r="J2130" s="5" t="n">
        <v>102</v>
      </c>
      <c r="K2130" s="10">
        <f>IF(F2130&gt;0,H2130/F2130,"")</f>
        <v/>
      </c>
      <c r="L2130" s="16">
        <f>IF(AND(G2130&gt;0,H2130&gt;0),G2130/H2130,"")</f>
        <v/>
      </c>
    </row>
    <row r="2131">
      <c r="A2131" s="4" t="inlineStr">
        <is>
          <t>393</t>
        </is>
      </c>
      <c r="B2131" s="4" t="n">
        <v>3</v>
      </c>
      <c r="C2131" s="4" t="inlineStr">
        <is>
          <t>whitetail</t>
        </is>
      </c>
      <c r="D2131" s="4" t="n">
        <v>2023</v>
      </c>
      <c r="E2131" s="13" t="inlineStr">
        <is>
          <t>General</t>
        </is>
      </c>
      <c r="F2131" s="5" t="n">
        <v>1548</v>
      </c>
      <c r="G2131" s="5" t="n">
        <v>9702</v>
      </c>
      <c r="H2131" s="5" t="n">
        <v>233</v>
      </c>
      <c r="I2131" s="5" t="n">
        <v>125</v>
      </c>
      <c r="J2131" s="5" t="n">
        <v>108</v>
      </c>
      <c r="K2131" s="10">
        <f>IF(F2131&gt;0,H2131/F2131,"")</f>
        <v/>
      </c>
      <c r="L2131" s="16">
        <f>IF(AND(G2131&gt;0,H2131&gt;0),G2131/H2131,"")</f>
        <v/>
      </c>
    </row>
    <row r="2132">
      <c r="A2132" s="4" t="inlineStr">
        <is>
          <t>393</t>
        </is>
      </c>
      <c r="B2132" s="4" t="n">
        <v>3</v>
      </c>
      <c r="C2132" s="4" t="inlineStr">
        <is>
          <t>whitetail</t>
        </is>
      </c>
      <c r="D2132" s="4" t="n">
        <v>2024</v>
      </c>
      <c r="E2132" s="13" t="inlineStr">
        <is>
          <t>General</t>
        </is>
      </c>
      <c r="F2132" s="5" t="n"/>
      <c r="G2132" s="5" t="n"/>
      <c r="H2132" s="5" t="n">
        <v>251</v>
      </c>
      <c r="I2132" s="5" t="n">
        <v>178</v>
      </c>
      <c r="J2132" s="5" t="n">
        <v>70</v>
      </c>
      <c r="K2132" s="10">
        <f>IF(F2132&gt;0,H2132/F2132,"")</f>
        <v/>
      </c>
      <c r="L2132" s="16">
        <f>IF(AND(G2132&gt;0,H2132&gt;0),G2132/H2132,"")</f>
        <v/>
      </c>
    </row>
    <row r="2133">
      <c r="A2133" s="4" t="inlineStr">
        <is>
          <t>393</t>
        </is>
      </c>
      <c r="B2133" s="4" t="n">
        <v>3</v>
      </c>
      <c r="C2133" s="4" t="inlineStr">
        <is>
          <t>whitetail</t>
        </is>
      </c>
      <c r="D2133" s="4" t="n">
        <v>2025</v>
      </c>
      <c r="E2133" s="13" t="inlineStr">
        <is>
          <t>General</t>
        </is>
      </c>
      <c r="F2133" s="5" t="n">
        <v>1671</v>
      </c>
      <c r="G2133" s="5" t="n">
        <v>9555</v>
      </c>
      <c r="H2133" s="5" t="n">
        <v>244</v>
      </c>
      <c r="I2133" s="5" t="n">
        <v>139</v>
      </c>
      <c r="J2133" s="5" t="n">
        <v>106</v>
      </c>
      <c r="K2133" s="10">
        <f>IF(F2133&gt;0,H2133/F2133,"")</f>
        <v/>
      </c>
      <c r="L2133" s="16">
        <f>IF(AND(G2133&gt;0,H2133&gt;0),G2133/H2133,"")</f>
        <v/>
      </c>
    </row>
    <row r="2134">
      <c r="A2134" s="4" t="inlineStr">
        <is>
          <t>400</t>
        </is>
      </c>
      <c r="B2134" s="4" t="n">
        <v>4</v>
      </c>
      <c r="C2134" s="4" t="inlineStr">
        <is>
          <t>whitetail</t>
        </is>
      </c>
      <c r="D2134" s="4" t="n">
        <v>2021</v>
      </c>
      <c r="E2134" s="13" t="inlineStr">
        <is>
          <t>General</t>
        </is>
      </c>
      <c r="F2134" s="5" t="n">
        <v>1769</v>
      </c>
      <c r="G2134" s="5" t="n">
        <v>8700</v>
      </c>
      <c r="H2134" s="5" t="n">
        <v>408</v>
      </c>
      <c r="I2134" s="5" t="n">
        <v>233</v>
      </c>
      <c r="J2134" s="5" t="n">
        <v>172</v>
      </c>
      <c r="K2134" s="10">
        <f>IF(F2134&gt;0,H2134/F2134,"")</f>
        <v/>
      </c>
      <c r="L2134" s="16">
        <f>IF(AND(G2134&gt;0,H2134&gt;0),G2134/H2134,"")</f>
        <v/>
      </c>
    </row>
    <row r="2135">
      <c r="A2135" s="4" t="inlineStr">
        <is>
          <t>400</t>
        </is>
      </c>
      <c r="B2135" s="4" t="n">
        <v>4</v>
      </c>
      <c r="C2135" s="4" t="inlineStr">
        <is>
          <t>whitetail</t>
        </is>
      </c>
      <c r="D2135" s="4" t="n">
        <v>2022</v>
      </c>
      <c r="E2135" s="13" t="inlineStr">
        <is>
          <t>General</t>
        </is>
      </c>
      <c r="F2135" s="5" t="n"/>
      <c r="G2135" s="5" t="n"/>
      <c r="H2135" s="5" t="n">
        <v>392</v>
      </c>
      <c r="I2135" s="5" t="n">
        <v>208</v>
      </c>
      <c r="J2135" s="5" t="n">
        <v>184</v>
      </c>
      <c r="K2135" s="10">
        <f>IF(F2135&gt;0,H2135/F2135,"")</f>
        <v/>
      </c>
      <c r="L2135" s="16">
        <f>IF(AND(G2135&gt;0,H2135&gt;0),G2135/H2135,"")</f>
        <v/>
      </c>
    </row>
    <row r="2136">
      <c r="A2136" s="4" t="inlineStr">
        <is>
          <t>400</t>
        </is>
      </c>
      <c r="B2136" s="4" t="n">
        <v>4</v>
      </c>
      <c r="C2136" s="4" t="inlineStr">
        <is>
          <t>whitetail</t>
        </is>
      </c>
      <c r="D2136" s="4" t="n">
        <v>2023</v>
      </c>
      <c r="E2136" s="13" t="inlineStr">
        <is>
          <t>General</t>
        </is>
      </c>
      <c r="F2136" s="5" t="n">
        <v>1918</v>
      </c>
      <c r="G2136" s="5" t="n">
        <v>10431</v>
      </c>
      <c r="H2136" s="5" t="n">
        <v>465</v>
      </c>
      <c r="I2136" s="5" t="n">
        <v>270</v>
      </c>
      <c r="J2136" s="5" t="n">
        <v>195</v>
      </c>
      <c r="K2136" s="10">
        <f>IF(F2136&gt;0,H2136/F2136,"")</f>
        <v/>
      </c>
      <c r="L2136" s="16">
        <f>IF(AND(G2136&gt;0,H2136&gt;0),G2136/H2136,"")</f>
        <v/>
      </c>
    </row>
    <row r="2137">
      <c r="A2137" s="4" t="inlineStr">
        <is>
          <t>400</t>
        </is>
      </c>
      <c r="B2137" s="4" t="n">
        <v>4</v>
      </c>
      <c r="C2137" s="4" t="inlineStr">
        <is>
          <t>whitetail</t>
        </is>
      </c>
      <c r="D2137" s="4" t="n">
        <v>2024</v>
      </c>
      <c r="E2137" s="13" t="inlineStr">
        <is>
          <t>General</t>
        </is>
      </c>
      <c r="F2137" s="5" t="n"/>
      <c r="G2137" s="5" t="n"/>
      <c r="H2137" s="5" t="n">
        <v>435</v>
      </c>
      <c r="I2137" s="5" t="n">
        <v>221</v>
      </c>
      <c r="J2137" s="5" t="n">
        <v>208</v>
      </c>
      <c r="K2137" s="10">
        <f>IF(F2137&gt;0,H2137/F2137,"")</f>
        <v/>
      </c>
      <c r="L2137" s="16">
        <f>IF(AND(G2137&gt;0,H2137&gt;0),G2137/H2137,"")</f>
        <v/>
      </c>
    </row>
    <row r="2138">
      <c r="A2138" s="4" t="inlineStr">
        <is>
          <t>400</t>
        </is>
      </c>
      <c r="B2138" s="4" t="n">
        <v>4</v>
      </c>
      <c r="C2138" s="4" t="inlineStr">
        <is>
          <t>whitetail</t>
        </is>
      </c>
      <c r="D2138" s="4" t="n">
        <v>2025</v>
      </c>
      <c r="E2138" s="13" t="inlineStr">
        <is>
          <t>General</t>
        </is>
      </c>
      <c r="F2138" s="5" t="n">
        <v>2000</v>
      </c>
      <c r="G2138" s="5" t="n">
        <v>12562</v>
      </c>
      <c r="H2138" s="5" t="n">
        <v>366</v>
      </c>
      <c r="I2138" s="5" t="n">
        <v>203</v>
      </c>
      <c r="J2138" s="5" t="n">
        <v>162</v>
      </c>
      <c r="K2138" s="10">
        <f>IF(F2138&gt;0,H2138/F2138,"")</f>
        <v/>
      </c>
      <c r="L2138" s="16">
        <f>IF(AND(G2138&gt;0,H2138&gt;0),G2138/H2138,"")</f>
        <v/>
      </c>
    </row>
    <row r="2139">
      <c r="A2139" s="4" t="inlineStr">
        <is>
          <t>401</t>
        </is>
      </c>
      <c r="B2139" s="4" t="n">
        <v>4</v>
      </c>
      <c r="C2139" s="4" t="inlineStr">
        <is>
          <t>whitetail</t>
        </is>
      </c>
      <c r="D2139" s="4" t="n">
        <v>2021</v>
      </c>
      <c r="E2139" s="13" t="inlineStr">
        <is>
          <t>General</t>
        </is>
      </c>
      <c r="F2139" s="5" t="n">
        <v>1330</v>
      </c>
      <c r="G2139" s="5" t="n">
        <v>6942</v>
      </c>
      <c r="H2139" s="5" t="n">
        <v>337</v>
      </c>
      <c r="I2139" s="5" t="n">
        <v>190</v>
      </c>
      <c r="J2139" s="5" t="n">
        <v>147</v>
      </c>
      <c r="K2139" s="10">
        <f>IF(F2139&gt;0,H2139/F2139,"")</f>
        <v/>
      </c>
      <c r="L2139" s="16">
        <f>IF(AND(G2139&gt;0,H2139&gt;0),G2139/H2139,"")</f>
        <v/>
      </c>
    </row>
    <row r="2140">
      <c r="A2140" s="4" t="inlineStr">
        <is>
          <t>401</t>
        </is>
      </c>
      <c r="B2140" s="4" t="n">
        <v>4</v>
      </c>
      <c r="C2140" s="4" t="inlineStr">
        <is>
          <t>whitetail</t>
        </is>
      </c>
      <c r="D2140" s="4" t="n">
        <v>2022</v>
      </c>
      <c r="E2140" s="13" t="inlineStr">
        <is>
          <t>General</t>
        </is>
      </c>
      <c r="F2140" s="5" t="n"/>
      <c r="G2140" s="5" t="n"/>
      <c r="H2140" s="5" t="n">
        <v>406</v>
      </c>
      <c r="I2140" s="5" t="n">
        <v>266</v>
      </c>
      <c r="J2140" s="5" t="n">
        <v>136</v>
      </c>
      <c r="K2140" s="10">
        <f>IF(F2140&gt;0,H2140/F2140,"")</f>
        <v/>
      </c>
      <c r="L2140" s="16">
        <f>IF(AND(G2140&gt;0,H2140&gt;0),G2140/H2140,"")</f>
        <v/>
      </c>
    </row>
    <row r="2141">
      <c r="A2141" s="4" t="inlineStr">
        <is>
          <t>401</t>
        </is>
      </c>
      <c r="B2141" s="4" t="n">
        <v>4</v>
      </c>
      <c r="C2141" s="4" t="inlineStr">
        <is>
          <t>whitetail</t>
        </is>
      </c>
      <c r="D2141" s="4" t="n">
        <v>2023</v>
      </c>
      <c r="E2141" s="13" t="inlineStr">
        <is>
          <t>General</t>
        </is>
      </c>
      <c r="F2141" s="5" t="n">
        <v>1392</v>
      </c>
      <c r="G2141" s="5" t="n">
        <v>7224</v>
      </c>
      <c r="H2141" s="5" t="n">
        <v>320</v>
      </c>
      <c r="I2141" s="5" t="n">
        <v>186</v>
      </c>
      <c r="J2141" s="5" t="n">
        <v>131</v>
      </c>
      <c r="K2141" s="10">
        <f>IF(F2141&gt;0,H2141/F2141,"")</f>
        <v/>
      </c>
      <c r="L2141" s="16">
        <f>IF(AND(G2141&gt;0,H2141&gt;0),G2141/H2141,"")</f>
        <v/>
      </c>
    </row>
    <row r="2142">
      <c r="A2142" s="4" t="inlineStr">
        <is>
          <t>401</t>
        </is>
      </c>
      <c r="B2142" s="4" t="n">
        <v>4</v>
      </c>
      <c r="C2142" s="4" t="inlineStr">
        <is>
          <t>whitetail</t>
        </is>
      </c>
      <c r="D2142" s="4" t="n">
        <v>2024</v>
      </c>
      <c r="E2142" s="13" t="inlineStr">
        <is>
          <t>General</t>
        </is>
      </c>
      <c r="F2142" s="5" t="n"/>
      <c r="G2142" s="5" t="n"/>
      <c r="H2142" s="5" t="n">
        <v>272</v>
      </c>
      <c r="I2142" s="5" t="n">
        <v>154</v>
      </c>
      <c r="J2142" s="5" t="n">
        <v>119</v>
      </c>
      <c r="K2142" s="10">
        <f>IF(F2142&gt;0,H2142/F2142,"")</f>
        <v/>
      </c>
      <c r="L2142" s="16">
        <f>IF(AND(G2142&gt;0,H2142&gt;0),G2142/H2142,"")</f>
        <v/>
      </c>
    </row>
    <row r="2143">
      <c r="A2143" s="4" t="inlineStr">
        <is>
          <t>401</t>
        </is>
      </c>
      <c r="B2143" s="4" t="n">
        <v>4</v>
      </c>
      <c r="C2143" s="4" t="inlineStr">
        <is>
          <t>whitetail</t>
        </is>
      </c>
      <c r="D2143" s="4" t="n">
        <v>2025</v>
      </c>
      <c r="E2143" s="13" t="inlineStr">
        <is>
          <t>General</t>
        </is>
      </c>
      <c r="F2143" s="5" t="n">
        <v>1204</v>
      </c>
      <c r="G2143" s="5" t="n">
        <v>6225</v>
      </c>
      <c r="H2143" s="5" t="n">
        <v>291</v>
      </c>
      <c r="I2143" s="5" t="n">
        <v>165</v>
      </c>
      <c r="J2143" s="5" t="n">
        <v>126</v>
      </c>
      <c r="K2143" s="10">
        <f>IF(F2143&gt;0,H2143/F2143,"")</f>
        <v/>
      </c>
      <c r="L2143" s="16">
        <f>IF(AND(G2143&gt;0,H2143&gt;0),G2143/H2143,"")</f>
        <v/>
      </c>
    </row>
    <row r="2144">
      <c r="A2144" s="4" t="inlineStr">
        <is>
          <t>403</t>
        </is>
      </c>
      <c r="B2144" s="4" t="n">
        <v>4</v>
      </c>
      <c r="C2144" s="4" t="inlineStr">
        <is>
          <t>whitetail</t>
        </is>
      </c>
      <c r="D2144" s="4" t="n">
        <v>2021</v>
      </c>
      <c r="E2144" s="13" t="inlineStr">
        <is>
          <t>General</t>
        </is>
      </c>
      <c r="F2144" s="5" t="n">
        <v>416</v>
      </c>
      <c r="G2144" s="5" t="n">
        <v>2110</v>
      </c>
      <c r="H2144" s="5" t="n">
        <v>55</v>
      </c>
      <c r="I2144" s="5" t="n">
        <v>43</v>
      </c>
      <c r="J2144" s="5" t="n">
        <v>11</v>
      </c>
      <c r="K2144" s="10">
        <f>IF(F2144&gt;0,H2144/F2144,"")</f>
        <v/>
      </c>
      <c r="L2144" s="16">
        <f>IF(AND(G2144&gt;0,H2144&gt;0),G2144/H2144,"")</f>
        <v/>
      </c>
    </row>
    <row r="2145">
      <c r="A2145" s="4" t="inlineStr">
        <is>
          <t>403</t>
        </is>
      </c>
      <c r="B2145" s="4" t="n">
        <v>4</v>
      </c>
      <c r="C2145" s="4" t="inlineStr">
        <is>
          <t>whitetail</t>
        </is>
      </c>
      <c r="D2145" s="4" t="n">
        <v>2022</v>
      </c>
      <c r="E2145" s="13" t="inlineStr">
        <is>
          <t>General</t>
        </is>
      </c>
      <c r="F2145" s="5" t="n"/>
      <c r="G2145" s="5" t="n"/>
      <c r="H2145" s="5" t="n">
        <v>68</v>
      </c>
      <c r="I2145" s="5" t="n">
        <v>44</v>
      </c>
      <c r="J2145" s="5" t="n">
        <v>25</v>
      </c>
      <c r="K2145" s="10">
        <f>IF(F2145&gt;0,H2145/F2145,"")</f>
        <v/>
      </c>
      <c r="L2145" s="16">
        <f>IF(AND(G2145&gt;0,H2145&gt;0),G2145/H2145,"")</f>
        <v/>
      </c>
    </row>
    <row r="2146">
      <c r="A2146" s="4" t="inlineStr">
        <is>
          <t>403</t>
        </is>
      </c>
      <c r="B2146" s="4" t="n">
        <v>4</v>
      </c>
      <c r="C2146" s="4" t="inlineStr">
        <is>
          <t>whitetail</t>
        </is>
      </c>
      <c r="D2146" s="4" t="n">
        <v>2023</v>
      </c>
      <c r="E2146" s="13" t="inlineStr">
        <is>
          <t>General</t>
        </is>
      </c>
      <c r="F2146" s="5" t="n">
        <v>461</v>
      </c>
      <c r="G2146" s="5" t="n">
        <v>2284</v>
      </c>
      <c r="H2146" s="5" t="n">
        <v>64</v>
      </c>
      <c r="I2146" s="5" t="n">
        <v>38</v>
      </c>
      <c r="J2146" s="5" t="n">
        <v>26</v>
      </c>
      <c r="K2146" s="10">
        <f>IF(F2146&gt;0,H2146/F2146,"")</f>
        <v/>
      </c>
      <c r="L2146" s="16">
        <f>IF(AND(G2146&gt;0,H2146&gt;0),G2146/H2146,"")</f>
        <v/>
      </c>
    </row>
    <row r="2147">
      <c r="A2147" s="4" t="inlineStr">
        <is>
          <t>403</t>
        </is>
      </c>
      <c r="B2147" s="4" t="n">
        <v>4</v>
      </c>
      <c r="C2147" s="4" t="inlineStr">
        <is>
          <t>whitetail</t>
        </is>
      </c>
      <c r="D2147" s="4" t="n">
        <v>2024</v>
      </c>
      <c r="E2147" s="13" t="inlineStr">
        <is>
          <t>General</t>
        </is>
      </c>
      <c r="F2147" s="5" t="n"/>
      <c r="G2147" s="5" t="n"/>
      <c r="H2147" s="5" t="n">
        <v>99</v>
      </c>
      <c r="I2147" s="5" t="n">
        <v>62</v>
      </c>
      <c r="J2147" s="5" t="n">
        <v>37</v>
      </c>
      <c r="K2147" s="10">
        <f>IF(F2147&gt;0,H2147/F2147,"")</f>
        <v/>
      </c>
      <c r="L2147" s="16">
        <f>IF(AND(G2147&gt;0,H2147&gt;0),G2147/H2147,"")</f>
        <v/>
      </c>
    </row>
    <row r="2148">
      <c r="A2148" s="4" t="inlineStr">
        <is>
          <t>403</t>
        </is>
      </c>
      <c r="B2148" s="4" t="n">
        <v>4</v>
      </c>
      <c r="C2148" s="4" t="inlineStr">
        <is>
          <t>whitetail</t>
        </is>
      </c>
      <c r="D2148" s="4" t="n">
        <v>2025</v>
      </c>
      <c r="E2148" s="13" t="inlineStr">
        <is>
          <t>General</t>
        </is>
      </c>
      <c r="F2148" s="5" t="n">
        <v>418</v>
      </c>
      <c r="G2148" s="5" t="n">
        <v>2149</v>
      </c>
      <c r="H2148" s="5" t="n">
        <v>42</v>
      </c>
      <c r="I2148" s="5" t="n">
        <v>22</v>
      </c>
      <c r="J2148" s="5" t="n">
        <v>20</v>
      </c>
      <c r="K2148" s="10">
        <f>IF(F2148&gt;0,H2148/F2148,"")</f>
        <v/>
      </c>
      <c r="L2148" s="16">
        <f>IF(AND(G2148&gt;0,H2148&gt;0),G2148/H2148,"")</f>
        <v/>
      </c>
    </row>
    <row r="2149">
      <c r="A2149" s="4" t="inlineStr">
        <is>
          <t>404</t>
        </is>
      </c>
      <c r="B2149" s="4" t="n">
        <v>4</v>
      </c>
      <c r="C2149" s="4" t="inlineStr">
        <is>
          <t>whitetail</t>
        </is>
      </c>
      <c r="D2149" s="4" t="n">
        <v>2021</v>
      </c>
      <c r="E2149" s="13" t="inlineStr">
        <is>
          <t>General</t>
        </is>
      </c>
      <c r="F2149" s="5" t="n">
        <v>1844</v>
      </c>
      <c r="G2149" s="5" t="n">
        <v>8999</v>
      </c>
      <c r="H2149" s="5" t="n">
        <v>608</v>
      </c>
      <c r="I2149" s="5" t="n">
        <v>337</v>
      </c>
      <c r="J2149" s="5" t="n">
        <v>262</v>
      </c>
      <c r="K2149" s="10">
        <f>IF(F2149&gt;0,H2149/F2149,"")</f>
        <v/>
      </c>
      <c r="L2149" s="16">
        <f>IF(AND(G2149&gt;0,H2149&gt;0),G2149/H2149,"")</f>
        <v/>
      </c>
    </row>
    <row r="2150">
      <c r="A2150" s="4" t="inlineStr">
        <is>
          <t>404</t>
        </is>
      </c>
      <c r="B2150" s="4" t="n">
        <v>4</v>
      </c>
      <c r="C2150" s="4" t="inlineStr">
        <is>
          <t>whitetail</t>
        </is>
      </c>
      <c r="D2150" s="4" t="n">
        <v>2022</v>
      </c>
      <c r="E2150" s="13" t="inlineStr">
        <is>
          <t>General</t>
        </is>
      </c>
      <c r="F2150" s="5" t="n"/>
      <c r="G2150" s="5" t="n"/>
      <c r="H2150" s="5" t="n">
        <v>710</v>
      </c>
      <c r="I2150" s="5" t="n">
        <v>362</v>
      </c>
      <c r="J2150" s="5" t="n">
        <v>348</v>
      </c>
      <c r="K2150" s="10">
        <f>IF(F2150&gt;0,H2150/F2150,"")</f>
        <v/>
      </c>
      <c r="L2150" s="16">
        <f>IF(AND(G2150&gt;0,H2150&gt;0),G2150/H2150,"")</f>
        <v/>
      </c>
    </row>
    <row r="2151">
      <c r="A2151" s="4" t="inlineStr">
        <is>
          <t>404</t>
        </is>
      </c>
      <c r="B2151" s="4" t="n">
        <v>4</v>
      </c>
      <c r="C2151" s="4" t="inlineStr">
        <is>
          <t>whitetail</t>
        </is>
      </c>
      <c r="D2151" s="4" t="n">
        <v>2023</v>
      </c>
      <c r="E2151" s="13" t="inlineStr">
        <is>
          <t>General</t>
        </is>
      </c>
      <c r="F2151" s="5" t="n">
        <v>1812</v>
      </c>
      <c r="G2151" s="5" t="n">
        <v>9049</v>
      </c>
      <c r="H2151" s="5" t="n">
        <v>580</v>
      </c>
      <c r="I2151" s="5" t="n">
        <v>327</v>
      </c>
      <c r="J2151" s="5" t="n">
        <v>247</v>
      </c>
      <c r="K2151" s="10">
        <f>IF(F2151&gt;0,H2151/F2151,"")</f>
        <v/>
      </c>
      <c r="L2151" s="16">
        <f>IF(AND(G2151&gt;0,H2151&gt;0),G2151/H2151,"")</f>
        <v/>
      </c>
    </row>
    <row r="2152">
      <c r="A2152" s="4" t="inlineStr">
        <is>
          <t>404</t>
        </is>
      </c>
      <c r="B2152" s="4" t="n">
        <v>4</v>
      </c>
      <c r="C2152" s="4" t="inlineStr">
        <is>
          <t>whitetail</t>
        </is>
      </c>
      <c r="D2152" s="4" t="n">
        <v>2024</v>
      </c>
      <c r="E2152" s="13" t="inlineStr">
        <is>
          <t>General</t>
        </is>
      </c>
      <c r="F2152" s="5" t="n"/>
      <c r="G2152" s="5" t="n"/>
      <c r="H2152" s="5" t="n">
        <v>574</v>
      </c>
      <c r="I2152" s="5" t="n">
        <v>328</v>
      </c>
      <c r="J2152" s="5" t="n">
        <v>246</v>
      </c>
      <c r="K2152" s="10">
        <f>IF(F2152&gt;0,H2152/F2152,"")</f>
        <v/>
      </c>
      <c r="L2152" s="16">
        <f>IF(AND(G2152&gt;0,H2152&gt;0),G2152/H2152,"")</f>
        <v/>
      </c>
    </row>
    <row r="2153">
      <c r="A2153" s="4" t="inlineStr">
        <is>
          <t>404</t>
        </is>
      </c>
      <c r="B2153" s="4" t="n">
        <v>4</v>
      </c>
      <c r="C2153" s="4" t="inlineStr">
        <is>
          <t>whitetail</t>
        </is>
      </c>
      <c r="D2153" s="4" t="n">
        <v>2025</v>
      </c>
      <c r="E2153" s="13" t="inlineStr">
        <is>
          <t>General</t>
        </is>
      </c>
      <c r="F2153" s="5" t="n">
        <v>1850</v>
      </c>
      <c r="G2153" s="5" t="n">
        <v>9575</v>
      </c>
      <c r="H2153" s="5" t="n">
        <v>503</v>
      </c>
      <c r="I2153" s="5" t="n">
        <v>277</v>
      </c>
      <c r="J2153" s="5" t="n">
        <v>222</v>
      </c>
      <c r="K2153" s="10">
        <f>IF(F2153&gt;0,H2153/F2153,"")</f>
        <v/>
      </c>
      <c r="L2153" s="16">
        <f>IF(AND(G2153&gt;0,H2153&gt;0),G2153/H2153,"")</f>
        <v/>
      </c>
    </row>
    <row r="2154">
      <c r="A2154" s="4" t="inlineStr">
        <is>
          <t>405</t>
        </is>
      </c>
      <c r="B2154" s="4" t="n">
        <v>4</v>
      </c>
      <c r="C2154" s="4" t="inlineStr">
        <is>
          <t>whitetail</t>
        </is>
      </c>
      <c r="D2154" s="4" t="n">
        <v>2021</v>
      </c>
      <c r="E2154" s="13" t="inlineStr">
        <is>
          <t>General</t>
        </is>
      </c>
      <c r="F2154" s="5" t="n">
        <v>968</v>
      </c>
      <c r="G2154" s="5" t="n">
        <v>4767</v>
      </c>
      <c r="H2154" s="5" t="n">
        <v>145</v>
      </c>
      <c r="I2154" s="5" t="n">
        <v>72</v>
      </c>
      <c r="J2154" s="5" t="n">
        <v>73</v>
      </c>
      <c r="K2154" s="10">
        <f>IF(F2154&gt;0,H2154/F2154,"")</f>
        <v/>
      </c>
      <c r="L2154" s="16">
        <f>IF(AND(G2154&gt;0,H2154&gt;0),G2154/H2154,"")</f>
        <v/>
      </c>
    </row>
    <row r="2155">
      <c r="A2155" s="4" t="inlineStr">
        <is>
          <t>405</t>
        </is>
      </c>
      <c r="B2155" s="4" t="n">
        <v>4</v>
      </c>
      <c r="C2155" s="4" t="inlineStr">
        <is>
          <t>whitetail</t>
        </is>
      </c>
      <c r="D2155" s="4" t="n">
        <v>2022</v>
      </c>
      <c r="E2155" s="13" t="inlineStr">
        <is>
          <t>General</t>
        </is>
      </c>
      <c r="F2155" s="5" t="n"/>
      <c r="G2155" s="5" t="n"/>
      <c r="H2155" s="5" t="n">
        <v>209</v>
      </c>
      <c r="I2155" s="5" t="n">
        <v>118</v>
      </c>
      <c r="J2155" s="5" t="n">
        <v>91</v>
      </c>
      <c r="K2155" s="10">
        <f>IF(F2155&gt;0,H2155/F2155,"")</f>
        <v/>
      </c>
      <c r="L2155" s="16">
        <f>IF(AND(G2155&gt;0,H2155&gt;0),G2155/H2155,"")</f>
        <v/>
      </c>
    </row>
    <row r="2156">
      <c r="A2156" s="4" t="inlineStr">
        <is>
          <t>405</t>
        </is>
      </c>
      <c r="B2156" s="4" t="n">
        <v>4</v>
      </c>
      <c r="C2156" s="4" t="inlineStr">
        <is>
          <t>whitetail</t>
        </is>
      </c>
      <c r="D2156" s="4" t="n">
        <v>2023</v>
      </c>
      <c r="E2156" s="13" t="inlineStr">
        <is>
          <t>General</t>
        </is>
      </c>
      <c r="F2156" s="5" t="n">
        <v>1131</v>
      </c>
      <c r="G2156" s="5" t="n">
        <v>5253</v>
      </c>
      <c r="H2156" s="5" t="n">
        <v>188</v>
      </c>
      <c r="I2156" s="5" t="n">
        <v>100</v>
      </c>
      <c r="J2156" s="5" t="n">
        <v>84</v>
      </c>
      <c r="K2156" s="10">
        <f>IF(F2156&gt;0,H2156/F2156,"")</f>
        <v/>
      </c>
      <c r="L2156" s="16">
        <f>IF(AND(G2156&gt;0,H2156&gt;0),G2156/H2156,"")</f>
        <v/>
      </c>
    </row>
    <row r="2157">
      <c r="A2157" s="4" t="inlineStr">
        <is>
          <t>405</t>
        </is>
      </c>
      <c r="B2157" s="4" t="n">
        <v>4</v>
      </c>
      <c r="C2157" s="4" t="inlineStr">
        <is>
          <t>whitetail</t>
        </is>
      </c>
      <c r="D2157" s="4" t="n">
        <v>2024</v>
      </c>
      <c r="E2157" s="13" t="inlineStr">
        <is>
          <t>General</t>
        </is>
      </c>
      <c r="F2157" s="5" t="n"/>
      <c r="G2157" s="5" t="n"/>
      <c r="H2157" s="5" t="n">
        <v>242</v>
      </c>
      <c r="I2157" s="5" t="n">
        <v>144</v>
      </c>
      <c r="J2157" s="5" t="n">
        <v>92</v>
      </c>
      <c r="K2157" s="10">
        <f>IF(F2157&gt;0,H2157/F2157,"")</f>
        <v/>
      </c>
      <c r="L2157" s="16">
        <f>IF(AND(G2157&gt;0,H2157&gt;0),G2157/H2157,"")</f>
        <v/>
      </c>
    </row>
    <row r="2158">
      <c r="A2158" s="4" t="inlineStr">
        <is>
          <t>405</t>
        </is>
      </c>
      <c r="B2158" s="4" t="n">
        <v>4</v>
      </c>
      <c r="C2158" s="4" t="inlineStr">
        <is>
          <t>whitetail</t>
        </is>
      </c>
      <c r="D2158" s="4" t="n">
        <v>2025</v>
      </c>
      <c r="E2158" s="13" t="inlineStr">
        <is>
          <t>General</t>
        </is>
      </c>
      <c r="F2158" s="5" t="n">
        <v>1279</v>
      </c>
      <c r="G2158" s="5" t="n">
        <v>6315</v>
      </c>
      <c r="H2158" s="5" t="n">
        <v>207</v>
      </c>
      <c r="I2158" s="5" t="n">
        <v>88</v>
      </c>
      <c r="J2158" s="5" t="n">
        <v>116</v>
      </c>
      <c r="K2158" s="10">
        <f>IF(F2158&gt;0,H2158/F2158,"")</f>
        <v/>
      </c>
      <c r="L2158" s="16">
        <f>IF(AND(G2158&gt;0,H2158&gt;0),G2158/H2158,"")</f>
        <v/>
      </c>
    </row>
    <row r="2159">
      <c r="A2159" s="4" t="inlineStr">
        <is>
          <t>406</t>
        </is>
      </c>
      <c r="B2159" s="4" t="n">
        <v>4</v>
      </c>
      <c r="C2159" s="4" t="inlineStr">
        <is>
          <t>whitetail</t>
        </is>
      </c>
      <c r="D2159" s="4" t="n">
        <v>2021</v>
      </c>
      <c r="E2159" s="13" t="inlineStr">
        <is>
          <t>General</t>
        </is>
      </c>
      <c r="F2159" s="5" t="n">
        <v>620</v>
      </c>
      <c r="G2159" s="5" t="n">
        <v>3176</v>
      </c>
      <c r="H2159" s="5" t="n">
        <v>276</v>
      </c>
      <c r="I2159" s="5" t="n">
        <v>148</v>
      </c>
      <c r="J2159" s="5" t="n">
        <v>126</v>
      </c>
      <c r="K2159" s="10">
        <f>IF(F2159&gt;0,H2159/F2159,"")</f>
        <v/>
      </c>
      <c r="L2159" s="16">
        <f>IF(AND(G2159&gt;0,H2159&gt;0),G2159/H2159,"")</f>
        <v/>
      </c>
    </row>
    <row r="2160">
      <c r="A2160" s="4" t="inlineStr">
        <is>
          <t>406</t>
        </is>
      </c>
      <c r="B2160" s="4" t="n">
        <v>4</v>
      </c>
      <c r="C2160" s="4" t="inlineStr">
        <is>
          <t>whitetail</t>
        </is>
      </c>
      <c r="D2160" s="4" t="n">
        <v>2022</v>
      </c>
      <c r="E2160" s="13" t="inlineStr">
        <is>
          <t>General</t>
        </is>
      </c>
      <c r="F2160" s="5" t="n"/>
      <c r="G2160" s="5" t="n"/>
      <c r="H2160" s="5" t="n">
        <v>295</v>
      </c>
      <c r="I2160" s="5" t="n">
        <v>168</v>
      </c>
      <c r="J2160" s="5" t="n">
        <v>128</v>
      </c>
      <c r="K2160" s="10">
        <f>IF(F2160&gt;0,H2160/F2160,"")</f>
        <v/>
      </c>
      <c r="L2160" s="16">
        <f>IF(AND(G2160&gt;0,H2160&gt;0),G2160/H2160,"")</f>
        <v/>
      </c>
    </row>
    <row r="2161">
      <c r="A2161" s="4" t="inlineStr">
        <is>
          <t>406</t>
        </is>
      </c>
      <c r="B2161" s="4" t="n">
        <v>4</v>
      </c>
      <c r="C2161" s="4" t="inlineStr">
        <is>
          <t>whitetail</t>
        </is>
      </c>
      <c r="D2161" s="4" t="n">
        <v>2023</v>
      </c>
      <c r="E2161" s="13" t="inlineStr">
        <is>
          <t>General</t>
        </is>
      </c>
      <c r="F2161" s="5" t="n">
        <v>715</v>
      </c>
      <c r="G2161" s="5" t="n">
        <v>3328</v>
      </c>
      <c r="H2161" s="5" t="n">
        <v>233</v>
      </c>
      <c r="I2161" s="5" t="n">
        <v>129</v>
      </c>
      <c r="J2161" s="5" t="n">
        <v>104</v>
      </c>
      <c r="K2161" s="10">
        <f>IF(F2161&gt;0,H2161/F2161,"")</f>
        <v/>
      </c>
      <c r="L2161" s="16">
        <f>IF(AND(G2161&gt;0,H2161&gt;0),G2161/H2161,"")</f>
        <v/>
      </c>
    </row>
    <row r="2162">
      <c r="A2162" s="4" t="inlineStr">
        <is>
          <t>406</t>
        </is>
      </c>
      <c r="B2162" s="4" t="n">
        <v>4</v>
      </c>
      <c r="C2162" s="4" t="inlineStr">
        <is>
          <t>whitetail</t>
        </is>
      </c>
      <c r="D2162" s="4" t="n">
        <v>2024</v>
      </c>
      <c r="E2162" s="13" t="inlineStr">
        <is>
          <t>General</t>
        </is>
      </c>
      <c r="F2162" s="5" t="n"/>
      <c r="G2162" s="5" t="n"/>
      <c r="H2162" s="5" t="n">
        <v>307</v>
      </c>
      <c r="I2162" s="5" t="n">
        <v>157</v>
      </c>
      <c r="J2162" s="5" t="n">
        <v>147</v>
      </c>
      <c r="K2162" s="10">
        <f>IF(F2162&gt;0,H2162/F2162,"")</f>
        <v/>
      </c>
      <c r="L2162" s="16">
        <f>IF(AND(G2162&gt;0,H2162&gt;0),G2162/H2162,"")</f>
        <v/>
      </c>
    </row>
    <row r="2163">
      <c r="A2163" s="4" t="inlineStr">
        <is>
          <t>406</t>
        </is>
      </c>
      <c r="B2163" s="4" t="n">
        <v>4</v>
      </c>
      <c r="C2163" s="4" t="inlineStr">
        <is>
          <t>whitetail</t>
        </is>
      </c>
      <c r="D2163" s="4" t="n">
        <v>2025</v>
      </c>
      <c r="E2163" s="13" t="inlineStr">
        <is>
          <t>General</t>
        </is>
      </c>
      <c r="F2163" s="5" t="n">
        <v>731</v>
      </c>
      <c r="G2163" s="5" t="n">
        <v>3305</v>
      </c>
      <c r="H2163" s="5" t="n">
        <v>207</v>
      </c>
      <c r="I2163" s="5" t="n">
        <v>123</v>
      </c>
      <c r="J2163" s="5" t="n">
        <v>83</v>
      </c>
      <c r="K2163" s="10">
        <f>IF(F2163&gt;0,H2163/F2163,"")</f>
        <v/>
      </c>
      <c r="L2163" s="16">
        <f>IF(AND(G2163&gt;0,H2163&gt;0),G2163/H2163,"")</f>
        <v/>
      </c>
    </row>
    <row r="2164">
      <c r="A2164" s="4" t="inlineStr">
        <is>
          <t>410</t>
        </is>
      </c>
      <c r="B2164" s="4" t="n">
        <v>4</v>
      </c>
      <c r="C2164" s="4" t="inlineStr">
        <is>
          <t>whitetail</t>
        </is>
      </c>
      <c r="D2164" s="4" t="n">
        <v>2021</v>
      </c>
      <c r="E2164" s="13" t="inlineStr">
        <is>
          <t>General</t>
        </is>
      </c>
      <c r="F2164" s="5" t="n">
        <v>2294</v>
      </c>
      <c r="G2164" s="5" t="n">
        <v>14143</v>
      </c>
      <c r="H2164" s="5" t="n">
        <v>114</v>
      </c>
      <c r="I2164" s="5" t="n">
        <v>93</v>
      </c>
      <c r="J2164" s="5" t="n">
        <v>22</v>
      </c>
      <c r="K2164" s="10">
        <f>IF(F2164&gt;0,H2164/F2164,"")</f>
        <v/>
      </c>
      <c r="L2164" s="16">
        <f>IF(AND(G2164&gt;0,H2164&gt;0),G2164/H2164,"")</f>
        <v/>
      </c>
    </row>
    <row r="2165">
      <c r="A2165" s="4" t="inlineStr">
        <is>
          <t>410</t>
        </is>
      </c>
      <c r="B2165" s="4" t="n">
        <v>4</v>
      </c>
      <c r="C2165" s="4" t="inlineStr">
        <is>
          <t>whitetail</t>
        </is>
      </c>
      <c r="D2165" s="4" t="n">
        <v>2022</v>
      </c>
      <c r="E2165" s="13" t="inlineStr">
        <is>
          <t>General</t>
        </is>
      </c>
      <c r="F2165" s="5" t="n"/>
      <c r="G2165" s="5" t="n"/>
      <c r="H2165" s="5" t="n">
        <v>143</v>
      </c>
      <c r="I2165" s="5" t="n">
        <v>88</v>
      </c>
      <c r="J2165" s="5" t="n">
        <v>55</v>
      </c>
      <c r="K2165" s="10">
        <f>IF(F2165&gt;0,H2165/F2165,"")</f>
        <v/>
      </c>
      <c r="L2165" s="16">
        <f>IF(AND(G2165&gt;0,H2165&gt;0),G2165/H2165,"")</f>
        <v/>
      </c>
    </row>
    <row r="2166">
      <c r="A2166" s="4" t="inlineStr">
        <is>
          <t>410</t>
        </is>
      </c>
      <c r="B2166" s="4" t="n">
        <v>4</v>
      </c>
      <c r="C2166" s="4" t="inlineStr">
        <is>
          <t>whitetail</t>
        </is>
      </c>
      <c r="D2166" s="4" t="n">
        <v>2023</v>
      </c>
      <c r="E2166" s="13" t="inlineStr">
        <is>
          <t>General</t>
        </is>
      </c>
      <c r="F2166" s="5" t="n">
        <v>1475</v>
      </c>
      <c r="G2166" s="5" t="n">
        <v>8791</v>
      </c>
      <c r="H2166" s="5" t="n">
        <v>92</v>
      </c>
      <c r="I2166" s="5" t="n">
        <v>52</v>
      </c>
      <c r="J2166" s="5" t="n">
        <v>40</v>
      </c>
      <c r="K2166" s="10">
        <f>IF(F2166&gt;0,H2166/F2166,"")</f>
        <v/>
      </c>
      <c r="L2166" s="16">
        <f>IF(AND(G2166&gt;0,H2166&gt;0),G2166/H2166,"")</f>
        <v/>
      </c>
    </row>
    <row r="2167">
      <c r="A2167" s="4" t="inlineStr">
        <is>
          <t>410</t>
        </is>
      </c>
      <c r="B2167" s="4" t="n">
        <v>4</v>
      </c>
      <c r="C2167" s="4" t="inlineStr">
        <is>
          <t>whitetail</t>
        </is>
      </c>
      <c r="D2167" s="4" t="n">
        <v>2024</v>
      </c>
      <c r="E2167" s="13" t="inlineStr">
        <is>
          <t>General</t>
        </is>
      </c>
      <c r="F2167" s="5" t="n"/>
      <c r="G2167" s="5" t="n"/>
      <c r="H2167" s="5" t="n">
        <v>127</v>
      </c>
      <c r="I2167" s="5" t="n">
        <v>81</v>
      </c>
      <c r="J2167" s="5" t="n">
        <v>46</v>
      </c>
      <c r="K2167" s="10">
        <f>IF(F2167&gt;0,H2167/F2167,"")</f>
        <v/>
      </c>
      <c r="L2167" s="16">
        <f>IF(AND(G2167&gt;0,H2167&gt;0),G2167/H2167,"")</f>
        <v/>
      </c>
    </row>
    <row r="2168">
      <c r="A2168" s="4" t="inlineStr">
        <is>
          <t>410</t>
        </is>
      </c>
      <c r="B2168" s="4" t="n">
        <v>4</v>
      </c>
      <c r="C2168" s="4" t="inlineStr">
        <is>
          <t>whitetail</t>
        </is>
      </c>
      <c r="D2168" s="4" t="n">
        <v>2025</v>
      </c>
      <c r="E2168" s="13" t="inlineStr">
        <is>
          <t>General</t>
        </is>
      </c>
      <c r="F2168" s="5" t="n">
        <v>505</v>
      </c>
      <c r="G2168" s="5" t="n">
        <v>3423</v>
      </c>
      <c r="H2168" s="5" t="n">
        <v>129</v>
      </c>
      <c r="I2168" s="5" t="n">
        <v>79</v>
      </c>
      <c r="J2168" s="5" t="n">
        <v>50</v>
      </c>
      <c r="K2168" s="10">
        <f>IF(F2168&gt;0,H2168/F2168,"")</f>
        <v/>
      </c>
      <c r="L2168" s="16">
        <f>IF(AND(G2168&gt;0,H2168&gt;0),G2168/H2168,"")</f>
        <v/>
      </c>
    </row>
    <row r="2169">
      <c r="A2169" s="4" t="inlineStr">
        <is>
          <t>411</t>
        </is>
      </c>
      <c r="B2169" s="4" t="n">
        <v>4</v>
      </c>
      <c r="C2169" s="4" t="inlineStr">
        <is>
          <t>whitetail</t>
        </is>
      </c>
      <c r="D2169" s="4" t="n">
        <v>2021</v>
      </c>
      <c r="E2169" s="13" t="inlineStr">
        <is>
          <t>General</t>
        </is>
      </c>
      <c r="F2169" s="5" t="n">
        <v>2654</v>
      </c>
      <c r="G2169" s="5" t="n">
        <v>15250</v>
      </c>
      <c r="H2169" s="5" t="n">
        <v>1104</v>
      </c>
      <c r="I2169" s="5" t="n">
        <v>715</v>
      </c>
      <c r="J2169" s="5" t="n">
        <v>389</v>
      </c>
      <c r="K2169" s="10">
        <f>IF(F2169&gt;0,H2169/F2169,"")</f>
        <v/>
      </c>
      <c r="L2169" s="16">
        <f>IF(AND(G2169&gt;0,H2169&gt;0),G2169/H2169,"")</f>
        <v/>
      </c>
    </row>
    <row r="2170">
      <c r="A2170" s="4" t="inlineStr">
        <is>
          <t>411</t>
        </is>
      </c>
      <c r="B2170" s="4" t="n">
        <v>4</v>
      </c>
      <c r="C2170" s="4" t="inlineStr">
        <is>
          <t>whitetail</t>
        </is>
      </c>
      <c r="D2170" s="4" t="n">
        <v>2022</v>
      </c>
      <c r="E2170" s="13" t="inlineStr">
        <is>
          <t>General</t>
        </is>
      </c>
      <c r="F2170" s="5" t="n"/>
      <c r="G2170" s="5" t="n"/>
      <c r="H2170" s="5" t="n">
        <v>1041</v>
      </c>
      <c r="I2170" s="5" t="n">
        <v>680</v>
      </c>
      <c r="J2170" s="5" t="n">
        <v>354</v>
      </c>
      <c r="K2170" s="10">
        <f>IF(F2170&gt;0,H2170/F2170,"")</f>
        <v/>
      </c>
      <c r="L2170" s="16">
        <f>IF(AND(G2170&gt;0,H2170&gt;0),G2170/H2170,"")</f>
        <v/>
      </c>
    </row>
    <row r="2171">
      <c r="A2171" s="4" t="inlineStr">
        <is>
          <t>411</t>
        </is>
      </c>
      <c r="B2171" s="4" t="n">
        <v>4</v>
      </c>
      <c r="C2171" s="4" t="inlineStr">
        <is>
          <t>whitetail</t>
        </is>
      </c>
      <c r="D2171" s="4" t="n">
        <v>2023</v>
      </c>
      <c r="E2171" s="13" t="inlineStr">
        <is>
          <t>General</t>
        </is>
      </c>
      <c r="F2171" s="5" t="n">
        <v>2390</v>
      </c>
      <c r="G2171" s="5" t="n">
        <v>13501</v>
      </c>
      <c r="H2171" s="5" t="n">
        <v>953</v>
      </c>
      <c r="I2171" s="5" t="n">
        <v>607</v>
      </c>
      <c r="J2171" s="5" t="n">
        <v>347</v>
      </c>
      <c r="K2171" s="10">
        <f>IF(F2171&gt;0,H2171/F2171,"")</f>
        <v/>
      </c>
      <c r="L2171" s="16">
        <f>IF(AND(G2171&gt;0,H2171&gt;0),G2171/H2171,"")</f>
        <v/>
      </c>
    </row>
    <row r="2172">
      <c r="A2172" s="4" t="inlineStr">
        <is>
          <t>411</t>
        </is>
      </c>
      <c r="B2172" s="4" t="n">
        <v>4</v>
      </c>
      <c r="C2172" s="4" t="inlineStr">
        <is>
          <t>whitetail</t>
        </is>
      </c>
      <c r="D2172" s="4" t="n">
        <v>2024</v>
      </c>
      <c r="E2172" s="13" t="inlineStr">
        <is>
          <t>General</t>
        </is>
      </c>
      <c r="F2172" s="5" t="n"/>
      <c r="G2172" s="5" t="n"/>
      <c r="H2172" s="5" t="n">
        <v>1100</v>
      </c>
      <c r="I2172" s="5" t="n">
        <v>697</v>
      </c>
      <c r="J2172" s="5" t="n">
        <v>402</v>
      </c>
      <c r="K2172" s="10">
        <f>IF(F2172&gt;0,H2172/F2172,"")</f>
        <v/>
      </c>
      <c r="L2172" s="16">
        <f>IF(AND(G2172&gt;0,H2172&gt;0),G2172/H2172,"")</f>
        <v/>
      </c>
    </row>
    <row r="2173">
      <c r="A2173" s="4" t="inlineStr">
        <is>
          <t>411</t>
        </is>
      </c>
      <c r="B2173" s="4" t="n">
        <v>4</v>
      </c>
      <c r="C2173" s="4" t="inlineStr">
        <is>
          <t>whitetail</t>
        </is>
      </c>
      <c r="D2173" s="4" t="n">
        <v>2025</v>
      </c>
      <c r="E2173" s="13" t="inlineStr">
        <is>
          <t>General</t>
        </is>
      </c>
      <c r="F2173" s="5" t="n">
        <v>2383</v>
      </c>
      <c r="G2173" s="5" t="n">
        <v>14657</v>
      </c>
      <c r="H2173" s="5" t="n">
        <v>831</v>
      </c>
      <c r="I2173" s="5" t="n">
        <v>550</v>
      </c>
      <c r="J2173" s="5" t="n">
        <v>280</v>
      </c>
      <c r="K2173" s="10">
        <f>IF(F2173&gt;0,H2173/F2173,"")</f>
        <v/>
      </c>
      <c r="L2173" s="16">
        <f>IF(AND(G2173&gt;0,H2173&gt;0),G2173/H2173,"")</f>
        <v/>
      </c>
    </row>
    <row r="2174">
      <c r="A2174" s="4" t="inlineStr">
        <is>
          <t>412</t>
        </is>
      </c>
      <c r="B2174" s="4" t="n">
        <v>4</v>
      </c>
      <c r="C2174" s="4" t="inlineStr">
        <is>
          <t>whitetail</t>
        </is>
      </c>
      <c r="D2174" s="4" t="n">
        <v>2021</v>
      </c>
      <c r="E2174" s="13" t="inlineStr">
        <is>
          <t>General</t>
        </is>
      </c>
      <c r="F2174" s="5" t="n">
        <v>1508</v>
      </c>
      <c r="G2174" s="5" t="n">
        <v>7674</v>
      </c>
      <c r="H2174" s="5" t="n">
        <v>474</v>
      </c>
      <c r="I2174" s="5" t="n">
        <v>261</v>
      </c>
      <c r="J2174" s="5" t="n">
        <v>213</v>
      </c>
      <c r="K2174" s="10">
        <f>IF(F2174&gt;0,H2174/F2174,"")</f>
        <v/>
      </c>
      <c r="L2174" s="16">
        <f>IF(AND(G2174&gt;0,H2174&gt;0),G2174/H2174,"")</f>
        <v/>
      </c>
    </row>
    <row r="2175">
      <c r="A2175" s="4" t="inlineStr">
        <is>
          <t>412</t>
        </is>
      </c>
      <c r="B2175" s="4" t="n">
        <v>4</v>
      </c>
      <c r="C2175" s="4" t="inlineStr">
        <is>
          <t>whitetail</t>
        </is>
      </c>
      <c r="D2175" s="4" t="n">
        <v>2022</v>
      </c>
      <c r="E2175" s="13" t="inlineStr">
        <is>
          <t>General</t>
        </is>
      </c>
      <c r="F2175" s="5" t="n"/>
      <c r="G2175" s="5" t="n"/>
      <c r="H2175" s="5" t="n">
        <v>451</v>
      </c>
      <c r="I2175" s="5" t="n">
        <v>272</v>
      </c>
      <c r="J2175" s="5" t="n">
        <v>179</v>
      </c>
      <c r="K2175" s="10">
        <f>IF(F2175&gt;0,H2175/F2175,"")</f>
        <v/>
      </c>
      <c r="L2175" s="16">
        <f>IF(AND(G2175&gt;0,H2175&gt;0),G2175/H2175,"")</f>
        <v/>
      </c>
    </row>
    <row r="2176">
      <c r="A2176" s="4" t="inlineStr">
        <is>
          <t>412</t>
        </is>
      </c>
      <c r="B2176" s="4" t="n">
        <v>4</v>
      </c>
      <c r="C2176" s="4" t="inlineStr">
        <is>
          <t>whitetail</t>
        </is>
      </c>
      <c r="D2176" s="4" t="n">
        <v>2023</v>
      </c>
      <c r="E2176" s="13" t="inlineStr">
        <is>
          <t>General</t>
        </is>
      </c>
      <c r="F2176" s="5" t="n">
        <v>1421</v>
      </c>
      <c r="G2176" s="5" t="n">
        <v>7474</v>
      </c>
      <c r="H2176" s="5" t="n">
        <v>536</v>
      </c>
      <c r="I2176" s="5" t="n">
        <v>335</v>
      </c>
      <c r="J2176" s="5" t="n">
        <v>202</v>
      </c>
      <c r="K2176" s="10">
        <f>IF(F2176&gt;0,H2176/F2176,"")</f>
        <v/>
      </c>
      <c r="L2176" s="16">
        <f>IF(AND(G2176&gt;0,H2176&gt;0),G2176/H2176,"")</f>
        <v/>
      </c>
    </row>
    <row r="2177">
      <c r="A2177" s="4" t="inlineStr">
        <is>
          <t>412</t>
        </is>
      </c>
      <c r="B2177" s="4" t="n">
        <v>4</v>
      </c>
      <c r="C2177" s="4" t="inlineStr">
        <is>
          <t>whitetail</t>
        </is>
      </c>
      <c r="D2177" s="4" t="n">
        <v>2024</v>
      </c>
      <c r="E2177" s="13" t="inlineStr">
        <is>
          <t>General</t>
        </is>
      </c>
      <c r="F2177" s="5" t="n"/>
      <c r="G2177" s="5" t="n"/>
      <c r="H2177" s="5" t="n">
        <v>524</v>
      </c>
      <c r="I2177" s="5" t="n">
        <v>327</v>
      </c>
      <c r="J2177" s="5" t="n">
        <v>197</v>
      </c>
      <c r="K2177" s="10">
        <f>IF(F2177&gt;0,H2177/F2177,"")</f>
        <v/>
      </c>
      <c r="L2177" s="16">
        <f>IF(AND(G2177&gt;0,H2177&gt;0),G2177/H2177,"")</f>
        <v/>
      </c>
    </row>
    <row r="2178">
      <c r="A2178" s="4" t="inlineStr">
        <is>
          <t>412</t>
        </is>
      </c>
      <c r="B2178" s="4" t="n">
        <v>4</v>
      </c>
      <c r="C2178" s="4" t="inlineStr">
        <is>
          <t>whitetail</t>
        </is>
      </c>
      <c r="D2178" s="4" t="n">
        <v>2025</v>
      </c>
      <c r="E2178" s="13" t="inlineStr">
        <is>
          <t>General</t>
        </is>
      </c>
      <c r="F2178" s="5" t="n">
        <v>1139</v>
      </c>
      <c r="G2178" s="5" t="n">
        <v>6654</v>
      </c>
      <c r="H2178" s="5" t="n">
        <v>379</v>
      </c>
      <c r="I2178" s="5" t="n">
        <v>226</v>
      </c>
      <c r="J2178" s="5" t="n">
        <v>153</v>
      </c>
      <c r="K2178" s="10">
        <f>IF(F2178&gt;0,H2178/F2178,"")</f>
        <v/>
      </c>
      <c r="L2178" s="16">
        <f>IF(AND(G2178&gt;0,H2178&gt;0),G2178/H2178,"")</f>
        <v/>
      </c>
    </row>
    <row r="2179">
      <c r="A2179" s="4" t="inlineStr">
        <is>
          <t>413</t>
        </is>
      </c>
      <c r="B2179" s="4" t="n">
        <v>4</v>
      </c>
      <c r="C2179" s="4" t="inlineStr">
        <is>
          <t>whitetail</t>
        </is>
      </c>
      <c r="D2179" s="4" t="n">
        <v>2021</v>
      </c>
      <c r="E2179" s="13" t="inlineStr">
        <is>
          <t>General</t>
        </is>
      </c>
      <c r="F2179" s="5" t="n">
        <v>1901</v>
      </c>
      <c r="G2179" s="5" t="n">
        <v>9654</v>
      </c>
      <c r="H2179" s="5" t="n">
        <v>631</v>
      </c>
      <c r="I2179" s="5" t="n">
        <v>367</v>
      </c>
      <c r="J2179" s="5" t="n">
        <v>264</v>
      </c>
      <c r="K2179" s="10">
        <f>IF(F2179&gt;0,H2179/F2179,"")</f>
        <v/>
      </c>
      <c r="L2179" s="16">
        <f>IF(AND(G2179&gt;0,H2179&gt;0),G2179/H2179,"")</f>
        <v/>
      </c>
    </row>
    <row r="2180">
      <c r="A2180" s="4" t="inlineStr">
        <is>
          <t>413</t>
        </is>
      </c>
      <c r="B2180" s="4" t="n">
        <v>4</v>
      </c>
      <c r="C2180" s="4" t="inlineStr">
        <is>
          <t>whitetail</t>
        </is>
      </c>
      <c r="D2180" s="4" t="n">
        <v>2022</v>
      </c>
      <c r="E2180" s="13" t="inlineStr">
        <is>
          <t>General</t>
        </is>
      </c>
      <c r="F2180" s="5" t="n"/>
      <c r="G2180" s="5" t="n"/>
      <c r="H2180" s="5" t="n">
        <v>770</v>
      </c>
      <c r="I2180" s="5" t="n">
        <v>397</v>
      </c>
      <c r="J2180" s="5" t="n">
        <v>372</v>
      </c>
      <c r="K2180" s="10">
        <f>IF(F2180&gt;0,H2180/F2180,"")</f>
        <v/>
      </c>
      <c r="L2180" s="16">
        <f>IF(AND(G2180&gt;0,H2180&gt;0),G2180/H2180,"")</f>
        <v/>
      </c>
    </row>
    <row r="2181">
      <c r="A2181" s="4" t="inlineStr">
        <is>
          <t>413</t>
        </is>
      </c>
      <c r="B2181" s="4" t="n">
        <v>4</v>
      </c>
      <c r="C2181" s="4" t="inlineStr">
        <is>
          <t>whitetail</t>
        </is>
      </c>
      <c r="D2181" s="4" t="n">
        <v>2023</v>
      </c>
      <c r="E2181" s="13" t="inlineStr">
        <is>
          <t>General</t>
        </is>
      </c>
      <c r="F2181" s="5" t="n">
        <v>2783</v>
      </c>
      <c r="G2181" s="5" t="n">
        <v>15981</v>
      </c>
      <c r="H2181" s="5" t="n">
        <v>756</v>
      </c>
      <c r="I2181" s="5" t="n">
        <v>416</v>
      </c>
      <c r="J2181" s="5" t="n">
        <v>337</v>
      </c>
      <c r="K2181" s="10">
        <f>IF(F2181&gt;0,H2181/F2181,"")</f>
        <v/>
      </c>
      <c r="L2181" s="16">
        <f>IF(AND(G2181&gt;0,H2181&gt;0),G2181/H2181,"")</f>
        <v/>
      </c>
    </row>
    <row r="2182">
      <c r="A2182" s="4" t="inlineStr">
        <is>
          <t>413</t>
        </is>
      </c>
      <c r="B2182" s="4" t="n">
        <v>4</v>
      </c>
      <c r="C2182" s="4" t="inlineStr">
        <is>
          <t>whitetail</t>
        </is>
      </c>
      <c r="D2182" s="4" t="n">
        <v>2024</v>
      </c>
      <c r="E2182" s="13" t="inlineStr">
        <is>
          <t>General</t>
        </is>
      </c>
      <c r="F2182" s="5" t="n"/>
      <c r="G2182" s="5" t="n"/>
      <c r="H2182" s="5" t="n">
        <v>907</v>
      </c>
      <c r="I2182" s="5" t="n">
        <v>516</v>
      </c>
      <c r="J2182" s="5" t="n">
        <v>390</v>
      </c>
      <c r="K2182" s="10">
        <f>IF(F2182&gt;0,H2182/F2182,"")</f>
        <v/>
      </c>
      <c r="L2182" s="16">
        <f>IF(AND(G2182&gt;0,H2182&gt;0),G2182/H2182,"")</f>
        <v/>
      </c>
    </row>
    <row r="2183">
      <c r="A2183" s="4" t="inlineStr">
        <is>
          <t>413</t>
        </is>
      </c>
      <c r="B2183" s="4" t="n">
        <v>4</v>
      </c>
      <c r="C2183" s="4" t="inlineStr">
        <is>
          <t>whitetail</t>
        </is>
      </c>
      <c r="D2183" s="4" t="n">
        <v>2025</v>
      </c>
      <c r="E2183" s="13" t="inlineStr">
        <is>
          <t>General</t>
        </is>
      </c>
      <c r="F2183" s="5" t="n">
        <v>2609</v>
      </c>
      <c r="G2183" s="5" t="n">
        <v>17008</v>
      </c>
      <c r="H2183" s="5" t="n">
        <v>698</v>
      </c>
      <c r="I2183" s="5" t="n">
        <v>390</v>
      </c>
      <c r="J2183" s="5" t="n">
        <v>305</v>
      </c>
      <c r="K2183" s="10">
        <f>IF(F2183&gt;0,H2183/F2183,"")</f>
        <v/>
      </c>
      <c r="L2183" s="16">
        <f>IF(AND(G2183&gt;0,H2183&gt;0),G2183/H2183,"")</f>
        <v/>
      </c>
    </row>
    <row r="2184">
      <c r="A2184" s="4" t="inlineStr">
        <is>
          <t>415</t>
        </is>
      </c>
      <c r="B2184" s="4" t="n">
        <v>4</v>
      </c>
      <c r="C2184" s="4" t="inlineStr">
        <is>
          <t>whitetail</t>
        </is>
      </c>
      <c r="D2184" s="4" t="n">
        <v>2022</v>
      </c>
      <c r="E2184" s="13" t="inlineStr">
        <is>
          <t>General</t>
        </is>
      </c>
      <c r="F2184" s="5" t="n"/>
      <c r="G2184" s="5" t="n"/>
      <c r="H2184" s="5" t="n">
        <v>13</v>
      </c>
      <c r="I2184" s="5" t="n">
        <v>10</v>
      </c>
      <c r="J2184" s="5" t="n">
        <v>3</v>
      </c>
      <c r="K2184" s="10">
        <f>IF(F2184&gt;0,H2184/F2184,"")</f>
        <v/>
      </c>
      <c r="L2184" s="16">
        <f>IF(AND(G2184&gt;0,H2184&gt;0),G2184/H2184,"")</f>
        <v/>
      </c>
    </row>
    <row r="2185">
      <c r="A2185" s="4" t="inlineStr">
        <is>
          <t>415</t>
        </is>
      </c>
      <c r="B2185" s="4" t="n">
        <v>4</v>
      </c>
      <c r="C2185" s="4" t="inlineStr">
        <is>
          <t>whitetail</t>
        </is>
      </c>
      <c r="D2185" s="4" t="n">
        <v>2023</v>
      </c>
      <c r="E2185" s="13" t="inlineStr">
        <is>
          <t>General</t>
        </is>
      </c>
      <c r="F2185" s="5" t="n">
        <v>111</v>
      </c>
      <c r="G2185" s="5" t="n">
        <v>1201</v>
      </c>
      <c r="H2185" s="5" t="n">
        <v>3</v>
      </c>
      <c r="I2185" s="5" t="n">
        <v>3</v>
      </c>
      <c r="J2185" s="5" t="n">
        <v>0</v>
      </c>
      <c r="K2185" s="10">
        <f>IF(F2185&gt;0,H2185/F2185,"")</f>
        <v/>
      </c>
      <c r="L2185" s="16">
        <f>IF(AND(G2185&gt;0,H2185&gt;0),G2185/H2185,"")</f>
        <v/>
      </c>
    </row>
    <row r="2186">
      <c r="A2186" s="4" t="inlineStr">
        <is>
          <t>415</t>
        </is>
      </c>
      <c r="B2186" s="4" t="n">
        <v>4</v>
      </c>
      <c r="C2186" s="4" t="inlineStr">
        <is>
          <t>whitetail</t>
        </is>
      </c>
      <c r="D2186" s="4" t="n">
        <v>2024</v>
      </c>
      <c r="E2186" s="13" t="inlineStr">
        <is>
          <t>General</t>
        </is>
      </c>
      <c r="F2186" s="5" t="n"/>
      <c r="G2186" s="5" t="n"/>
      <c r="H2186" s="5" t="n">
        <v>15</v>
      </c>
      <c r="I2186" s="5" t="n">
        <v>9</v>
      </c>
      <c r="J2186" s="5" t="n">
        <v>6</v>
      </c>
      <c r="K2186" s="10">
        <f>IF(F2186&gt;0,H2186/F2186,"")</f>
        <v/>
      </c>
      <c r="L2186" s="16">
        <f>IF(AND(G2186&gt;0,H2186&gt;0),G2186/H2186,"")</f>
        <v/>
      </c>
    </row>
    <row r="2187">
      <c r="A2187" s="4" t="inlineStr">
        <is>
          <t>415</t>
        </is>
      </c>
      <c r="B2187" s="4" t="n">
        <v>4</v>
      </c>
      <c r="C2187" s="4" t="inlineStr">
        <is>
          <t>whitetail</t>
        </is>
      </c>
      <c r="D2187" s="4" t="n">
        <v>2025</v>
      </c>
      <c r="E2187" s="13" t="inlineStr">
        <is>
          <t>General</t>
        </is>
      </c>
      <c r="F2187" s="5" t="n">
        <v>102</v>
      </c>
      <c r="G2187" s="5" t="n">
        <v>539</v>
      </c>
      <c r="H2187" s="5" t="n">
        <v>23</v>
      </c>
      <c r="I2187" s="5" t="n">
        <v>13</v>
      </c>
      <c r="J2187" s="5" t="n">
        <v>10</v>
      </c>
      <c r="K2187" s="10">
        <f>IF(F2187&gt;0,H2187/F2187,"")</f>
        <v/>
      </c>
      <c r="L2187" s="16">
        <f>IF(AND(G2187&gt;0,H2187&gt;0),G2187/H2187,"")</f>
        <v/>
      </c>
    </row>
    <row r="2188">
      <c r="A2188" s="4" t="inlineStr">
        <is>
          <t>416</t>
        </is>
      </c>
      <c r="B2188" s="4" t="n">
        <v>4</v>
      </c>
      <c r="C2188" s="4" t="inlineStr">
        <is>
          <t>whitetail</t>
        </is>
      </c>
      <c r="D2188" s="4" t="n">
        <v>2021</v>
      </c>
      <c r="E2188" s="13" t="inlineStr">
        <is>
          <t>General</t>
        </is>
      </c>
      <c r="F2188" s="5" t="n">
        <v>1253</v>
      </c>
      <c r="G2188" s="5" t="n">
        <v>7860</v>
      </c>
      <c r="H2188" s="5" t="n">
        <v>189</v>
      </c>
      <c r="I2188" s="5" t="n">
        <v>86</v>
      </c>
      <c r="J2188" s="5" t="n">
        <v>103</v>
      </c>
      <c r="K2188" s="10">
        <f>IF(F2188&gt;0,H2188/F2188,"")</f>
        <v/>
      </c>
      <c r="L2188" s="16">
        <f>IF(AND(G2188&gt;0,H2188&gt;0),G2188/H2188,"")</f>
        <v/>
      </c>
    </row>
    <row r="2189">
      <c r="A2189" s="4" t="inlineStr">
        <is>
          <t>416</t>
        </is>
      </c>
      <c r="B2189" s="4" t="n">
        <v>4</v>
      </c>
      <c r="C2189" s="4" t="inlineStr">
        <is>
          <t>whitetail</t>
        </is>
      </c>
      <c r="D2189" s="4" t="n">
        <v>2022</v>
      </c>
      <c r="E2189" s="13" t="inlineStr">
        <is>
          <t>General</t>
        </is>
      </c>
      <c r="F2189" s="5" t="n"/>
      <c r="G2189" s="5" t="n"/>
      <c r="H2189" s="5" t="n">
        <v>225</v>
      </c>
      <c r="I2189" s="5" t="n">
        <v>114</v>
      </c>
      <c r="J2189" s="5" t="n">
        <v>112</v>
      </c>
      <c r="K2189" s="10">
        <f>IF(F2189&gt;0,H2189/F2189,"")</f>
        <v/>
      </c>
      <c r="L2189" s="16">
        <f>IF(AND(G2189&gt;0,H2189&gt;0),G2189/H2189,"")</f>
        <v/>
      </c>
    </row>
    <row r="2190">
      <c r="A2190" s="4" t="inlineStr">
        <is>
          <t>416</t>
        </is>
      </c>
      <c r="B2190" s="4" t="n">
        <v>4</v>
      </c>
      <c r="C2190" s="4" t="inlineStr">
        <is>
          <t>whitetail</t>
        </is>
      </c>
      <c r="D2190" s="4" t="n">
        <v>2023</v>
      </c>
      <c r="E2190" s="13" t="inlineStr">
        <is>
          <t>General</t>
        </is>
      </c>
      <c r="F2190" s="5" t="n">
        <v>1983</v>
      </c>
      <c r="G2190" s="5" t="n">
        <v>13043</v>
      </c>
      <c r="H2190" s="5" t="n">
        <v>258</v>
      </c>
      <c r="I2190" s="5" t="n">
        <v>129</v>
      </c>
      <c r="J2190" s="5" t="n">
        <v>122</v>
      </c>
      <c r="K2190" s="10">
        <f>IF(F2190&gt;0,H2190/F2190,"")</f>
        <v/>
      </c>
      <c r="L2190" s="16">
        <f>IF(AND(G2190&gt;0,H2190&gt;0),G2190/H2190,"")</f>
        <v/>
      </c>
    </row>
    <row r="2191">
      <c r="A2191" s="4" t="inlineStr">
        <is>
          <t>416</t>
        </is>
      </c>
      <c r="B2191" s="4" t="n">
        <v>4</v>
      </c>
      <c r="C2191" s="4" t="inlineStr">
        <is>
          <t>whitetail</t>
        </is>
      </c>
      <c r="D2191" s="4" t="n">
        <v>2024</v>
      </c>
      <c r="E2191" s="13" t="inlineStr">
        <is>
          <t>General</t>
        </is>
      </c>
      <c r="F2191" s="5" t="n"/>
      <c r="G2191" s="5" t="n"/>
      <c r="H2191" s="5" t="n">
        <v>287</v>
      </c>
      <c r="I2191" s="5" t="n">
        <v>143</v>
      </c>
      <c r="J2191" s="5" t="n">
        <v>144</v>
      </c>
      <c r="K2191" s="10">
        <f>IF(F2191&gt;0,H2191/F2191,"")</f>
        <v/>
      </c>
      <c r="L2191" s="16">
        <f>IF(AND(G2191&gt;0,H2191&gt;0),G2191/H2191,"")</f>
        <v/>
      </c>
    </row>
    <row r="2192">
      <c r="A2192" s="4" t="inlineStr">
        <is>
          <t>416</t>
        </is>
      </c>
      <c r="B2192" s="4" t="n">
        <v>4</v>
      </c>
      <c r="C2192" s="4" t="inlineStr">
        <is>
          <t>whitetail</t>
        </is>
      </c>
      <c r="D2192" s="4" t="n">
        <v>2025</v>
      </c>
      <c r="E2192" s="13" t="inlineStr">
        <is>
          <t>General</t>
        </is>
      </c>
      <c r="F2192" s="5" t="n">
        <v>1750</v>
      </c>
      <c r="G2192" s="5" t="n">
        <v>13203</v>
      </c>
      <c r="H2192" s="5" t="n">
        <v>233</v>
      </c>
      <c r="I2192" s="5" t="n">
        <v>119</v>
      </c>
      <c r="J2192" s="5" t="n">
        <v>114</v>
      </c>
      <c r="K2192" s="10">
        <f>IF(F2192&gt;0,H2192/F2192,"")</f>
        <v/>
      </c>
      <c r="L2192" s="16">
        <f>IF(AND(G2192&gt;0,H2192&gt;0),G2192/H2192,"")</f>
        <v/>
      </c>
    </row>
    <row r="2193">
      <c r="A2193" s="4" t="inlineStr">
        <is>
          <t>417</t>
        </is>
      </c>
      <c r="B2193" s="4" t="n">
        <v>4</v>
      </c>
      <c r="C2193" s="4" t="inlineStr">
        <is>
          <t>whitetail</t>
        </is>
      </c>
      <c r="D2193" s="4" t="n">
        <v>2021</v>
      </c>
      <c r="E2193" s="13" t="inlineStr">
        <is>
          <t>General</t>
        </is>
      </c>
      <c r="F2193" s="5" t="n">
        <v>1161</v>
      </c>
      <c r="G2193" s="5" t="n">
        <v>6617</v>
      </c>
      <c r="H2193" s="5" t="n">
        <v>65</v>
      </c>
      <c r="I2193" s="5" t="n">
        <v>39</v>
      </c>
      <c r="J2193" s="5" t="n">
        <v>26</v>
      </c>
      <c r="K2193" s="10">
        <f>IF(F2193&gt;0,H2193/F2193,"")</f>
        <v/>
      </c>
      <c r="L2193" s="16">
        <f>IF(AND(G2193&gt;0,H2193&gt;0),G2193/H2193,"")</f>
        <v/>
      </c>
    </row>
    <row r="2194">
      <c r="A2194" s="4" t="inlineStr">
        <is>
          <t>417</t>
        </is>
      </c>
      <c r="B2194" s="4" t="n">
        <v>4</v>
      </c>
      <c r="C2194" s="4" t="inlineStr">
        <is>
          <t>whitetail</t>
        </is>
      </c>
      <c r="D2194" s="4" t="n">
        <v>2022</v>
      </c>
      <c r="E2194" s="13" t="inlineStr">
        <is>
          <t>General</t>
        </is>
      </c>
      <c r="F2194" s="5" t="n"/>
      <c r="G2194" s="5" t="n"/>
      <c r="H2194" s="5" t="n">
        <v>48</v>
      </c>
      <c r="I2194" s="5" t="n">
        <v>29</v>
      </c>
      <c r="J2194" s="5" t="n">
        <v>15</v>
      </c>
      <c r="K2194" s="10">
        <f>IF(F2194&gt;0,H2194/F2194,"")</f>
        <v/>
      </c>
      <c r="L2194" s="16">
        <f>IF(AND(G2194&gt;0,H2194&gt;0),G2194/H2194,"")</f>
        <v/>
      </c>
    </row>
    <row r="2195">
      <c r="A2195" s="4" t="inlineStr">
        <is>
          <t>417</t>
        </is>
      </c>
      <c r="B2195" s="4" t="n">
        <v>4</v>
      </c>
      <c r="C2195" s="4" t="inlineStr">
        <is>
          <t>whitetail</t>
        </is>
      </c>
      <c r="D2195" s="4" t="n">
        <v>2023</v>
      </c>
      <c r="E2195" s="13" t="inlineStr">
        <is>
          <t>General</t>
        </is>
      </c>
      <c r="F2195" s="5" t="n">
        <v>750</v>
      </c>
      <c r="G2195" s="5" t="n">
        <v>4498</v>
      </c>
      <c r="H2195" s="5" t="n">
        <v>47</v>
      </c>
      <c r="I2195" s="5" t="n">
        <v>29</v>
      </c>
      <c r="J2195" s="5" t="n">
        <v>18</v>
      </c>
      <c r="K2195" s="10">
        <f>IF(F2195&gt;0,H2195/F2195,"")</f>
        <v/>
      </c>
      <c r="L2195" s="16">
        <f>IF(AND(G2195&gt;0,H2195&gt;0),G2195/H2195,"")</f>
        <v/>
      </c>
    </row>
    <row r="2196">
      <c r="A2196" s="4" t="inlineStr">
        <is>
          <t>417</t>
        </is>
      </c>
      <c r="B2196" s="4" t="n">
        <v>4</v>
      </c>
      <c r="C2196" s="4" t="inlineStr">
        <is>
          <t>whitetail</t>
        </is>
      </c>
      <c r="D2196" s="4" t="n">
        <v>2024</v>
      </c>
      <c r="E2196" s="13" t="inlineStr">
        <is>
          <t>General</t>
        </is>
      </c>
      <c r="F2196" s="5" t="n"/>
      <c r="G2196" s="5" t="n"/>
      <c r="H2196" s="5" t="n">
        <v>65</v>
      </c>
      <c r="I2196" s="5" t="n">
        <v>50</v>
      </c>
      <c r="J2196" s="5" t="n">
        <v>15</v>
      </c>
      <c r="K2196" s="10">
        <f>IF(F2196&gt;0,H2196/F2196,"")</f>
        <v/>
      </c>
      <c r="L2196" s="16">
        <f>IF(AND(G2196&gt;0,H2196&gt;0),G2196/H2196,"")</f>
        <v/>
      </c>
    </row>
    <row r="2197">
      <c r="A2197" s="4" t="inlineStr">
        <is>
          <t>417</t>
        </is>
      </c>
      <c r="B2197" s="4" t="n">
        <v>4</v>
      </c>
      <c r="C2197" s="4" t="inlineStr">
        <is>
          <t>whitetail</t>
        </is>
      </c>
      <c r="D2197" s="4" t="n">
        <v>2025</v>
      </c>
      <c r="E2197" s="13" t="inlineStr">
        <is>
          <t>General</t>
        </is>
      </c>
      <c r="F2197" s="5" t="n">
        <v>253</v>
      </c>
      <c r="G2197" s="5" t="n">
        <v>1366</v>
      </c>
      <c r="H2197" s="5" t="n">
        <v>31</v>
      </c>
      <c r="I2197" s="5" t="n">
        <v>21</v>
      </c>
      <c r="J2197" s="5" t="n">
        <v>10</v>
      </c>
      <c r="K2197" s="10">
        <f>IF(F2197&gt;0,H2197/F2197,"")</f>
        <v/>
      </c>
      <c r="L2197" s="16">
        <f>IF(AND(G2197&gt;0,H2197&gt;0),G2197/H2197,"")</f>
        <v/>
      </c>
    </row>
    <row r="2198">
      <c r="A2198" s="4" t="inlineStr">
        <is>
          <t>418</t>
        </is>
      </c>
      <c r="B2198" s="4" t="n">
        <v>4</v>
      </c>
      <c r="C2198" s="4" t="inlineStr">
        <is>
          <t>whitetail</t>
        </is>
      </c>
      <c r="D2198" s="4" t="n">
        <v>2021</v>
      </c>
      <c r="E2198" s="13" t="inlineStr">
        <is>
          <t>General</t>
        </is>
      </c>
      <c r="F2198" s="5" t="n">
        <v>541</v>
      </c>
      <c r="G2198" s="5" t="n">
        <v>3602</v>
      </c>
      <c r="H2198" s="5" t="n">
        <v>150</v>
      </c>
      <c r="I2198" s="5" t="n">
        <v>106</v>
      </c>
      <c r="J2198" s="5" t="n">
        <v>44</v>
      </c>
      <c r="K2198" s="10">
        <f>IF(F2198&gt;0,H2198/F2198,"")</f>
        <v/>
      </c>
      <c r="L2198" s="16">
        <f>IF(AND(G2198&gt;0,H2198&gt;0),G2198/H2198,"")</f>
        <v/>
      </c>
    </row>
    <row r="2199">
      <c r="A2199" s="4" t="inlineStr">
        <is>
          <t>418</t>
        </is>
      </c>
      <c r="B2199" s="4" t="n">
        <v>4</v>
      </c>
      <c r="C2199" s="4" t="inlineStr">
        <is>
          <t>whitetail</t>
        </is>
      </c>
      <c r="D2199" s="4" t="n">
        <v>2022</v>
      </c>
      <c r="E2199" s="13" t="inlineStr">
        <is>
          <t>General</t>
        </is>
      </c>
      <c r="F2199" s="5" t="n"/>
      <c r="G2199" s="5" t="n"/>
      <c r="H2199" s="5" t="n">
        <v>242</v>
      </c>
      <c r="I2199" s="5" t="n">
        <v>130</v>
      </c>
      <c r="J2199" s="5" t="n">
        <v>112</v>
      </c>
      <c r="K2199" s="10">
        <f>IF(F2199&gt;0,H2199/F2199,"")</f>
        <v/>
      </c>
      <c r="L2199" s="16">
        <f>IF(AND(G2199&gt;0,H2199&gt;0),G2199/H2199,"")</f>
        <v/>
      </c>
    </row>
    <row r="2200">
      <c r="A2200" s="4" t="inlineStr">
        <is>
          <t>418</t>
        </is>
      </c>
      <c r="B2200" s="4" t="n">
        <v>4</v>
      </c>
      <c r="C2200" s="4" t="inlineStr">
        <is>
          <t>whitetail</t>
        </is>
      </c>
      <c r="D2200" s="4" t="n">
        <v>2023</v>
      </c>
      <c r="E2200" s="13" t="inlineStr">
        <is>
          <t>General</t>
        </is>
      </c>
      <c r="F2200" s="5" t="n">
        <v>493</v>
      </c>
      <c r="G2200" s="5" t="n">
        <v>2643</v>
      </c>
      <c r="H2200" s="5" t="n">
        <v>138</v>
      </c>
      <c r="I2200" s="5" t="n">
        <v>76</v>
      </c>
      <c r="J2200" s="5" t="n">
        <v>60</v>
      </c>
      <c r="K2200" s="10">
        <f>IF(F2200&gt;0,H2200/F2200,"")</f>
        <v/>
      </c>
      <c r="L2200" s="16">
        <f>IF(AND(G2200&gt;0,H2200&gt;0),G2200/H2200,"")</f>
        <v/>
      </c>
    </row>
    <row r="2201">
      <c r="A2201" s="4" t="inlineStr">
        <is>
          <t>418</t>
        </is>
      </c>
      <c r="B2201" s="4" t="n">
        <v>4</v>
      </c>
      <c r="C2201" s="4" t="inlineStr">
        <is>
          <t>whitetail</t>
        </is>
      </c>
      <c r="D2201" s="4" t="n">
        <v>2024</v>
      </c>
      <c r="E2201" s="13" t="inlineStr">
        <is>
          <t>General</t>
        </is>
      </c>
      <c r="F2201" s="5" t="n"/>
      <c r="G2201" s="5" t="n"/>
      <c r="H2201" s="5" t="n">
        <v>199</v>
      </c>
      <c r="I2201" s="5" t="n">
        <v>119</v>
      </c>
      <c r="J2201" s="5" t="n">
        <v>78</v>
      </c>
      <c r="K2201" s="10">
        <f>IF(F2201&gt;0,H2201/F2201,"")</f>
        <v/>
      </c>
      <c r="L2201" s="16">
        <f>IF(AND(G2201&gt;0,H2201&gt;0),G2201/H2201,"")</f>
        <v/>
      </c>
    </row>
    <row r="2202">
      <c r="A2202" s="4" t="inlineStr">
        <is>
          <t>418</t>
        </is>
      </c>
      <c r="B2202" s="4" t="n">
        <v>4</v>
      </c>
      <c r="C2202" s="4" t="inlineStr">
        <is>
          <t>whitetail</t>
        </is>
      </c>
      <c r="D2202" s="4" t="n">
        <v>2025</v>
      </c>
      <c r="E2202" s="13" t="inlineStr">
        <is>
          <t>General</t>
        </is>
      </c>
      <c r="F2202" s="5" t="n">
        <v>495</v>
      </c>
      <c r="G2202" s="5" t="n">
        <v>4579</v>
      </c>
      <c r="H2202" s="5" t="n">
        <v>159</v>
      </c>
      <c r="I2202" s="5" t="n">
        <v>101</v>
      </c>
      <c r="J2202" s="5" t="n">
        <v>59</v>
      </c>
      <c r="K2202" s="10">
        <f>IF(F2202&gt;0,H2202/F2202,"")</f>
        <v/>
      </c>
      <c r="L2202" s="16">
        <f>IF(AND(G2202&gt;0,H2202&gt;0),G2202/H2202,"")</f>
        <v/>
      </c>
    </row>
    <row r="2203">
      <c r="A2203" s="4" t="inlineStr">
        <is>
          <t>419</t>
        </is>
      </c>
      <c r="B2203" s="4" t="n">
        <v>4</v>
      </c>
      <c r="C2203" s="4" t="inlineStr">
        <is>
          <t>whitetail</t>
        </is>
      </c>
      <c r="D2203" s="4" t="n">
        <v>2021</v>
      </c>
      <c r="E2203" s="13" t="inlineStr">
        <is>
          <t>General</t>
        </is>
      </c>
      <c r="F2203" s="5" t="n">
        <v>561</v>
      </c>
      <c r="G2203" s="5" t="n">
        <v>2567</v>
      </c>
      <c r="H2203" s="5" t="n">
        <v>127</v>
      </c>
      <c r="I2203" s="5" t="n">
        <v>93</v>
      </c>
      <c r="J2203" s="5" t="n">
        <v>34</v>
      </c>
      <c r="K2203" s="10">
        <f>IF(F2203&gt;0,H2203/F2203,"")</f>
        <v/>
      </c>
      <c r="L2203" s="16">
        <f>IF(AND(G2203&gt;0,H2203&gt;0),G2203/H2203,"")</f>
        <v/>
      </c>
    </row>
    <row r="2204">
      <c r="A2204" s="4" t="inlineStr">
        <is>
          <t>419</t>
        </is>
      </c>
      <c r="B2204" s="4" t="n">
        <v>4</v>
      </c>
      <c r="C2204" s="4" t="inlineStr">
        <is>
          <t>whitetail</t>
        </is>
      </c>
      <c r="D2204" s="4" t="n">
        <v>2022</v>
      </c>
      <c r="E2204" s="13" t="inlineStr">
        <is>
          <t>General</t>
        </is>
      </c>
      <c r="F2204" s="5" t="n"/>
      <c r="G2204" s="5" t="n"/>
      <c r="H2204" s="5" t="n">
        <v>225</v>
      </c>
      <c r="I2204" s="5" t="n">
        <v>137</v>
      </c>
      <c r="J2204" s="5" t="n">
        <v>88</v>
      </c>
      <c r="K2204" s="10">
        <f>IF(F2204&gt;0,H2204/F2204,"")</f>
        <v/>
      </c>
      <c r="L2204" s="16">
        <f>IF(AND(G2204&gt;0,H2204&gt;0),G2204/H2204,"")</f>
        <v/>
      </c>
    </row>
    <row r="2205">
      <c r="A2205" s="4" t="inlineStr">
        <is>
          <t>419</t>
        </is>
      </c>
      <c r="B2205" s="4" t="n">
        <v>4</v>
      </c>
      <c r="C2205" s="4" t="inlineStr">
        <is>
          <t>whitetail</t>
        </is>
      </c>
      <c r="D2205" s="4" t="n">
        <v>2023</v>
      </c>
      <c r="E2205" s="13" t="inlineStr">
        <is>
          <t>General</t>
        </is>
      </c>
      <c r="F2205" s="5" t="n">
        <v>648</v>
      </c>
      <c r="G2205" s="5" t="n">
        <v>3354</v>
      </c>
      <c r="H2205" s="5" t="n">
        <v>218</v>
      </c>
      <c r="I2205" s="5" t="n">
        <v>140</v>
      </c>
      <c r="J2205" s="5" t="n">
        <v>78</v>
      </c>
      <c r="K2205" s="10">
        <f>IF(F2205&gt;0,H2205/F2205,"")</f>
        <v/>
      </c>
      <c r="L2205" s="16">
        <f>IF(AND(G2205&gt;0,H2205&gt;0),G2205/H2205,"")</f>
        <v/>
      </c>
    </row>
    <row r="2206">
      <c r="A2206" s="4" t="inlineStr">
        <is>
          <t>419</t>
        </is>
      </c>
      <c r="B2206" s="4" t="n">
        <v>4</v>
      </c>
      <c r="C2206" s="4" t="inlineStr">
        <is>
          <t>whitetail</t>
        </is>
      </c>
      <c r="D2206" s="4" t="n">
        <v>2024</v>
      </c>
      <c r="E2206" s="13" t="inlineStr">
        <is>
          <t>General</t>
        </is>
      </c>
      <c r="F2206" s="5" t="n"/>
      <c r="G2206" s="5" t="n"/>
      <c r="H2206" s="5" t="n">
        <v>271</v>
      </c>
      <c r="I2206" s="5" t="n">
        <v>175</v>
      </c>
      <c r="J2206" s="5" t="n">
        <v>96</v>
      </c>
      <c r="K2206" s="10">
        <f>IF(F2206&gt;0,H2206/F2206,"")</f>
        <v/>
      </c>
      <c r="L2206" s="16">
        <f>IF(AND(G2206&gt;0,H2206&gt;0),G2206/H2206,"")</f>
        <v/>
      </c>
    </row>
    <row r="2207">
      <c r="A2207" s="4" t="inlineStr">
        <is>
          <t>419</t>
        </is>
      </c>
      <c r="B2207" s="4" t="n">
        <v>4</v>
      </c>
      <c r="C2207" s="4" t="inlineStr">
        <is>
          <t>whitetail</t>
        </is>
      </c>
      <c r="D2207" s="4" t="n">
        <v>2025</v>
      </c>
      <c r="E2207" s="13" t="inlineStr">
        <is>
          <t>General</t>
        </is>
      </c>
      <c r="F2207" s="5" t="n">
        <v>861</v>
      </c>
      <c r="G2207" s="5" t="n">
        <v>4469</v>
      </c>
      <c r="H2207" s="5" t="n">
        <v>228</v>
      </c>
      <c r="I2207" s="5" t="n">
        <v>131</v>
      </c>
      <c r="J2207" s="5" t="n">
        <v>96</v>
      </c>
      <c r="K2207" s="10">
        <f>IF(F2207&gt;0,H2207/F2207,"")</f>
        <v/>
      </c>
      <c r="L2207" s="16">
        <f>IF(AND(G2207&gt;0,H2207&gt;0),G2207/H2207,"")</f>
        <v/>
      </c>
    </row>
    <row r="2208">
      <c r="A2208" s="4" t="inlineStr">
        <is>
          <t>420</t>
        </is>
      </c>
      <c r="B2208" s="4" t="n">
        <v>4</v>
      </c>
      <c r="C2208" s="4" t="inlineStr">
        <is>
          <t>whitetail</t>
        </is>
      </c>
      <c r="D2208" s="4" t="n">
        <v>2021</v>
      </c>
      <c r="E2208" s="13" t="inlineStr">
        <is>
          <t>General</t>
        </is>
      </c>
      <c r="F2208" s="5" t="n">
        <v>300</v>
      </c>
      <c r="G2208" s="5" t="n">
        <v>1981</v>
      </c>
      <c r="H2208" s="5" t="n">
        <v>38</v>
      </c>
      <c r="I2208" s="5" t="n">
        <v>27</v>
      </c>
      <c r="J2208" s="5" t="n">
        <v>11</v>
      </c>
      <c r="K2208" s="10">
        <f>IF(F2208&gt;0,H2208/F2208,"")</f>
        <v/>
      </c>
      <c r="L2208" s="16">
        <f>IF(AND(G2208&gt;0,H2208&gt;0),G2208/H2208,"")</f>
        <v/>
      </c>
    </row>
    <row r="2209">
      <c r="A2209" s="4" t="inlineStr">
        <is>
          <t>420</t>
        </is>
      </c>
      <c r="B2209" s="4" t="n">
        <v>4</v>
      </c>
      <c r="C2209" s="4" t="inlineStr">
        <is>
          <t>whitetail</t>
        </is>
      </c>
      <c r="D2209" s="4" t="n">
        <v>2022</v>
      </c>
      <c r="E2209" s="13" t="inlineStr">
        <is>
          <t>General</t>
        </is>
      </c>
      <c r="F2209" s="5" t="n"/>
      <c r="G2209" s="5" t="n"/>
      <c r="H2209" s="5" t="n">
        <v>51</v>
      </c>
      <c r="I2209" s="5" t="n">
        <v>29</v>
      </c>
      <c r="J2209" s="5" t="n">
        <v>22</v>
      </c>
      <c r="K2209" s="10">
        <f>IF(F2209&gt;0,H2209/F2209,"")</f>
        <v/>
      </c>
      <c r="L2209" s="16">
        <f>IF(AND(G2209&gt;0,H2209&gt;0),G2209/H2209,"")</f>
        <v/>
      </c>
    </row>
    <row r="2210">
      <c r="A2210" s="4" t="inlineStr">
        <is>
          <t>420</t>
        </is>
      </c>
      <c r="B2210" s="4" t="n">
        <v>4</v>
      </c>
      <c r="C2210" s="4" t="inlineStr">
        <is>
          <t>whitetail</t>
        </is>
      </c>
      <c r="D2210" s="4" t="n">
        <v>2023</v>
      </c>
      <c r="E2210" s="13" t="inlineStr">
        <is>
          <t>General</t>
        </is>
      </c>
      <c r="F2210" s="5" t="n">
        <v>332</v>
      </c>
      <c r="G2210" s="5" t="n">
        <v>1921</v>
      </c>
      <c r="H2210" s="5" t="n">
        <v>52</v>
      </c>
      <c r="I2210" s="5" t="n">
        <v>26</v>
      </c>
      <c r="J2210" s="5" t="n">
        <v>23</v>
      </c>
      <c r="K2210" s="10">
        <f>IF(F2210&gt;0,H2210/F2210,"")</f>
        <v/>
      </c>
      <c r="L2210" s="16">
        <f>IF(AND(G2210&gt;0,H2210&gt;0),G2210/H2210,"")</f>
        <v/>
      </c>
    </row>
    <row r="2211">
      <c r="A2211" s="4" t="inlineStr">
        <is>
          <t>420</t>
        </is>
      </c>
      <c r="B2211" s="4" t="n">
        <v>4</v>
      </c>
      <c r="C2211" s="4" t="inlineStr">
        <is>
          <t>whitetail</t>
        </is>
      </c>
      <c r="D2211" s="4" t="n">
        <v>2024</v>
      </c>
      <c r="E2211" s="13" t="inlineStr">
        <is>
          <t>General</t>
        </is>
      </c>
      <c r="F2211" s="5" t="n"/>
      <c r="G2211" s="5" t="n"/>
      <c r="H2211" s="5" t="n">
        <v>43</v>
      </c>
      <c r="I2211" s="5" t="n">
        <v>22</v>
      </c>
      <c r="J2211" s="5" t="n">
        <v>22</v>
      </c>
      <c r="K2211" s="10">
        <f>IF(F2211&gt;0,H2211/F2211,"")</f>
        <v/>
      </c>
      <c r="L2211" s="16">
        <f>IF(AND(G2211&gt;0,H2211&gt;0),G2211/H2211,"")</f>
        <v/>
      </c>
    </row>
    <row r="2212">
      <c r="A2212" s="4" t="inlineStr">
        <is>
          <t>420</t>
        </is>
      </c>
      <c r="B2212" s="4" t="n">
        <v>4</v>
      </c>
      <c r="C2212" s="4" t="inlineStr">
        <is>
          <t>whitetail</t>
        </is>
      </c>
      <c r="D2212" s="4" t="n">
        <v>2025</v>
      </c>
      <c r="E2212" s="13" t="inlineStr">
        <is>
          <t>General</t>
        </is>
      </c>
      <c r="F2212" s="5" t="n">
        <v>382</v>
      </c>
      <c r="G2212" s="5" t="n">
        <v>2558</v>
      </c>
      <c r="H2212" s="5" t="n">
        <v>52</v>
      </c>
      <c r="I2212" s="5" t="n">
        <v>39</v>
      </c>
      <c r="J2212" s="5" t="n">
        <v>13</v>
      </c>
      <c r="K2212" s="10">
        <f>IF(F2212&gt;0,H2212/F2212,"")</f>
        <v/>
      </c>
      <c r="L2212" s="16">
        <f>IF(AND(G2212&gt;0,H2212&gt;0),G2212/H2212,"")</f>
        <v/>
      </c>
    </row>
    <row r="2213">
      <c r="A2213" s="4" t="inlineStr">
        <is>
          <t>421</t>
        </is>
      </c>
      <c r="B2213" s="4" t="n">
        <v>4</v>
      </c>
      <c r="C2213" s="4" t="inlineStr">
        <is>
          <t>whitetail</t>
        </is>
      </c>
      <c r="D2213" s="4" t="n">
        <v>2021</v>
      </c>
      <c r="E2213" s="13" t="inlineStr">
        <is>
          <t>General</t>
        </is>
      </c>
      <c r="F2213" s="5" t="n">
        <v>741</v>
      </c>
      <c r="G2213" s="5" t="n">
        <v>3178</v>
      </c>
      <c r="H2213" s="5" t="n">
        <v>251</v>
      </c>
      <c r="I2213" s="5" t="n">
        <v>156</v>
      </c>
      <c r="J2213" s="5" t="n">
        <v>95</v>
      </c>
      <c r="K2213" s="10">
        <f>IF(F2213&gt;0,H2213/F2213,"")</f>
        <v/>
      </c>
      <c r="L2213" s="16">
        <f>IF(AND(G2213&gt;0,H2213&gt;0),G2213/H2213,"")</f>
        <v/>
      </c>
    </row>
    <row r="2214">
      <c r="A2214" s="4" t="inlineStr">
        <is>
          <t>421</t>
        </is>
      </c>
      <c r="B2214" s="4" t="n">
        <v>4</v>
      </c>
      <c r="C2214" s="4" t="inlineStr">
        <is>
          <t>whitetail</t>
        </is>
      </c>
      <c r="D2214" s="4" t="n">
        <v>2022</v>
      </c>
      <c r="E2214" s="13" t="inlineStr">
        <is>
          <t>General</t>
        </is>
      </c>
      <c r="F2214" s="5" t="n"/>
      <c r="G2214" s="5" t="n"/>
      <c r="H2214" s="5" t="n">
        <v>379</v>
      </c>
      <c r="I2214" s="5" t="n">
        <v>203</v>
      </c>
      <c r="J2214" s="5" t="n">
        <v>170</v>
      </c>
      <c r="K2214" s="10">
        <f>IF(F2214&gt;0,H2214/F2214,"")</f>
        <v/>
      </c>
      <c r="L2214" s="16">
        <f>IF(AND(G2214&gt;0,H2214&gt;0),G2214/H2214,"")</f>
        <v/>
      </c>
    </row>
    <row r="2215">
      <c r="A2215" s="4" t="inlineStr">
        <is>
          <t>421</t>
        </is>
      </c>
      <c r="B2215" s="4" t="n">
        <v>4</v>
      </c>
      <c r="C2215" s="4" t="inlineStr">
        <is>
          <t>whitetail</t>
        </is>
      </c>
      <c r="D2215" s="4" t="n">
        <v>2023</v>
      </c>
      <c r="E2215" s="13" t="inlineStr">
        <is>
          <t>General</t>
        </is>
      </c>
      <c r="F2215" s="5" t="n">
        <v>1313</v>
      </c>
      <c r="G2215" s="5" t="n">
        <v>7340</v>
      </c>
      <c r="H2215" s="5" t="n">
        <v>427</v>
      </c>
      <c r="I2215" s="5" t="n">
        <v>230</v>
      </c>
      <c r="J2215" s="5" t="n">
        <v>198</v>
      </c>
      <c r="K2215" s="10">
        <f>IF(F2215&gt;0,H2215/F2215,"")</f>
        <v/>
      </c>
      <c r="L2215" s="16">
        <f>IF(AND(G2215&gt;0,H2215&gt;0),G2215/H2215,"")</f>
        <v/>
      </c>
    </row>
    <row r="2216">
      <c r="A2216" s="4" t="inlineStr">
        <is>
          <t>421</t>
        </is>
      </c>
      <c r="B2216" s="4" t="n">
        <v>4</v>
      </c>
      <c r="C2216" s="4" t="inlineStr">
        <is>
          <t>whitetail</t>
        </is>
      </c>
      <c r="D2216" s="4" t="n">
        <v>2024</v>
      </c>
      <c r="E2216" s="13" t="inlineStr">
        <is>
          <t>General</t>
        </is>
      </c>
      <c r="F2216" s="5" t="n"/>
      <c r="G2216" s="5" t="n"/>
      <c r="H2216" s="5" t="n">
        <v>407</v>
      </c>
      <c r="I2216" s="5" t="n">
        <v>252</v>
      </c>
      <c r="J2216" s="5" t="n">
        <v>152</v>
      </c>
      <c r="K2216" s="10">
        <f>IF(F2216&gt;0,H2216/F2216,"")</f>
        <v/>
      </c>
      <c r="L2216" s="16">
        <f>IF(AND(G2216&gt;0,H2216&gt;0),G2216/H2216,"")</f>
        <v/>
      </c>
    </row>
    <row r="2217">
      <c r="A2217" s="4" t="inlineStr">
        <is>
          <t>421</t>
        </is>
      </c>
      <c r="B2217" s="4" t="n">
        <v>4</v>
      </c>
      <c r="C2217" s="4" t="inlineStr">
        <is>
          <t>whitetail</t>
        </is>
      </c>
      <c r="D2217" s="4" t="n">
        <v>2025</v>
      </c>
      <c r="E2217" s="13" t="inlineStr">
        <is>
          <t>General</t>
        </is>
      </c>
      <c r="F2217" s="5" t="n">
        <v>1325</v>
      </c>
      <c r="G2217" s="5" t="n">
        <v>7802</v>
      </c>
      <c r="H2217" s="5" t="n">
        <v>397</v>
      </c>
      <c r="I2217" s="5" t="n">
        <v>218</v>
      </c>
      <c r="J2217" s="5" t="n">
        <v>176</v>
      </c>
      <c r="K2217" s="10">
        <f>IF(F2217&gt;0,H2217/F2217,"")</f>
        <v/>
      </c>
      <c r="L2217" s="16">
        <f>IF(AND(G2217&gt;0,H2217&gt;0),G2217/H2217,"")</f>
        <v/>
      </c>
    </row>
    <row r="2218">
      <c r="A2218" s="4" t="inlineStr">
        <is>
          <t>422</t>
        </is>
      </c>
      <c r="B2218" s="4" t="n">
        <v>4</v>
      </c>
      <c r="C2218" s="4" t="inlineStr">
        <is>
          <t>whitetail</t>
        </is>
      </c>
      <c r="D2218" s="4" t="n">
        <v>2021</v>
      </c>
      <c r="E2218" s="13" t="inlineStr">
        <is>
          <t>General</t>
        </is>
      </c>
      <c r="F2218" s="5" t="n">
        <v>462</v>
      </c>
      <c r="G2218" s="5" t="n">
        <v>2469</v>
      </c>
      <c r="H2218" s="5" t="n">
        <v>134</v>
      </c>
      <c r="I2218" s="5" t="n">
        <v>85</v>
      </c>
      <c r="J2218" s="5" t="n">
        <v>45</v>
      </c>
      <c r="K2218" s="10">
        <f>IF(F2218&gt;0,H2218/F2218,"")</f>
        <v/>
      </c>
      <c r="L2218" s="16">
        <f>IF(AND(G2218&gt;0,H2218&gt;0),G2218/H2218,"")</f>
        <v/>
      </c>
    </row>
    <row r="2219">
      <c r="A2219" s="4" t="inlineStr">
        <is>
          <t>422</t>
        </is>
      </c>
      <c r="B2219" s="4" t="n">
        <v>4</v>
      </c>
      <c r="C2219" s="4" t="inlineStr">
        <is>
          <t>whitetail</t>
        </is>
      </c>
      <c r="D2219" s="4" t="n">
        <v>2022</v>
      </c>
      <c r="E2219" s="13" t="inlineStr">
        <is>
          <t>General</t>
        </is>
      </c>
      <c r="F2219" s="5" t="n"/>
      <c r="G2219" s="5" t="n"/>
      <c r="H2219" s="5" t="n">
        <v>119</v>
      </c>
      <c r="I2219" s="5" t="n">
        <v>68</v>
      </c>
      <c r="J2219" s="5" t="n">
        <v>51</v>
      </c>
      <c r="K2219" s="10">
        <f>IF(F2219&gt;0,H2219/F2219,"")</f>
        <v/>
      </c>
      <c r="L2219" s="16">
        <f>IF(AND(G2219&gt;0,H2219&gt;0),G2219/H2219,"")</f>
        <v/>
      </c>
    </row>
    <row r="2220">
      <c r="A2220" s="4" t="inlineStr">
        <is>
          <t>422</t>
        </is>
      </c>
      <c r="B2220" s="4" t="n">
        <v>4</v>
      </c>
      <c r="C2220" s="4" t="inlineStr">
        <is>
          <t>whitetail</t>
        </is>
      </c>
      <c r="D2220" s="4" t="n">
        <v>2023</v>
      </c>
      <c r="E2220" s="13" t="inlineStr">
        <is>
          <t>General</t>
        </is>
      </c>
      <c r="F2220" s="5" t="n">
        <v>597</v>
      </c>
      <c r="G2220" s="5" t="n">
        <v>3396</v>
      </c>
      <c r="H2220" s="5" t="n">
        <v>195</v>
      </c>
      <c r="I2220" s="5" t="n">
        <v>108</v>
      </c>
      <c r="J2220" s="5" t="n">
        <v>81</v>
      </c>
      <c r="K2220" s="10">
        <f>IF(F2220&gt;0,H2220/F2220,"")</f>
        <v/>
      </c>
      <c r="L2220" s="16">
        <f>IF(AND(G2220&gt;0,H2220&gt;0),G2220/H2220,"")</f>
        <v/>
      </c>
    </row>
    <row r="2221">
      <c r="A2221" s="4" t="inlineStr">
        <is>
          <t>422</t>
        </is>
      </c>
      <c r="B2221" s="4" t="n">
        <v>4</v>
      </c>
      <c r="C2221" s="4" t="inlineStr">
        <is>
          <t>whitetail</t>
        </is>
      </c>
      <c r="D2221" s="4" t="n">
        <v>2024</v>
      </c>
      <c r="E2221" s="13" t="inlineStr">
        <is>
          <t>General</t>
        </is>
      </c>
      <c r="F2221" s="5" t="n"/>
      <c r="G2221" s="5" t="n"/>
      <c r="H2221" s="5" t="n">
        <v>137</v>
      </c>
      <c r="I2221" s="5" t="n">
        <v>78</v>
      </c>
      <c r="J2221" s="5" t="n">
        <v>59</v>
      </c>
      <c r="K2221" s="10">
        <f>IF(F2221&gt;0,H2221/F2221,"")</f>
        <v/>
      </c>
      <c r="L2221" s="16">
        <f>IF(AND(G2221&gt;0,H2221&gt;0),G2221/H2221,"")</f>
        <v/>
      </c>
    </row>
    <row r="2222">
      <c r="A2222" s="4" t="inlineStr">
        <is>
          <t>422</t>
        </is>
      </c>
      <c r="B2222" s="4" t="n">
        <v>4</v>
      </c>
      <c r="C2222" s="4" t="inlineStr">
        <is>
          <t>whitetail</t>
        </is>
      </c>
      <c r="D2222" s="4" t="n">
        <v>2025</v>
      </c>
      <c r="E2222" s="13" t="inlineStr">
        <is>
          <t>General</t>
        </is>
      </c>
      <c r="F2222" s="5" t="n">
        <v>714</v>
      </c>
      <c r="G2222" s="5" t="n">
        <v>4040</v>
      </c>
      <c r="H2222" s="5" t="n">
        <v>187</v>
      </c>
      <c r="I2222" s="5" t="n">
        <v>77</v>
      </c>
      <c r="J2222" s="5" t="n">
        <v>110</v>
      </c>
      <c r="K2222" s="10">
        <f>IF(F2222&gt;0,H2222/F2222,"")</f>
        <v/>
      </c>
      <c r="L2222" s="16">
        <f>IF(AND(G2222&gt;0,H2222&gt;0),G2222/H2222,"")</f>
        <v/>
      </c>
    </row>
    <row r="2223">
      <c r="A2223" s="4" t="inlineStr">
        <is>
          <t>423</t>
        </is>
      </c>
      <c r="B2223" s="4" t="n">
        <v>4</v>
      </c>
      <c r="C2223" s="4" t="inlineStr">
        <is>
          <t>whitetail</t>
        </is>
      </c>
      <c r="D2223" s="4" t="n">
        <v>2021</v>
      </c>
      <c r="E2223" s="4" t="inlineStr"/>
      <c r="F2223" s="5" t="n">
        <v>378</v>
      </c>
      <c r="G2223" s="5" t="n">
        <v>1731</v>
      </c>
      <c r="H2223" s="5" t="n">
        <v>110</v>
      </c>
      <c r="I2223" s="5" t="n">
        <v>80</v>
      </c>
      <c r="J2223" s="5" t="n">
        <v>30</v>
      </c>
      <c r="K2223" s="10">
        <f>IF(F2223&gt;0,H2223/F2223,"")</f>
        <v/>
      </c>
      <c r="L2223" s="16">
        <f>IF(AND(G2223&gt;0,H2223&gt;0),G2223/H2223,"")</f>
        <v/>
      </c>
    </row>
    <row r="2224">
      <c r="A2224" s="4" t="inlineStr">
        <is>
          <t>424</t>
        </is>
      </c>
      <c r="B2224" s="4" t="n">
        <v>4</v>
      </c>
      <c r="C2224" s="4" t="inlineStr">
        <is>
          <t>whitetail</t>
        </is>
      </c>
      <c r="D2224" s="4" t="n">
        <v>2021</v>
      </c>
      <c r="E2224" s="13" t="inlineStr">
        <is>
          <t>General</t>
        </is>
      </c>
      <c r="F2224" s="5" t="n">
        <v>175</v>
      </c>
      <c r="G2224" s="5" t="n">
        <v>1273</v>
      </c>
      <c r="H2224" s="5" t="n">
        <v>12</v>
      </c>
      <c r="I2224" s="5" t="n">
        <v>8</v>
      </c>
      <c r="J2224" s="5" t="n">
        <v>4</v>
      </c>
      <c r="K2224" s="10">
        <f>IF(F2224&gt;0,H2224/F2224,"")</f>
        <v/>
      </c>
      <c r="L2224" s="16">
        <f>IF(AND(G2224&gt;0,H2224&gt;0),G2224/H2224,"")</f>
        <v/>
      </c>
    </row>
    <row r="2225">
      <c r="A2225" s="4" t="inlineStr">
        <is>
          <t>424</t>
        </is>
      </c>
      <c r="B2225" s="4" t="n">
        <v>4</v>
      </c>
      <c r="C2225" s="4" t="inlineStr">
        <is>
          <t>whitetail</t>
        </is>
      </c>
      <c r="D2225" s="4" t="n">
        <v>2022</v>
      </c>
      <c r="E2225" s="13" t="inlineStr">
        <is>
          <t>General</t>
        </is>
      </c>
      <c r="F2225" s="5" t="n"/>
      <c r="G2225" s="5" t="n"/>
      <c r="H2225" s="5" t="n">
        <v>23</v>
      </c>
      <c r="I2225" s="5" t="n">
        <v>13</v>
      </c>
      <c r="J2225" s="5" t="n">
        <v>9</v>
      </c>
      <c r="K2225" s="10">
        <f>IF(F2225&gt;0,H2225/F2225,"")</f>
        <v/>
      </c>
      <c r="L2225" s="16">
        <f>IF(AND(G2225&gt;0,H2225&gt;0),G2225/H2225,"")</f>
        <v/>
      </c>
    </row>
    <row r="2226">
      <c r="A2226" s="4" t="inlineStr">
        <is>
          <t>424</t>
        </is>
      </c>
      <c r="B2226" s="4" t="n">
        <v>4</v>
      </c>
      <c r="C2226" s="4" t="inlineStr">
        <is>
          <t>whitetail</t>
        </is>
      </c>
      <c r="D2226" s="4" t="n">
        <v>2023</v>
      </c>
      <c r="E2226" s="13" t="inlineStr">
        <is>
          <t>General</t>
        </is>
      </c>
      <c r="F2226" s="5" t="n">
        <v>168</v>
      </c>
      <c r="G2226" s="5" t="n">
        <v>861</v>
      </c>
      <c r="H2226" s="5" t="n">
        <v>7</v>
      </c>
      <c r="I2226" s="5" t="n">
        <v>7</v>
      </c>
      <c r="J2226" s="5" t="n">
        <v>0</v>
      </c>
      <c r="K2226" s="10">
        <f>IF(F2226&gt;0,H2226/F2226,"")</f>
        <v/>
      </c>
      <c r="L2226" s="16">
        <f>IF(AND(G2226&gt;0,H2226&gt;0),G2226/H2226,"")</f>
        <v/>
      </c>
    </row>
    <row r="2227">
      <c r="A2227" s="4" t="inlineStr">
        <is>
          <t>424</t>
        </is>
      </c>
      <c r="B2227" s="4" t="n">
        <v>4</v>
      </c>
      <c r="C2227" s="4" t="inlineStr">
        <is>
          <t>whitetail</t>
        </is>
      </c>
      <c r="D2227" s="4" t="n">
        <v>2024</v>
      </c>
      <c r="E2227" s="13" t="inlineStr">
        <is>
          <t>General</t>
        </is>
      </c>
      <c r="F2227" s="5" t="n"/>
      <c r="G2227" s="5" t="n"/>
      <c r="H2227" s="5" t="n">
        <v>15</v>
      </c>
      <c r="I2227" s="5" t="n">
        <v>3</v>
      </c>
      <c r="J2227" s="5" t="n">
        <v>12</v>
      </c>
      <c r="K2227" s="10">
        <f>IF(F2227&gt;0,H2227/F2227,"")</f>
        <v/>
      </c>
      <c r="L2227" s="16">
        <f>IF(AND(G2227&gt;0,H2227&gt;0),G2227/H2227,"")</f>
        <v/>
      </c>
    </row>
    <row r="2228">
      <c r="A2228" s="4" t="inlineStr">
        <is>
          <t>424</t>
        </is>
      </c>
      <c r="B2228" s="4" t="n">
        <v>4</v>
      </c>
      <c r="C2228" s="4" t="inlineStr">
        <is>
          <t>whitetail</t>
        </is>
      </c>
      <c r="D2228" s="4" t="n">
        <v>2025</v>
      </c>
      <c r="E2228" s="13" t="inlineStr">
        <is>
          <t>General</t>
        </is>
      </c>
      <c r="F2228" s="5" t="n">
        <v>217</v>
      </c>
      <c r="G2228" s="5" t="n">
        <v>1328</v>
      </c>
      <c r="H2228" s="5" t="n">
        <v>62</v>
      </c>
      <c r="I2228" s="5" t="n">
        <v>21</v>
      </c>
      <c r="J2228" s="5" t="n">
        <v>41</v>
      </c>
      <c r="K2228" s="10">
        <f>IF(F2228&gt;0,H2228/F2228,"")</f>
        <v/>
      </c>
      <c r="L2228" s="16">
        <f>IF(AND(G2228&gt;0,H2228&gt;0),G2228/H2228,"")</f>
        <v/>
      </c>
    </row>
    <row r="2229">
      <c r="A2229" s="4" t="inlineStr">
        <is>
          <t>425</t>
        </is>
      </c>
      <c r="B2229" s="4" t="n">
        <v>4</v>
      </c>
      <c r="C2229" s="4" t="inlineStr">
        <is>
          <t>whitetail</t>
        </is>
      </c>
      <c r="D2229" s="4" t="n">
        <v>2021</v>
      </c>
      <c r="E2229" s="13" t="inlineStr">
        <is>
          <t>General</t>
        </is>
      </c>
      <c r="F2229" s="5" t="n">
        <v>487</v>
      </c>
      <c r="G2229" s="5" t="n">
        <v>3082</v>
      </c>
      <c r="H2229" s="5" t="n">
        <v>106</v>
      </c>
      <c r="I2229" s="5" t="n">
        <v>67</v>
      </c>
      <c r="J2229" s="5" t="n">
        <v>39</v>
      </c>
      <c r="K2229" s="10">
        <f>IF(F2229&gt;0,H2229/F2229,"")</f>
        <v/>
      </c>
      <c r="L2229" s="16">
        <f>IF(AND(G2229&gt;0,H2229&gt;0),G2229/H2229,"")</f>
        <v/>
      </c>
    </row>
    <row r="2230">
      <c r="A2230" s="4" t="inlineStr">
        <is>
          <t>425</t>
        </is>
      </c>
      <c r="B2230" s="4" t="n">
        <v>4</v>
      </c>
      <c r="C2230" s="4" t="inlineStr">
        <is>
          <t>whitetail</t>
        </is>
      </c>
      <c r="D2230" s="4" t="n">
        <v>2022</v>
      </c>
      <c r="E2230" s="13" t="inlineStr">
        <is>
          <t>General</t>
        </is>
      </c>
      <c r="F2230" s="5" t="n"/>
      <c r="G2230" s="5" t="n"/>
      <c r="H2230" s="5" t="n">
        <v>115</v>
      </c>
      <c r="I2230" s="5" t="n">
        <v>55</v>
      </c>
      <c r="J2230" s="5" t="n">
        <v>60</v>
      </c>
      <c r="K2230" s="10">
        <f>IF(F2230&gt;0,H2230/F2230,"")</f>
        <v/>
      </c>
      <c r="L2230" s="16">
        <f>IF(AND(G2230&gt;0,H2230&gt;0),G2230/H2230,"")</f>
        <v/>
      </c>
    </row>
    <row r="2231">
      <c r="A2231" s="4" t="inlineStr">
        <is>
          <t>425</t>
        </is>
      </c>
      <c r="B2231" s="4" t="n">
        <v>4</v>
      </c>
      <c r="C2231" s="4" t="inlineStr">
        <is>
          <t>whitetail</t>
        </is>
      </c>
      <c r="D2231" s="4" t="n">
        <v>2023</v>
      </c>
      <c r="E2231" s="13" t="inlineStr">
        <is>
          <t>General</t>
        </is>
      </c>
      <c r="F2231" s="5" t="n">
        <v>534</v>
      </c>
      <c r="G2231" s="5" t="n">
        <v>2688</v>
      </c>
      <c r="H2231" s="5" t="n">
        <v>132</v>
      </c>
      <c r="I2231" s="5" t="n">
        <v>92</v>
      </c>
      <c r="J2231" s="5" t="n">
        <v>41</v>
      </c>
      <c r="K2231" s="10">
        <f>IF(F2231&gt;0,H2231/F2231,"")</f>
        <v/>
      </c>
      <c r="L2231" s="16">
        <f>IF(AND(G2231&gt;0,H2231&gt;0),G2231/H2231,"")</f>
        <v/>
      </c>
    </row>
    <row r="2232">
      <c r="A2232" s="4" t="inlineStr">
        <is>
          <t>425</t>
        </is>
      </c>
      <c r="B2232" s="4" t="n">
        <v>4</v>
      </c>
      <c r="C2232" s="4" t="inlineStr">
        <is>
          <t>whitetail</t>
        </is>
      </c>
      <c r="D2232" s="4" t="n">
        <v>2024</v>
      </c>
      <c r="E2232" s="13" t="inlineStr">
        <is>
          <t>General</t>
        </is>
      </c>
      <c r="F2232" s="5" t="n"/>
      <c r="G2232" s="5" t="n"/>
      <c r="H2232" s="5" t="n">
        <v>110</v>
      </c>
      <c r="I2232" s="5" t="n">
        <v>51</v>
      </c>
      <c r="J2232" s="5" t="n">
        <v>57</v>
      </c>
      <c r="K2232" s="10">
        <f>IF(F2232&gt;0,H2232/F2232,"")</f>
        <v/>
      </c>
      <c r="L2232" s="16">
        <f>IF(AND(G2232&gt;0,H2232&gt;0),G2232/H2232,"")</f>
        <v/>
      </c>
    </row>
    <row r="2233">
      <c r="A2233" s="4" t="inlineStr">
        <is>
          <t>425</t>
        </is>
      </c>
      <c r="B2233" s="4" t="n">
        <v>4</v>
      </c>
      <c r="C2233" s="4" t="inlineStr">
        <is>
          <t>whitetail</t>
        </is>
      </c>
      <c r="D2233" s="4" t="n">
        <v>2025</v>
      </c>
      <c r="E2233" s="13" t="inlineStr">
        <is>
          <t>General</t>
        </is>
      </c>
      <c r="F2233" s="5" t="n">
        <v>531</v>
      </c>
      <c r="G2233" s="5" t="n">
        <v>3020</v>
      </c>
      <c r="H2233" s="5" t="n">
        <v>114</v>
      </c>
      <c r="I2233" s="5" t="n">
        <v>61</v>
      </c>
      <c r="J2233" s="5" t="n">
        <v>53</v>
      </c>
      <c r="K2233" s="10">
        <f>IF(F2233&gt;0,H2233/F2233,"")</f>
        <v/>
      </c>
      <c r="L2233" s="16">
        <f>IF(AND(G2233&gt;0,H2233&gt;0),G2233/H2233,"")</f>
        <v/>
      </c>
    </row>
    <row r="2234">
      <c r="A2234" s="4" t="inlineStr">
        <is>
          <t>426</t>
        </is>
      </c>
      <c r="B2234" s="4" t="n">
        <v>4</v>
      </c>
      <c r="C2234" s="4" t="inlineStr">
        <is>
          <t>whitetail</t>
        </is>
      </c>
      <c r="D2234" s="4" t="n">
        <v>2021</v>
      </c>
      <c r="E2234" s="13" t="inlineStr">
        <is>
          <t>General</t>
        </is>
      </c>
      <c r="F2234" s="5" t="n">
        <v>1419</v>
      </c>
      <c r="G2234" s="5" t="n">
        <v>6958</v>
      </c>
      <c r="H2234" s="5" t="n">
        <v>127</v>
      </c>
      <c r="I2234" s="5" t="n">
        <v>83</v>
      </c>
      <c r="J2234" s="5" t="n">
        <v>44</v>
      </c>
      <c r="K2234" s="10">
        <f>IF(F2234&gt;0,H2234/F2234,"")</f>
        <v/>
      </c>
      <c r="L2234" s="16">
        <f>IF(AND(G2234&gt;0,H2234&gt;0),G2234/H2234,"")</f>
        <v/>
      </c>
    </row>
    <row r="2235">
      <c r="A2235" s="4" t="inlineStr">
        <is>
          <t>426</t>
        </is>
      </c>
      <c r="B2235" s="4" t="n">
        <v>4</v>
      </c>
      <c r="C2235" s="4" t="inlineStr">
        <is>
          <t>whitetail</t>
        </is>
      </c>
      <c r="D2235" s="4" t="n">
        <v>2022</v>
      </c>
      <c r="E2235" s="13" t="inlineStr">
        <is>
          <t>General</t>
        </is>
      </c>
      <c r="F2235" s="5" t="n"/>
      <c r="G2235" s="5" t="n"/>
      <c r="H2235" s="5" t="n">
        <v>159</v>
      </c>
      <c r="I2235" s="5" t="n">
        <v>88</v>
      </c>
      <c r="J2235" s="5" t="n">
        <v>70</v>
      </c>
      <c r="K2235" s="10">
        <f>IF(F2235&gt;0,H2235/F2235,"")</f>
        <v/>
      </c>
      <c r="L2235" s="16">
        <f>IF(AND(G2235&gt;0,H2235&gt;0),G2235/H2235,"")</f>
        <v/>
      </c>
    </row>
    <row r="2236">
      <c r="A2236" s="4" t="inlineStr">
        <is>
          <t>426</t>
        </is>
      </c>
      <c r="B2236" s="4" t="n">
        <v>4</v>
      </c>
      <c r="C2236" s="4" t="inlineStr">
        <is>
          <t>whitetail</t>
        </is>
      </c>
      <c r="D2236" s="4" t="n">
        <v>2023</v>
      </c>
      <c r="E2236" s="13" t="inlineStr">
        <is>
          <t>General</t>
        </is>
      </c>
      <c r="F2236" s="5" t="n">
        <v>1038</v>
      </c>
      <c r="G2236" s="5" t="n">
        <v>4844</v>
      </c>
      <c r="H2236" s="5" t="n">
        <v>138</v>
      </c>
      <c r="I2236" s="5" t="n">
        <v>90</v>
      </c>
      <c r="J2236" s="5" t="n">
        <v>49</v>
      </c>
      <c r="K2236" s="10">
        <f>IF(F2236&gt;0,H2236/F2236,"")</f>
        <v/>
      </c>
      <c r="L2236" s="16">
        <f>IF(AND(G2236&gt;0,H2236&gt;0),G2236/H2236,"")</f>
        <v/>
      </c>
    </row>
    <row r="2237">
      <c r="A2237" s="4" t="inlineStr">
        <is>
          <t>426</t>
        </is>
      </c>
      <c r="B2237" s="4" t="n">
        <v>4</v>
      </c>
      <c r="C2237" s="4" t="inlineStr">
        <is>
          <t>whitetail</t>
        </is>
      </c>
      <c r="D2237" s="4" t="n">
        <v>2024</v>
      </c>
      <c r="E2237" s="13" t="inlineStr">
        <is>
          <t>General</t>
        </is>
      </c>
      <c r="F2237" s="5" t="n"/>
      <c r="G2237" s="5" t="n"/>
      <c r="H2237" s="5" t="n">
        <v>129</v>
      </c>
      <c r="I2237" s="5" t="n">
        <v>88</v>
      </c>
      <c r="J2237" s="5" t="n">
        <v>41</v>
      </c>
      <c r="K2237" s="10">
        <f>IF(F2237&gt;0,H2237/F2237,"")</f>
        <v/>
      </c>
      <c r="L2237" s="16">
        <f>IF(AND(G2237&gt;0,H2237&gt;0),G2237/H2237,"")</f>
        <v/>
      </c>
    </row>
    <row r="2238">
      <c r="A2238" s="4" t="inlineStr">
        <is>
          <t>426</t>
        </is>
      </c>
      <c r="B2238" s="4" t="n">
        <v>4</v>
      </c>
      <c r="C2238" s="4" t="inlineStr">
        <is>
          <t>whitetail</t>
        </is>
      </c>
      <c r="D2238" s="4" t="n">
        <v>2025</v>
      </c>
      <c r="E2238" s="13" t="inlineStr">
        <is>
          <t>General</t>
        </is>
      </c>
      <c r="F2238" s="5" t="n">
        <v>835</v>
      </c>
      <c r="G2238" s="5" t="n">
        <v>4337</v>
      </c>
      <c r="H2238" s="5" t="n">
        <v>113</v>
      </c>
      <c r="I2238" s="5" t="n">
        <v>51</v>
      </c>
      <c r="J2238" s="5" t="n">
        <v>55</v>
      </c>
      <c r="K2238" s="10">
        <f>IF(F2238&gt;0,H2238/F2238,"")</f>
        <v/>
      </c>
      <c r="L2238" s="16">
        <f>IF(AND(G2238&gt;0,H2238&gt;0),G2238/H2238,"")</f>
        <v/>
      </c>
    </row>
    <row r="2239">
      <c r="A2239" s="4" t="inlineStr">
        <is>
          <t>432</t>
        </is>
      </c>
      <c r="B2239" s="4" t="n">
        <v>4</v>
      </c>
      <c r="C2239" s="4" t="inlineStr">
        <is>
          <t>whitetail</t>
        </is>
      </c>
      <c r="D2239" s="4" t="n">
        <v>2021</v>
      </c>
      <c r="E2239" s="13" t="inlineStr">
        <is>
          <t>General</t>
        </is>
      </c>
      <c r="F2239" s="5" t="n">
        <v>691</v>
      </c>
      <c r="G2239" s="5" t="n">
        <v>3436</v>
      </c>
      <c r="H2239" s="5" t="n">
        <v>75</v>
      </c>
      <c r="I2239" s="5" t="n">
        <v>35</v>
      </c>
      <c r="J2239" s="5" t="n">
        <v>40</v>
      </c>
      <c r="K2239" s="10">
        <f>IF(F2239&gt;0,H2239/F2239,"")</f>
        <v/>
      </c>
      <c r="L2239" s="16">
        <f>IF(AND(G2239&gt;0,H2239&gt;0),G2239/H2239,"")</f>
        <v/>
      </c>
    </row>
    <row r="2240">
      <c r="A2240" s="4" t="inlineStr">
        <is>
          <t>441</t>
        </is>
      </c>
      <c r="B2240" s="4" t="n">
        <v>4</v>
      </c>
      <c r="C2240" s="4" t="inlineStr">
        <is>
          <t>whitetail</t>
        </is>
      </c>
      <c r="D2240" s="4" t="n">
        <v>2021</v>
      </c>
      <c r="E2240" s="13" t="inlineStr">
        <is>
          <t>General</t>
        </is>
      </c>
      <c r="F2240" s="5" t="n">
        <v>526</v>
      </c>
      <c r="G2240" s="5" t="n">
        <v>3273</v>
      </c>
      <c r="H2240" s="5" t="n">
        <v>137</v>
      </c>
      <c r="I2240" s="5" t="n">
        <v>89</v>
      </c>
      <c r="J2240" s="5" t="n">
        <v>48</v>
      </c>
      <c r="K2240" s="10">
        <f>IF(F2240&gt;0,H2240/F2240,"")</f>
        <v/>
      </c>
      <c r="L2240" s="16">
        <f>IF(AND(G2240&gt;0,H2240&gt;0),G2240/H2240,"")</f>
        <v/>
      </c>
    </row>
    <row r="2241">
      <c r="A2241" s="4" t="inlineStr">
        <is>
          <t>441</t>
        </is>
      </c>
      <c r="B2241" s="4" t="n">
        <v>4</v>
      </c>
      <c r="C2241" s="4" t="inlineStr">
        <is>
          <t>whitetail</t>
        </is>
      </c>
      <c r="D2241" s="4" t="n">
        <v>2022</v>
      </c>
      <c r="E2241" s="13" t="inlineStr">
        <is>
          <t>General</t>
        </is>
      </c>
      <c r="F2241" s="5" t="n"/>
      <c r="G2241" s="5" t="n"/>
      <c r="H2241" s="5" t="n">
        <v>161</v>
      </c>
      <c r="I2241" s="5" t="n">
        <v>100</v>
      </c>
      <c r="J2241" s="5" t="n">
        <v>62</v>
      </c>
      <c r="K2241" s="10">
        <f>IF(F2241&gt;0,H2241/F2241,"")</f>
        <v/>
      </c>
      <c r="L2241" s="16">
        <f>IF(AND(G2241&gt;0,H2241&gt;0),G2241/H2241,"")</f>
        <v/>
      </c>
    </row>
    <row r="2242">
      <c r="A2242" s="4" t="inlineStr">
        <is>
          <t>441</t>
        </is>
      </c>
      <c r="B2242" s="4" t="n">
        <v>4</v>
      </c>
      <c r="C2242" s="4" t="inlineStr">
        <is>
          <t>whitetail</t>
        </is>
      </c>
      <c r="D2242" s="4" t="n">
        <v>2023</v>
      </c>
      <c r="E2242" s="13" t="inlineStr">
        <is>
          <t>General</t>
        </is>
      </c>
      <c r="F2242" s="5" t="n">
        <v>631</v>
      </c>
      <c r="G2242" s="5" t="n">
        <v>3567</v>
      </c>
      <c r="H2242" s="5" t="n">
        <v>185</v>
      </c>
      <c r="I2242" s="5" t="n">
        <v>101</v>
      </c>
      <c r="J2242" s="5" t="n">
        <v>81</v>
      </c>
      <c r="K2242" s="10">
        <f>IF(F2242&gt;0,H2242/F2242,"")</f>
        <v/>
      </c>
      <c r="L2242" s="16">
        <f>IF(AND(G2242&gt;0,H2242&gt;0),G2242/H2242,"")</f>
        <v/>
      </c>
    </row>
    <row r="2243">
      <c r="A2243" s="4" t="inlineStr">
        <is>
          <t>441</t>
        </is>
      </c>
      <c r="B2243" s="4" t="n">
        <v>4</v>
      </c>
      <c r="C2243" s="4" t="inlineStr">
        <is>
          <t>whitetail</t>
        </is>
      </c>
      <c r="D2243" s="4" t="n">
        <v>2024</v>
      </c>
      <c r="E2243" s="13" t="inlineStr">
        <is>
          <t>General</t>
        </is>
      </c>
      <c r="F2243" s="5" t="n"/>
      <c r="G2243" s="5" t="n"/>
      <c r="H2243" s="5" t="n">
        <v>149</v>
      </c>
      <c r="I2243" s="5" t="n">
        <v>81</v>
      </c>
      <c r="J2243" s="5" t="n">
        <v>68</v>
      </c>
      <c r="K2243" s="10">
        <f>IF(F2243&gt;0,H2243/F2243,"")</f>
        <v/>
      </c>
      <c r="L2243" s="16">
        <f>IF(AND(G2243&gt;0,H2243&gt;0),G2243/H2243,"")</f>
        <v/>
      </c>
    </row>
    <row r="2244">
      <c r="A2244" s="4" t="inlineStr">
        <is>
          <t>441</t>
        </is>
      </c>
      <c r="B2244" s="4" t="n">
        <v>4</v>
      </c>
      <c r="C2244" s="4" t="inlineStr">
        <is>
          <t>whitetail</t>
        </is>
      </c>
      <c r="D2244" s="4" t="n">
        <v>2025</v>
      </c>
      <c r="E2244" s="13" t="inlineStr">
        <is>
          <t>General</t>
        </is>
      </c>
      <c r="F2244" s="5" t="n">
        <v>532</v>
      </c>
      <c r="G2244" s="5" t="n">
        <v>3236</v>
      </c>
      <c r="H2244" s="5" t="n">
        <v>144</v>
      </c>
      <c r="I2244" s="5" t="n">
        <v>97</v>
      </c>
      <c r="J2244" s="5" t="n">
        <v>43</v>
      </c>
      <c r="K2244" s="10">
        <f>IF(F2244&gt;0,H2244/F2244,"")</f>
        <v/>
      </c>
      <c r="L2244" s="16">
        <f>IF(AND(G2244&gt;0,H2244&gt;0),G2244/H2244,"")</f>
        <v/>
      </c>
    </row>
    <row r="2245">
      <c r="A2245" s="4" t="inlineStr">
        <is>
          <t>442</t>
        </is>
      </c>
      <c r="B2245" s="4" t="n">
        <v>4</v>
      </c>
      <c r="C2245" s="4" t="inlineStr">
        <is>
          <t>whitetail</t>
        </is>
      </c>
      <c r="D2245" s="4" t="n">
        <v>2021</v>
      </c>
      <c r="E2245" s="13" t="inlineStr">
        <is>
          <t>General</t>
        </is>
      </c>
      <c r="F2245" s="5" t="n">
        <v>498</v>
      </c>
      <c r="G2245" s="5" t="n">
        <v>2747</v>
      </c>
      <c r="H2245" s="5" t="n">
        <v>70</v>
      </c>
      <c r="I2245" s="5" t="n">
        <v>55</v>
      </c>
      <c r="J2245" s="5" t="n">
        <v>15</v>
      </c>
      <c r="K2245" s="10">
        <f>IF(F2245&gt;0,H2245/F2245,"")</f>
        <v/>
      </c>
      <c r="L2245" s="16">
        <f>IF(AND(G2245&gt;0,H2245&gt;0),G2245/H2245,"")</f>
        <v/>
      </c>
    </row>
    <row r="2246">
      <c r="A2246" s="4" t="inlineStr">
        <is>
          <t>442</t>
        </is>
      </c>
      <c r="B2246" s="4" t="n">
        <v>4</v>
      </c>
      <c r="C2246" s="4" t="inlineStr">
        <is>
          <t>whitetail</t>
        </is>
      </c>
      <c r="D2246" s="4" t="n">
        <v>2022</v>
      </c>
      <c r="E2246" s="13" t="inlineStr">
        <is>
          <t>General</t>
        </is>
      </c>
      <c r="F2246" s="5" t="n"/>
      <c r="G2246" s="5" t="n"/>
      <c r="H2246" s="5" t="n">
        <v>90</v>
      </c>
      <c r="I2246" s="5" t="n">
        <v>52</v>
      </c>
      <c r="J2246" s="5" t="n">
        <v>38</v>
      </c>
      <c r="K2246" s="10">
        <f>IF(F2246&gt;0,H2246/F2246,"")</f>
        <v/>
      </c>
      <c r="L2246" s="16">
        <f>IF(AND(G2246&gt;0,H2246&gt;0),G2246/H2246,"")</f>
        <v/>
      </c>
    </row>
    <row r="2247">
      <c r="A2247" s="4" t="inlineStr">
        <is>
          <t>442</t>
        </is>
      </c>
      <c r="B2247" s="4" t="n">
        <v>4</v>
      </c>
      <c r="C2247" s="4" t="inlineStr">
        <is>
          <t>whitetail</t>
        </is>
      </c>
      <c r="D2247" s="4" t="n">
        <v>2023</v>
      </c>
      <c r="E2247" s="13" t="inlineStr">
        <is>
          <t>General</t>
        </is>
      </c>
      <c r="F2247" s="5" t="n">
        <v>449</v>
      </c>
      <c r="G2247" s="5" t="n">
        <v>2913</v>
      </c>
      <c r="H2247" s="5" t="n">
        <v>83</v>
      </c>
      <c r="I2247" s="5" t="n">
        <v>47</v>
      </c>
      <c r="J2247" s="5" t="n">
        <v>33</v>
      </c>
      <c r="K2247" s="10">
        <f>IF(F2247&gt;0,H2247/F2247,"")</f>
        <v/>
      </c>
      <c r="L2247" s="16">
        <f>IF(AND(G2247&gt;0,H2247&gt;0),G2247/H2247,"")</f>
        <v/>
      </c>
    </row>
    <row r="2248">
      <c r="A2248" s="4" t="inlineStr">
        <is>
          <t>442</t>
        </is>
      </c>
      <c r="B2248" s="4" t="n">
        <v>4</v>
      </c>
      <c r="C2248" s="4" t="inlineStr">
        <is>
          <t>whitetail</t>
        </is>
      </c>
      <c r="D2248" s="4" t="n">
        <v>2024</v>
      </c>
      <c r="E2248" s="13" t="inlineStr">
        <is>
          <t>General</t>
        </is>
      </c>
      <c r="F2248" s="5" t="n"/>
      <c r="G2248" s="5" t="n"/>
      <c r="H2248" s="5" t="n">
        <v>79</v>
      </c>
      <c r="I2248" s="5" t="n">
        <v>48</v>
      </c>
      <c r="J2248" s="5" t="n">
        <v>31</v>
      </c>
      <c r="K2248" s="10">
        <f>IF(F2248&gt;0,H2248/F2248,"")</f>
        <v/>
      </c>
      <c r="L2248" s="16">
        <f>IF(AND(G2248&gt;0,H2248&gt;0),G2248/H2248,"")</f>
        <v/>
      </c>
    </row>
    <row r="2249">
      <c r="A2249" s="4" t="inlineStr">
        <is>
          <t>442</t>
        </is>
      </c>
      <c r="B2249" s="4" t="n">
        <v>4</v>
      </c>
      <c r="C2249" s="4" t="inlineStr">
        <is>
          <t>whitetail</t>
        </is>
      </c>
      <c r="D2249" s="4" t="n">
        <v>2025</v>
      </c>
      <c r="E2249" s="13" t="inlineStr">
        <is>
          <t>General</t>
        </is>
      </c>
      <c r="F2249" s="5" t="n">
        <v>410</v>
      </c>
      <c r="G2249" s="5" t="n">
        <v>2463</v>
      </c>
      <c r="H2249" s="5" t="n">
        <v>67</v>
      </c>
      <c r="I2249" s="5" t="n">
        <v>28</v>
      </c>
      <c r="J2249" s="5" t="n">
        <v>39</v>
      </c>
      <c r="K2249" s="10">
        <f>IF(F2249&gt;0,H2249/F2249,"")</f>
        <v/>
      </c>
      <c r="L2249" s="16">
        <f>IF(AND(G2249&gt;0,H2249&gt;0),G2249/H2249,"")</f>
        <v/>
      </c>
    </row>
    <row r="2250">
      <c r="A2250" s="4" t="inlineStr">
        <is>
          <t>444</t>
        </is>
      </c>
      <c r="B2250" s="4" t="n">
        <v>4</v>
      </c>
      <c r="C2250" s="4" t="inlineStr">
        <is>
          <t>whitetail</t>
        </is>
      </c>
      <c r="D2250" s="4" t="n">
        <v>2021</v>
      </c>
      <c r="E2250" s="13" t="inlineStr">
        <is>
          <t>General</t>
        </is>
      </c>
      <c r="F2250" s="5" t="n">
        <v>845</v>
      </c>
      <c r="G2250" s="5" t="n">
        <v>4457</v>
      </c>
      <c r="H2250" s="5" t="n">
        <v>563</v>
      </c>
      <c r="I2250" s="5" t="n">
        <v>252</v>
      </c>
      <c r="J2250" s="5" t="n">
        <v>304</v>
      </c>
      <c r="K2250" s="10">
        <f>IF(F2250&gt;0,H2250/F2250,"")</f>
        <v/>
      </c>
      <c r="L2250" s="16">
        <f>IF(AND(G2250&gt;0,H2250&gt;0),G2250/H2250,"")</f>
        <v/>
      </c>
    </row>
    <row r="2251">
      <c r="A2251" s="4" t="inlineStr">
        <is>
          <t>444</t>
        </is>
      </c>
      <c r="B2251" s="4" t="n">
        <v>4</v>
      </c>
      <c r="C2251" s="4" t="inlineStr">
        <is>
          <t>whitetail</t>
        </is>
      </c>
      <c r="D2251" s="4" t="n">
        <v>2022</v>
      </c>
      <c r="E2251" s="13" t="inlineStr">
        <is>
          <t>General</t>
        </is>
      </c>
      <c r="F2251" s="5" t="n"/>
      <c r="G2251" s="5" t="n"/>
      <c r="H2251" s="5" t="n">
        <v>379</v>
      </c>
      <c r="I2251" s="5" t="n">
        <v>196</v>
      </c>
      <c r="J2251" s="5" t="n">
        <v>183</v>
      </c>
      <c r="K2251" s="10">
        <f>IF(F2251&gt;0,H2251/F2251,"")</f>
        <v/>
      </c>
      <c r="L2251" s="16">
        <f>IF(AND(G2251&gt;0,H2251&gt;0),G2251/H2251,"")</f>
        <v/>
      </c>
    </row>
    <row r="2252">
      <c r="A2252" s="4" t="inlineStr">
        <is>
          <t>444</t>
        </is>
      </c>
      <c r="B2252" s="4" t="n">
        <v>4</v>
      </c>
      <c r="C2252" s="4" t="inlineStr">
        <is>
          <t>whitetail</t>
        </is>
      </c>
      <c r="D2252" s="4" t="n">
        <v>2023</v>
      </c>
      <c r="E2252" s="13" t="inlineStr">
        <is>
          <t>General</t>
        </is>
      </c>
      <c r="F2252" s="5" t="n">
        <v>750</v>
      </c>
      <c r="G2252" s="5" t="n">
        <v>4082</v>
      </c>
      <c r="H2252" s="5" t="n">
        <v>426</v>
      </c>
      <c r="I2252" s="5" t="n">
        <v>252</v>
      </c>
      <c r="J2252" s="5" t="n">
        <v>167</v>
      </c>
      <c r="K2252" s="10">
        <f>IF(F2252&gt;0,H2252/F2252,"")</f>
        <v/>
      </c>
      <c r="L2252" s="16">
        <f>IF(AND(G2252&gt;0,H2252&gt;0),G2252/H2252,"")</f>
        <v/>
      </c>
    </row>
    <row r="2253">
      <c r="A2253" s="4" t="inlineStr">
        <is>
          <t>444</t>
        </is>
      </c>
      <c r="B2253" s="4" t="n">
        <v>4</v>
      </c>
      <c r="C2253" s="4" t="inlineStr">
        <is>
          <t>whitetail</t>
        </is>
      </c>
      <c r="D2253" s="4" t="n">
        <v>2024</v>
      </c>
      <c r="E2253" s="13" t="inlineStr">
        <is>
          <t>General</t>
        </is>
      </c>
      <c r="F2253" s="5" t="n"/>
      <c r="G2253" s="5" t="n"/>
      <c r="H2253" s="5" t="n">
        <v>577</v>
      </c>
      <c r="I2253" s="5" t="n">
        <v>344</v>
      </c>
      <c r="J2253" s="5" t="n">
        <v>233</v>
      </c>
      <c r="K2253" s="10">
        <f>IF(F2253&gt;0,H2253/F2253,"")</f>
        <v/>
      </c>
      <c r="L2253" s="16">
        <f>IF(AND(G2253&gt;0,H2253&gt;0),G2253/H2253,"")</f>
        <v/>
      </c>
    </row>
    <row r="2254">
      <c r="A2254" s="4" t="inlineStr">
        <is>
          <t>444</t>
        </is>
      </c>
      <c r="B2254" s="4" t="n">
        <v>4</v>
      </c>
      <c r="C2254" s="4" t="inlineStr">
        <is>
          <t>whitetail</t>
        </is>
      </c>
      <c r="D2254" s="4" t="n">
        <v>2025</v>
      </c>
      <c r="E2254" s="13" t="inlineStr">
        <is>
          <t>General</t>
        </is>
      </c>
      <c r="F2254" s="5" t="n">
        <v>840</v>
      </c>
      <c r="G2254" s="5" t="n">
        <v>5719</v>
      </c>
      <c r="H2254" s="5" t="n">
        <v>491</v>
      </c>
      <c r="I2254" s="5" t="n">
        <v>265</v>
      </c>
      <c r="J2254" s="5" t="n">
        <v>219</v>
      </c>
      <c r="K2254" s="10">
        <f>IF(F2254&gt;0,H2254/F2254,"")</f>
        <v/>
      </c>
      <c r="L2254" s="16">
        <f>IF(AND(G2254&gt;0,H2254&gt;0),G2254/H2254,"")</f>
        <v/>
      </c>
    </row>
    <row r="2255">
      <c r="A2255" s="4" t="inlineStr">
        <is>
          <t>445</t>
        </is>
      </c>
      <c r="B2255" s="4" t="n">
        <v>4</v>
      </c>
      <c r="C2255" s="4" t="inlineStr">
        <is>
          <t>whitetail</t>
        </is>
      </c>
      <c r="D2255" s="4" t="n">
        <v>2021</v>
      </c>
      <c r="E2255" s="13" t="inlineStr">
        <is>
          <t>General</t>
        </is>
      </c>
      <c r="F2255" s="5" t="n">
        <v>1257</v>
      </c>
      <c r="G2255" s="5" t="n">
        <v>6120</v>
      </c>
      <c r="H2255" s="5" t="n">
        <v>538</v>
      </c>
      <c r="I2255" s="5" t="n">
        <v>290</v>
      </c>
      <c r="J2255" s="5" t="n">
        <v>228</v>
      </c>
      <c r="K2255" s="10">
        <f>IF(F2255&gt;0,H2255/F2255,"")</f>
        <v/>
      </c>
      <c r="L2255" s="16">
        <f>IF(AND(G2255&gt;0,H2255&gt;0),G2255/H2255,"")</f>
        <v/>
      </c>
    </row>
    <row r="2256">
      <c r="A2256" s="4" t="inlineStr">
        <is>
          <t>445</t>
        </is>
      </c>
      <c r="B2256" s="4" t="n">
        <v>4</v>
      </c>
      <c r="C2256" s="4" t="inlineStr">
        <is>
          <t>whitetail</t>
        </is>
      </c>
      <c r="D2256" s="4" t="n">
        <v>2022</v>
      </c>
      <c r="E2256" s="13" t="inlineStr">
        <is>
          <t>General</t>
        </is>
      </c>
      <c r="F2256" s="5" t="n"/>
      <c r="G2256" s="5" t="n"/>
      <c r="H2256" s="5" t="n">
        <v>565</v>
      </c>
      <c r="I2256" s="5" t="n">
        <v>264</v>
      </c>
      <c r="J2256" s="5" t="n">
        <v>298</v>
      </c>
      <c r="K2256" s="10">
        <f>IF(F2256&gt;0,H2256/F2256,"")</f>
        <v/>
      </c>
      <c r="L2256" s="16">
        <f>IF(AND(G2256&gt;0,H2256&gt;0),G2256/H2256,"")</f>
        <v/>
      </c>
    </row>
    <row r="2257">
      <c r="A2257" s="4" t="inlineStr">
        <is>
          <t>445</t>
        </is>
      </c>
      <c r="B2257" s="4" t="n">
        <v>4</v>
      </c>
      <c r="C2257" s="4" t="inlineStr">
        <is>
          <t>whitetail</t>
        </is>
      </c>
      <c r="D2257" s="4" t="n">
        <v>2023</v>
      </c>
      <c r="E2257" s="13" t="inlineStr">
        <is>
          <t>General</t>
        </is>
      </c>
      <c r="F2257" s="5" t="n">
        <v>1225</v>
      </c>
      <c r="G2257" s="5" t="n">
        <v>6216</v>
      </c>
      <c r="H2257" s="5" t="n">
        <v>548</v>
      </c>
      <c r="I2257" s="5" t="n">
        <v>241</v>
      </c>
      <c r="J2257" s="5" t="n">
        <v>297</v>
      </c>
      <c r="K2257" s="10">
        <f>IF(F2257&gt;0,H2257/F2257,"")</f>
        <v/>
      </c>
      <c r="L2257" s="16">
        <f>IF(AND(G2257&gt;0,H2257&gt;0),G2257/H2257,"")</f>
        <v/>
      </c>
    </row>
    <row r="2258">
      <c r="A2258" s="4" t="inlineStr">
        <is>
          <t>445</t>
        </is>
      </c>
      <c r="B2258" s="4" t="n">
        <v>4</v>
      </c>
      <c r="C2258" s="4" t="inlineStr">
        <is>
          <t>whitetail</t>
        </is>
      </c>
      <c r="D2258" s="4" t="n">
        <v>2024</v>
      </c>
      <c r="E2258" s="13" t="inlineStr">
        <is>
          <t>General</t>
        </is>
      </c>
      <c r="F2258" s="5" t="n"/>
      <c r="G2258" s="5" t="n"/>
      <c r="H2258" s="5" t="n">
        <v>707</v>
      </c>
      <c r="I2258" s="5" t="n">
        <v>300</v>
      </c>
      <c r="J2258" s="5" t="n">
        <v>399</v>
      </c>
      <c r="K2258" s="10">
        <f>IF(F2258&gt;0,H2258/F2258,"")</f>
        <v/>
      </c>
      <c r="L2258" s="16">
        <f>IF(AND(G2258&gt;0,H2258&gt;0),G2258/H2258,"")</f>
        <v/>
      </c>
    </row>
    <row r="2259">
      <c r="A2259" s="4" t="inlineStr">
        <is>
          <t>445</t>
        </is>
      </c>
      <c r="B2259" s="4" t="n">
        <v>4</v>
      </c>
      <c r="C2259" s="4" t="inlineStr">
        <is>
          <t>whitetail</t>
        </is>
      </c>
      <c r="D2259" s="4" t="n">
        <v>2025</v>
      </c>
      <c r="E2259" s="13" t="inlineStr">
        <is>
          <t>General</t>
        </is>
      </c>
      <c r="F2259" s="5" t="n">
        <v>1281</v>
      </c>
      <c r="G2259" s="5" t="n">
        <v>6561</v>
      </c>
      <c r="H2259" s="5" t="n">
        <v>658</v>
      </c>
      <c r="I2259" s="5" t="n">
        <v>296</v>
      </c>
      <c r="J2259" s="5" t="n">
        <v>355</v>
      </c>
      <c r="K2259" s="10">
        <f>IF(F2259&gt;0,H2259/F2259,"")</f>
        <v/>
      </c>
      <c r="L2259" s="16">
        <f>IF(AND(G2259&gt;0,H2259&gt;0),G2259/H2259,"")</f>
        <v/>
      </c>
    </row>
    <row r="2260">
      <c r="A2260" s="4" t="inlineStr">
        <is>
          <t>446</t>
        </is>
      </c>
      <c r="B2260" s="4" t="n">
        <v>4</v>
      </c>
      <c r="C2260" s="4" t="inlineStr">
        <is>
          <t>whitetail</t>
        </is>
      </c>
      <c r="D2260" s="4" t="n">
        <v>2021</v>
      </c>
      <c r="E2260" s="13" t="inlineStr">
        <is>
          <t>General</t>
        </is>
      </c>
      <c r="F2260" s="5" t="n">
        <v>855</v>
      </c>
      <c r="G2260" s="5" t="n">
        <v>4891</v>
      </c>
      <c r="H2260" s="5" t="n">
        <v>225</v>
      </c>
      <c r="I2260" s="5" t="n">
        <v>115</v>
      </c>
      <c r="J2260" s="5" t="n">
        <v>109</v>
      </c>
      <c r="K2260" s="10">
        <f>IF(F2260&gt;0,H2260/F2260,"")</f>
        <v/>
      </c>
      <c r="L2260" s="16">
        <f>IF(AND(G2260&gt;0,H2260&gt;0),G2260/H2260,"")</f>
        <v/>
      </c>
    </row>
    <row r="2261">
      <c r="A2261" s="4" t="inlineStr">
        <is>
          <t>446</t>
        </is>
      </c>
      <c r="B2261" s="4" t="n">
        <v>4</v>
      </c>
      <c r="C2261" s="4" t="inlineStr">
        <is>
          <t>whitetail</t>
        </is>
      </c>
      <c r="D2261" s="4" t="n">
        <v>2022</v>
      </c>
      <c r="E2261" s="13" t="inlineStr">
        <is>
          <t>General</t>
        </is>
      </c>
      <c r="F2261" s="5" t="n"/>
      <c r="G2261" s="5" t="n"/>
      <c r="H2261" s="5" t="n">
        <v>275</v>
      </c>
      <c r="I2261" s="5" t="n">
        <v>154</v>
      </c>
      <c r="J2261" s="5" t="n">
        <v>121</v>
      </c>
      <c r="K2261" s="10">
        <f>IF(F2261&gt;0,H2261/F2261,"")</f>
        <v/>
      </c>
      <c r="L2261" s="16">
        <f>IF(AND(G2261&gt;0,H2261&gt;0),G2261/H2261,"")</f>
        <v/>
      </c>
    </row>
    <row r="2262">
      <c r="A2262" s="4" t="inlineStr">
        <is>
          <t>446</t>
        </is>
      </c>
      <c r="B2262" s="4" t="n">
        <v>4</v>
      </c>
      <c r="C2262" s="4" t="inlineStr">
        <is>
          <t>whitetail</t>
        </is>
      </c>
      <c r="D2262" s="4" t="n">
        <v>2023</v>
      </c>
      <c r="E2262" s="13" t="inlineStr">
        <is>
          <t>General</t>
        </is>
      </c>
      <c r="F2262" s="5" t="n">
        <v>829</v>
      </c>
      <c r="G2262" s="5" t="n">
        <v>4900</v>
      </c>
      <c r="H2262" s="5" t="n">
        <v>218</v>
      </c>
      <c r="I2262" s="5" t="n">
        <v>119</v>
      </c>
      <c r="J2262" s="5" t="n">
        <v>99</v>
      </c>
      <c r="K2262" s="10">
        <f>IF(F2262&gt;0,H2262/F2262,"")</f>
        <v/>
      </c>
      <c r="L2262" s="16">
        <f>IF(AND(G2262&gt;0,H2262&gt;0),G2262/H2262,"")</f>
        <v/>
      </c>
    </row>
    <row r="2263">
      <c r="A2263" s="4" t="inlineStr">
        <is>
          <t>446</t>
        </is>
      </c>
      <c r="B2263" s="4" t="n">
        <v>4</v>
      </c>
      <c r="C2263" s="4" t="inlineStr">
        <is>
          <t>whitetail</t>
        </is>
      </c>
      <c r="D2263" s="4" t="n">
        <v>2024</v>
      </c>
      <c r="E2263" s="13" t="inlineStr">
        <is>
          <t>General</t>
        </is>
      </c>
      <c r="F2263" s="5" t="n"/>
      <c r="G2263" s="5" t="n"/>
      <c r="H2263" s="5" t="n">
        <v>231</v>
      </c>
      <c r="I2263" s="5" t="n">
        <v>127</v>
      </c>
      <c r="J2263" s="5" t="n">
        <v>102</v>
      </c>
      <c r="K2263" s="10">
        <f>IF(F2263&gt;0,H2263/F2263,"")</f>
        <v/>
      </c>
      <c r="L2263" s="16">
        <f>IF(AND(G2263&gt;0,H2263&gt;0),G2263/H2263,"")</f>
        <v/>
      </c>
    </row>
    <row r="2264">
      <c r="A2264" s="4" t="inlineStr">
        <is>
          <t>446</t>
        </is>
      </c>
      <c r="B2264" s="4" t="n">
        <v>4</v>
      </c>
      <c r="C2264" s="4" t="inlineStr">
        <is>
          <t>whitetail</t>
        </is>
      </c>
      <c r="D2264" s="4" t="n">
        <v>2025</v>
      </c>
      <c r="E2264" s="13" t="inlineStr">
        <is>
          <t>General</t>
        </is>
      </c>
      <c r="F2264" s="5" t="n">
        <v>792</v>
      </c>
      <c r="G2264" s="5" t="n">
        <v>5089</v>
      </c>
      <c r="H2264" s="5" t="n">
        <v>187</v>
      </c>
      <c r="I2264" s="5" t="n">
        <v>108</v>
      </c>
      <c r="J2264" s="5" t="n">
        <v>79</v>
      </c>
      <c r="K2264" s="10">
        <f>IF(F2264&gt;0,H2264/F2264,"")</f>
        <v/>
      </c>
      <c r="L2264" s="16">
        <f>IF(AND(G2264&gt;0,H2264&gt;0),G2264/H2264,"")</f>
        <v/>
      </c>
    </row>
    <row r="2265">
      <c r="A2265" s="4" t="inlineStr">
        <is>
          <t>447</t>
        </is>
      </c>
      <c r="B2265" s="4" t="n">
        <v>4</v>
      </c>
      <c r="C2265" s="4" t="inlineStr">
        <is>
          <t>whitetail</t>
        </is>
      </c>
      <c r="D2265" s="4" t="n">
        <v>2021</v>
      </c>
      <c r="E2265" s="13" t="inlineStr">
        <is>
          <t>General</t>
        </is>
      </c>
      <c r="F2265" s="5" t="n">
        <v>1817</v>
      </c>
      <c r="G2265" s="5" t="n">
        <v>9402</v>
      </c>
      <c r="H2265" s="5" t="n">
        <v>353</v>
      </c>
      <c r="I2265" s="5" t="n">
        <v>174</v>
      </c>
      <c r="J2265" s="5" t="n">
        <v>175</v>
      </c>
      <c r="K2265" s="10">
        <f>IF(F2265&gt;0,H2265/F2265,"")</f>
        <v/>
      </c>
      <c r="L2265" s="16">
        <f>IF(AND(G2265&gt;0,H2265&gt;0),G2265/H2265,"")</f>
        <v/>
      </c>
    </row>
    <row r="2266">
      <c r="A2266" s="4" t="inlineStr">
        <is>
          <t>447</t>
        </is>
      </c>
      <c r="B2266" s="4" t="n">
        <v>4</v>
      </c>
      <c r="C2266" s="4" t="inlineStr">
        <is>
          <t>whitetail</t>
        </is>
      </c>
      <c r="D2266" s="4" t="n">
        <v>2022</v>
      </c>
      <c r="E2266" s="13" t="inlineStr">
        <is>
          <t>General</t>
        </is>
      </c>
      <c r="F2266" s="5" t="n"/>
      <c r="G2266" s="5" t="n"/>
      <c r="H2266" s="5" t="n">
        <v>544</v>
      </c>
      <c r="I2266" s="5" t="n">
        <v>328</v>
      </c>
      <c r="J2266" s="5" t="n">
        <v>216</v>
      </c>
      <c r="K2266" s="10">
        <f>IF(F2266&gt;0,H2266/F2266,"")</f>
        <v/>
      </c>
      <c r="L2266" s="16">
        <f>IF(AND(G2266&gt;0,H2266&gt;0),G2266/H2266,"")</f>
        <v/>
      </c>
    </row>
    <row r="2267">
      <c r="A2267" s="4" t="inlineStr">
        <is>
          <t>447</t>
        </is>
      </c>
      <c r="B2267" s="4" t="n">
        <v>4</v>
      </c>
      <c r="C2267" s="4" t="inlineStr">
        <is>
          <t>whitetail</t>
        </is>
      </c>
      <c r="D2267" s="4" t="n">
        <v>2023</v>
      </c>
      <c r="E2267" s="13" t="inlineStr">
        <is>
          <t>General</t>
        </is>
      </c>
      <c r="F2267" s="5" t="n">
        <v>1712</v>
      </c>
      <c r="G2267" s="5" t="n">
        <v>9530</v>
      </c>
      <c r="H2267" s="5" t="n">
        <v>441</v>
      </c>
      <c r="I2267" s="5" t="n">
        <v>249</v>
      </c>
      <c r="J2267" s="5" t="n">
        <v>188</v>
      </c>
      <c r="K2267" s="10">
        <f>IF(F2267&gt;0,H2267/F2267,"")</f>
        <v/>
      </c>
      <c r="L2267" s="16">
        <f>IF(AND(G2267&gt;0,H2267&gt;0),G2267/H2267,"")</f>
        <v/>
      </c>
    </row>
    <row r="2268">
      <c r="A2268" s="4" t="inlineStr">
        <is>
          <t>447</t>
        </is>
      </c>
      <c r="B2268" s="4" t="n">
        <v>4</v>
      </c>
      <c r="C2268" s="4" t="inlineStr">
        <is>
          <t>whitetail</t>
        </is>
      </c>
      <c r="D2268" s="4" t="n">
        <v>2024</v>
      </c>
      <c r="E2268" s="13" t="inlineStr">
        <is>
          <t>General</t>
        </is>
      </c>
      <c r="F2268" s="5" t="n"/>
      <c r="G2268" s="5" t="n"/>
      <c r="H2268" s="5" t="n">
        <v>522</v>
      </c>
      <c r="I2268" s="5" t="n">
        <v>341</v>
      </c>
      <c r="J2268" s="5" t="n">
        <v>178</v>
      </c>
      <c r="K2268" s="10">
        <f>IF(F2268&gt;0,H2268/F2268,"")</f>
        <v/>
      </c>
      <c r="L2268" s="16">
        <f>IF(AND(G2268&gt;0,H2268&gt;0),G2268/H2268,"")</f>
        <v/>
      </c>
    </row>
    <row r="2269">
      <c r="A2269" s="4" t="inlineStr">
        <is>
          <t>447</t>
        </is>
      </c>
      <c r="B2269" s="4" t="n">
        <v>4</v>
      </c>
      <c r="C2269" s="4" t="inlineStr">
        <is>
          <t>whitetail</t>
        </is>
      </c>
      <c r="D2269" s="4" t="n">
        <v>2025</v>
      </c>
      <c r="E2269" s="13" t="inlineStr">
        <is>
          <t>General</t>
        </is>
      </c>
      <c r="F2269" s="5" t="n">
        <v>1613</v>
      </c>
      <c r="G2269" s="5" t="n">
        <v>9805</v>
      </c>
      <c r="H2269" s="5" t="n">
        <v>376</v>
      </c>
      <c r="I2269" s="5" t="n">
        <v>194</v>
      </c>
      <c r="J2269" s="5" t="n">
        <v>179</v>
      </c>
      <c r="K2269" s="10">
        <f>IF(F2269&gt;0,H2269/F2269,"")</f>
        <v/>
      </c>
      <c r="L2269" s="16">
        <f>IF(AND(G2269&gt;0,H2269&gt;0),G2269/H2269,"")</f>
        <v/>
      </c>
    </row>
    <row r="2270">
      <c r="A2270" s="4" t="inlineStr">
        <is>
          <t>448</t>
        </is>
      </c>
      <c r="B2270" s="4" t="n">
        <v>4</v>
      </c>
      <c r="C2270" s="4" t="inlineStr">
        <is>
          <t>whitetail</t>
        </is>
      </c>
      <c r="D2270" s="4" t="n">
        <v>2021</v>
      </c>
      <c r="E2270" s="13" t="inlineStr">
        <is>
          <t>General</t>
        </is>
      </c>
      <c r="F2270" s="5" t="n">
        <v>574</v>
      </c>
      <c r="G2270" s="5" t="n">
        <v>3981</v>
      </c>
      <c r="H2270" s="5" t="n">
        <v>68</v>
      </c>
      <c r="I2270" s="5" t="n">
        <v>39</v>
      </c>
      <c r="J2270" s="5" t="n">
        <v>29</v>
      </c>
      <c r="K2270" s="10">
        <f>IF(F2270&gt;0,H2270/F2270,"")</f>
        <v/>
      </c>
      <c r="L2270" s="16">
        <f>IF(AND(G2270&gt;0,H2270&gt;0),G2270/H2270,"")</f>
        <v/>
      </c>
    </row>
    <row r="2271">
      <c r="A2271" s="4" t="inlineStr">
        <is>
          <t>448</t>
        </is>
      </c>
      <c r="B2271" s="4" t="n">
        <v>4</v>
      </c>
      <c r="C2271" s="4" t="inlineStr">
        <is>
          <t>whitetail</t>
        </is>
      </c>
      <c r="D2271" s="4" t="n">
        <v>2022</v>
      </c>
      <c r="E2271" s="13" t="inlineStr">
        <is>
          <t>General</t>
        </is>
      </c>
      <c r="F2271" s="5" t="n"/>
      <c r="G2271" s="5" t="n"/>
      <c r="H2271" s="5" t="n">
        <v>68</v>
      </c>
      <c r="I2271" s="5" t="n">
        <v>36</v>
      </c>
      <c r="J2271" s="5" t="n">
        <v>31</v>
      </c>
      <c r="K2271" s="10">
        <f>IF(F2271&gt;0,H2271/F2271,"")</f>
        <v/>
      </c>
      <c r="L2271" s="16">
        <f>IF(AND(G2271&gt;0,H2271&gt;0),G2271/H2271,"")</f>
        <v/>
      </c>
    </row>
    <row r="2272">
      <c r="A2272" s="4" t="inlineStr">
        <is>
          <t>448</t>
        </is>
      </c>
      <c r="B2272" s="4" t="n">
        <v>4</v>
      </c>
      <c r="C2272" s="4" t="inlineStr">
        <is>
          <t>whitetail</t>
        </is>
      </c>
      <c r="D2272" s="4" t="n">
        <v>2023</v>
      </c>
      <c r="E2272" s="13" t="inlineStr">
        <is>
          <t>General</t>
        </is>
      </c>
      <c r="F2272" s="5" t="n">
        <v>677</v>
      </c>
      <c r="G2272" s="5" t="n">
        <v>3952</v>
      </c>
      <c r="H2272" s="5" t="n">
        <v>84</v>
      </c>
      <c r="I2272" s="5" t="n">
        <v>30</v>
      </c>
      <c r="J2272" s="5" t="n">
        <v>51</v>
      </c>
      <c r="K2272" s="10">
        <f>IF(F2272&gt;0,H2272/F2272,"")</f>
        <v/>
      </c>
      <c r="L2272" s="16">
        <f>IF(AND(G2272&gt;0,H2272&gt;0),G2272/H2272,"")</f>
        <v/>
      </c>
    </row>
    <row r="2273">
      <c r="A2273" s="4" t="inlineStr">
        <is>
          <t>448</t>
        </is>
      </c>
      <c r="B2273" s="4" t="n">
        <v>4</v>
      </c>
      <c r="C2273" s="4" t="inlineStr">
        <is>
          <t>whitetail</t>
        </is>
      </c>
      <c r="D2273" s="4" t="n">
        <v>2024</v>
      </c>
      <c r="E2273" s="13" t="inlineStr">
        <is>
          <t>General</t>
        </is>
      </c>
      <c r="F2273" s="5" t="n"/>
      <c r="G2273" s="5" t="n"/>
      <c r="H2273" s="5" t="n">
        <v>93</v>
      </c>
      <c r="I2273" s="5" t="n">
        <v>38</v>
      </c>
      <c r="J2273" s="5" t="n">
        <v>55</v>
      </c>
      <c r="K2273" s="10">
        <f>IF(F2273&gt;0,H2273/F2273,"")</f>
        <v/>
      </c>
      <c r="L2273" s="16">
        <f>IF(AND(G2273&gt;0,H2273&gt;0),G2273/H2273,"")</f>
        <v/>
      </c>
    </row>
    <row r="2274">
      <c r="A2274" s="4" t="inlineStr">
        <is>
          <t>448</t>
        </is>
      </c>
      <c r="B2274" s="4" t="n">
        <v>4</v>
      </c>
      <c r="C2274" s="4" t="inlineStr">
        <is>
          <t>whitetail</t>
        </is>
      </c>
      <c r="D2274" s="4" t="n">
        <v>2025</v>
      </c>
      <c r="E2274" s="13" t="inlineStr">
        <is>
          <t>General</t>
        </is>
      </c>
      <c r="F2274" s="5" t="n">
        <v>788</v>
      </c>
      <c r="G2274" s="5" t="n">
        <v>5434</v>
      </c>
      <c r="H2274" s="5" t="n">
        <v>91</v>
      </c>
      <c r="I2274" s="5" t="n">
        <v>56</v>
      </c>
      <c r="J2274" s="5" t="n">
        <v>35</v>
      </c>
      <c r="K2274" s="10">
        <f>IF(F2274&gt;0,H2274/F2274,"")</f>
        <v/>
      </c>
      <c r="L2274" s="16">
        <f>IF(AND(G2274&gt;0,H2274&gt;0),G2274/H2274,"")</f>
        <v/>
      </c>
    </row>
    <row r="2275">
      <c r="A2275" s="4" t="inlineStr">
        <is>
          <t>450</t>
        </is>
      </c>
      <c r="B2275" s="4" t="n">
        <v>4</v>
      </c>
      <c r="C2275" s="4" t="inlineStr">
        <is>
          <t>whitetail</t>
        </is>
      </c>
      <c r="D2275" s="4" t="n">
        <v>2021</v>
      </c>
      <c r="E2275" s="13" t="inlineStr">
        <is>
          <t>General</t>
        </is>
      </c>
      <c r="F2275" s="5" t="n">
        <v>348</v>
      </c>
      <c r="G2275" s="5" t="n">
        <v>1865</v>
      </c>
      <c r="H2275" s="5" t="n">
        <v>76</v>
      </c>
      <c r="I2275" s="5" t="n">
        <v>51</v>
      </c>
      <c r="J2275" s="5" t="n">
        <v>25</v>
      </c>
      <c r="K2275" s="10">
        <f>IF(F2275&gt;0,H2275/F2275,"")</f>
        <v/>
      </c>
      <c r="L2275" s="16">
        <f>IF(AND(G2275&gt;0,H2275&gt;0),G2275/H2275,"")</f>
        <v/>
      </c>
    </row>
    <row r="2276">
      <c r="A2276" s="4" t="inlineStr">
        <is>
          <t>450</t>
        </is>
      </c>
      <c r="B2276" s="4" t="n">
        <v>4</v>
      </c>
      <c r="C2276" s="4" t="inlineStr">
        <is>
          <t>whitetail</t>
        </is>
      </c>
      <c r="D2276" s="4" t="n">
        <v>2022</v>
      </c>
      <c r="E2276" s="13" t="inlineStr">
        <is>
          <t>General</t>
        </is>
      </c>
      <c r="F2276" s="5" t="n"/>
      <c r="G2276" s="5" t="n"/>
      <c r="H2276" s="5" t="n">
        <v>136</v>
      </c>
      <c r="I2276" s="5" t="n">
        <v>85</v>
      </c>
      <c r="J2276" s="5" t="n">
        <v>51</v>
      </c>
      <c r="K2276" s="10">
        <f>IF(F2276&gt;0,H2276/F2276,"")</f>
        <v/>
      </c>
      <c r="L2276" s="16">
        <f>IF(AND(G2276&gt;0,H2276&gt;0),G2276/H2276,"")</f>
        <v/>
      </c>
    </row>
    <row r="2277">
      <c r="A2277" s="4" t="inlineStr">
        <is>
          <t>450</t>
        </is>
      </c>
      <c r="B2277" s="4" t="n">
        <v>4</v>
      </c>
      <c r="C2277" s="4" t="inlineStr">
        <is>
          <t>whitetail</t>
        </is>
      </c>
      <c r="D2277" s="4" t="n">
        <v>2023</v>
      </c>
      <c r="E2277" s="13" t="inlineStr">
        <is>
          <t>General</t>
        </is>
      </c>
      <c r="F2277" s="5" t="n">
        <v>541</v>
      </c>
      <c r="G2277" s="5" t="n">
        <v>2843</v>
      </c>
      <c r="H2277" s="5" t="n">
        <v>156</v>
      </c>
      <c r="I2277" s="5" t="n">
        <v>83</v>
      </c>
      <c r="J2277" s="5" t="n">
        <v>72</v>
      </c>
      <c r="K2277" s="10">
        <f>IF(F2277&gt;0,H2277/F2277,"")</f>
        <v/>
      </c>
      <c r="L2277" s="16">
        <f>IF(AND(G2277&gt;0,H2277&gt;0),G2277/H2277,"")</f>
        <v/>
      </c>
    </row>
    <row r="2278">
      <c r="A2278" s="4" t="inlineStr">
        <is>
          <t>450</t>
        </is>
      </c>
      <c r="B2278" s="4" t="n">
        <v>4</v>
      </c>
      <c r="C2278" s="4" t="inlineStr">
        <is>
          <t>whitetail</t>
        </is>
      </c>
      <c r="D2278" s="4" t="n">
        <v>2024</v>
      </c>
      <c r="E2278" s="13" t="inlineStr">
        <is>
          <t>General</t>
        </is>
      </c>
      <c r="F2278" s="5" t="n"/>
      <c r="G2278" s="5" t="n"/>
      <c r="H2278" s="5" t="n">
        <v>140</v>
      </c>
      <c r="I2278" s="5" t="n">
        <v>85</v>
      </c>
      <c r="J2278" s="5" t="n">
        <v>55</v>
      </c>
      <c r="K2278" s="10">
        <f>IF(F2278&gt;0,H2278/F2278,"")</f>
        <v/>
      </c>
      <c r="L2278" s="16">
        <f>IF(AND(G2278&gt;0,H2278&gt;0),G2278/H2278,"")</f>
        <v/>
      </c>
    </row>
    <row r="2279">
      <c r="A2279" s="4" t="inlineStr">
        <is>
          <t>450</t>
        </is>
      </c>
      <c r="B2279" s="4" t="n">
        <v>4</v>
      </c>
      <c r="C2279" s="4" t="inlineStr">
        <is>
          <t>whitetail</t>
        </is>
      </c>
      <c r="D2279" s="4" t="n">
        <v>2025</v>
      </c>
      <c r="E2279" s="13" t="inlineStr">
        <is>
          <t>General</t>
        </is>
      </c>
      <c r="F2279" s="5" t="n">
        <v>584</v>
      </c>
      <c r="G2279" s="5" t="n">
        <v>3678</v>
      </c>
      <c r="H2279" s="5" t="n">
        <v>115</v>
      </c>
      <c r="I2279" s="5" t="n">
        <v>85</v>
      </c>
      <c r="J2279" s="5" t="n">
        <v>30</v>
      </c>
      <c r="K2279" s="10">
        <f>IF(F2279&gt;0,H2279/F2279,"")</f>
        <v/>
      </c>
      <c r="L2279" s="16">
        <f>IF(AND(G2279&gt;0,H2279&gt;0),G2279/H2279,"")</f>
        <v/>
      </c>
    </row>
    <row r="2280">
      <c r="A2280" s="4" t="inlineStr">
        <is>
          <t>451</t>
        </is>
      </c>
      <c r="B2280" s="4" t="n">
        <v>4</v>
      </c>
      <c r="C2280" s="4" t="inlineStr">
        <is>
          <t>whitetail</t>
        </is>
      </c>
      <c r="D2280" s="4" t="n">
        <v>2021</v>
      </c>
      <c r="E2280" s="13" t="inlineStr">
        <is>
          <t>General</t>
        </is>
      </c>
      <c r="F2280" s="5" t="n">
        <v>101</v>
      </c>
      <c r="G2280" s="5" t="n">
        <v>499</v>
      </c>
      <c r="H2280" s="5" t="n">
        <v>15</v>
      </c>
      <c r="I2280" s="5" t="n">
        <v>7</v>
      </c>
      <c r="J2280" s="5" t="n">
        <v>7</v>
      </c>
      <c r="K2280" s="10">
        <f>IF(F2280&gt;0,H2280/F2280,"")</f>
        <v/>
      </c>
      <c r="L2280" s="16">
        <f>IF(AND(G2280&gt;0,H2280&gt;0),G2280/H2280,"")</f>
        <v/>
      </c>
    </row>
    <row r="2281">
      <c r="A2281" s="4" t="inlineStr">
        <is>
          <t>451</t>
        </is>
      </c>
      <c r="B2281" s="4" t="n">
        <v>4</v>
      </c>
      <c r="C2281" s="4" t="inlineStr">
        <is>
          <t>whitetail</t>
        </is>
      </c>
      <c r="D2281" s="4" t="n">
        <v>2022</v>
      </c>
      <c r="E2281" s="13" t="inlineStr">
        <is>
          <t>General</t>
        </is>
      </c>
      <c r="F2281" s="5" t="n"/>
      <c r="G2281" s="5" t="n"/>
      <c r="H2281" s="5" t="n">
        <v>13</v>
      </c>
      <c r="I2281" s="5" t="n">
        <v>7</v>
      </c>
      <c r="J2281" s="5" t="n">
        <v>7</v>
      </c>
      <c r="K2281" s="10">
        <f>IF(F2281&gt;0,H2281/F2281,"")</f>
        <v/>
      </c>
      <c r="L2281" s="16">
        <f>IF(AND(G2281&gt;0,H2281&gt;0),G2281/H2281,"")</f>
        <v/>
      </c>
    </row>
    <row r="2282">
      <c r="A2282" s="4" t="inlineStr">
        <is>
          <t>451</t>
        </is>
      </c>
      <c r="B2282" s="4" t="n">
        <v>4</v>
      </c>
      <c r="C2282" s="4" t="inlineStr">
        <is>
          <t>whitetail</t>
        </is>
      </c>
      <c r="D2282" s="4" t="n">
        <v>2023</v>
      </c>
      <c r="E2282" s="13" t="inlineStr">
        <is>
          <t>General</t>
        </is>
      </c>
      <c r="F2282" s="5" t="n">
        <v>104</v>
      </c>
      <c r="G2282" s="5" t="n">
        <v>621</v>
      </c>
      <c r="H2282" s="5" t="n">
        <v>17</v>
      </c>
      <c r="I2282" s="5" t="n">
        <v>10</v>
      </c>
      <c r="J2282" s="5" t="n">
        <v>6</v>
      </c>
      <c r="K2282" s="10">
        <f>IF(F2282&gt;0,H2282/F2282,"")</f>
        <v/>
      </c>
      <c r="L2282" s="16">
        <f>IF(AND(G2282&gt;0,H2282&gt;0),G2282/H2282,"")</f>
        <v/>
      </c>
    </row>
    <row r="2283">
      <c r="A2283" s="4" t="inlineStr">
        <is>
          <t>451</t>
        </is>
      </c>
      <c r="B2283" s="4" t="n">
        <v>4</v>
      </c>
      <c r="C2283" s="4" t="inlineStr">
        <is>
          <t>whitetail</t>
        </is>
      </c>
      <c r="D2283" s="4" t="n">
        <v>2024</v>
      </c>
      <c r="E2283" s="13" t="inlineStr">
        <is>
          <t>General</t>
        </is>
      </c>
      <c r="F2283" s="5" t="n"/>
      <c r="G2283" s="5" t="n"/>
      <c r="H2283" s="5" t="n">
        <v>20</v>
      </c>
      <c r="I2283" s="5" t="n">
        <v>15</v>
      </c>
      <c r="J2283" s="5" t="n">
        <v>5</v>
      </c>
      <c r="K2283" s="10">
        <f>IF(F2283&gt;0,H2283/F2283,"")</f>
        <v/>
      </c>
      <c r="L2283" s="16">
        <f>IF(AND(G2283&gt;0,H2283&gt;0),G2283/H2283,"")</f>
        <v/>
      </c>
    </row>
    <row r="2284">
      <c r="A2284" s="4" t="inlineStr">
        <is>
          <t>451</t>
        </is>
      </c>
      <c r="B2284" s="4" t="n">
        <v>4</v>
      </c>
      <c r="C2284" s="4" t="inlineStr">
        <is>
          <t>whitetail</t>
        </is>
      </c>
      <c r="D2284" s="4" t="n">
        <v>2025</v>
      </c>
      <c r="E2284" s="13" t="inlineStr">
        <is>
          <t>General</t>
        </is>
      </c>
      <c r="F2284" s="5" t="n">
        <v>144</v>
      </c>
      <c r="G2284" s="5" t="n">
        <v>1358</v>
      </c>
      <c r="H2284" s="5" t="n">
        <v>3</v>
      </c>
      <c r="I2284" s="5" t="n">
        <v>0</v>
      </c>
      <c r="J2284" s="5" t="n">
        <v>3</v>
      </c>
      <c r="K2284" s="10">
        <f>IF(F2284&gt;0,H2284/F2284,"")</f>
        <v/>
      </c>
      <c r="L2284" s="16">
        <f>IF(AND(G2284&gt;0,H2284&gt;0),G2284/H2284,"")</f>
        <v/>
      </c>
    </row>
    <row r="2285">
      <c r="A2285" s="4" t="inlineStr">
        <is>
          <t>452</t>
        </is>
      </c>
      <c r="B2285" s="4" t="n">
        <v>4</v>
      </c>
      <c r="C2285" s="4" t="inlineStr">
        <is>
          <t>whitetail</t>
        </is>
      </c>
      <c r="D2285" s="4" t="n">
        <v>2021</v>
      </c>
      <c r="E2285" s="13" t="inlineStr">
        <is>
          <t>General</t>
        </is>
      </c>
      <c r="F2285" s="5" t="n">
        <v>795</v>
      </c>
      <c r="G2285" s="5" t="n">
        <v>4337</v>
      </c>
      <c r="H2285" s="5" t="n">
        <v>123</v>
      </c>
      <c r="I2285" s="5" t="n">
        <v>67</v>
      </c>
      <c r="J2285" s="5" t="n">
        <v>56</v>
      </c>
      <c r="K2285" s="10">
        <f>IF(F2285&gt;0,H2285/F2285,"")</f>
        <v/>
      </c>
      <c r="L2285" s="16">
        <f>IF(AND(G2285&gt;0,H2285&gt;0),G2285/H2285,"")</f>
        <v/>
      </c>
    </row>
    <row r="2286">
      <c r="A2286" s="4" t="inlineStr">
        <is>
          <t>452</t>
        </is>
      </c>
      <c r="B2286" s="4" t="n">
        <v>4</v>
      </c>
      <c r="C2286" s="4" t="inlineStr">
        <is>
          <t>whitetail</t>
        </is>
      </c>
      <c r="D2286" s="4" t="n">
        <v>2022</v>
      </c>
      <c r="E2286" s="13" t="inlineStr">
        <is>
          <t>General</t>
        </is>
      </c>
      <c r="F2286" s="5" t="n"/>
      <c r="G2286" s="5" t="n"/>
      <c r="H2286" s="5" t="n">
        <v>152</v>
      </c>
      <c r="I2286" s="5" t="n">
        <v>92</v>
      </c>
      <c r="J2286" s="5" t="n">
        <v>60</v>
      </c>
      <c r="K2286" s="10">
        <f>IF(F2286&gt;0,H2286/F2286,"")</f>
        <v/>
      </c>
      <c r="L2286" s="16">
        <f>IF(AND(G2286&gt;0,H2286&gt;0),G2286/H2286,"")</f>
        <v/>
      </c>
    </row>
    <row r="2287">
      <c r="A2287" s="4" t="inlineStr">
        <is>
          <t>452</t>
        </is>
      </c>
      <c r="B2287" s="4" t="n">
        <v>4</v>
      </c>
      <c r="C2287" s="4" t="inlineStr">
        <is>
          <t>whitetail</t>
        </is>
      </c>
      <c r="D2287" s="4" t="n">
        <v>2023</v>
      </c>
      <c r="E2287" s="13" t="inlineStr">
        <is>
          <t>General</t>
        </is>
      </c>
      <c r="F2287" s="5" t="n">
        <v>830</v>
      </c>
      <c r="G2287" s="5" t="n">
        <v>5002</v>
      </c>
      <c r="H2287" s="5" t="n">
        <v>93</v>
      </c>
      <c r="I2287" s="5" t="n">
        <v>37</v>
      </c>
      <c r="J2287" s="5" t="n">
        <v>54</v>
      </c>
      <c r="K2287" s="10">
        <f>IF(F2287&gt;0,H2287/F2287,"")</f>
        <v/>
      </c>
      <c r="L2287" s="16">
        <f>IF(AND(G2287&gt;0,H2287&gt;0),G2287/H2287,"")</f>
        <v/>
      </c>
    </row>
    <row r="2288">
      <c r="A2288" s="4" t="inlineStr">
        <is>
          <t>452</t>
        </is>
      </c>
      <c r="B2288" s="4" t="n">
        <v>4</v>
      </c>
      <c r="C2288" s="4" t="inlineStr">
        <is>
          <t>whitetail</t>
        </is>
      </c>
      <c r="D2288" s="4" t="n">
        <v>2024</v>
      </c>
      <c r="E2288" s="13" t="inlineStr">
        <is>
          <t>General</t>
        </is>
      </c>
      <c r="F2288" s="5" t="n"/>
      <c r="G2288" s="5" t="n"/>
      <c r="H2288" s="5" t="n">
        <v>139</v>
      </c>
      <c r="I2288" s="5" t="n">
        <v>63</v>
      </c>
      <c r="J2288" s="5" t="n">
        <v>76</v>
      </c>
      <c r="K2288" s="10">
        <f>IF(F2288&gt;0,H2288/F2288,"")</f>
        <v/>
      </c>
      <c r="L2288" s="16">
        <f>IF(AND(G2288&gt;0,H2288&gt;0),G2288/H2288,"")</f>
        <v/>
      </c>
    </row>
    <row r="2289">
      <c r="A2289" s="4" t="inlineStr">
        <is>
          <t>452</t>
        </is>
      </c>
      <c r="B2289" s="4" t="n">
        <v>4</v>
      </c>
      <c r="C2289" s="4" t="inlineStr">
        <is>
          <t>whitetail</t>
        </is>
      </c>
      <c r="D2289" s="4" t="n">
        <v>2025</v>
      </c>
      <c r="E2289" s="13" t="inlineStr">
        <is>
          <t>General</t>
        </is>
      </c>
      <c r="F2289" s="5" t="n">
        <v>962</v>
      </c>
      <c r="G2289" s="5" t="n">
        <v>6026</v>
      </c>
      <c r="H2289" s="5" t="n">
        <v>113</v>
      </c>
      <c r="I2289" s="5" t="n">
        <v>52</v>
      </c>
      <c r="J2289" s="5" t="n">
        <v>58</v>
      </c>
      <c r="K2289" s="10">
        <f>IF(F2289&gt;0,H2289/F2289,"")</f>
        <v/>
      </c>
      <c r="L2289" s="16">
        <f>IF(AND(G2289&gt;0,H2289&gt;0),G2289/H2289,"")</f>
        <v/>
      </c>
    </row>
    <row r="2290">
      <c r="A2290" s="4" t="inlineStr">
        <is>
          <t>454</t>
        </is>
      </c>
      <c r="B2290" s="4" t="n">
        <v>4</v>
      </c>
      <c r="C2290" s="4" t="inlineStr">
        <is>
          <t>whitetail</t>
        </is>
      </c>
      <c r="D2290" s="4" t="n">
        <v>2021</v>
      </c>
      <c r="E2290" s="4" t="inlineStr"/>
      <c r="F2290" s="5" t="n">
        <v>542</v>
      </c>
      <c r="G2290" s="5" t="n">
        <v>3238</v>
      </c>
      <c r="H2290" s="5" t="n">
        <v>31</v>
      </c>
      <c r="I2290" s="5" t="n">
        <v>23</v>
      </c>
      <c r="J2290" s="5" t="n">
        <v>7</v>
      </c>
      <c r="K2290" s="10">
        <f>IF(F2290&gt;0,H2290/F2290,"")</f>
        <v/>
      </c>
      <c r="L2290" s="16">
        <f>IF(AND(G2290&gt;0,H2290&gt;0),G2290/H2290,"")</f>
        <v/>
      </c>
    </row>
    <row r="2291">
      <c r="A2291" s="4" t="inlineStr">
        <is>
          <t>455</t>
        </is>
      </c>
      <c r="B2291" s="4" t="n">
        <v>4</v>
      </c>
      <c r="C2291" s="4" t="inlineStr">
        <is>
          <t>whitetail</t>
        </is>
      </c>
      <c r="D2291" s="4" t="n">
        <v>2021</v>
      </c>
      <c r="E2291" s="13" t="inlineStr">
        <is>
          <t>General</t>
        </is>
      </c>
      <c r="F2291" s="5" t="n">
        <v>73</v>
      </c>
      <c r="G2291" s="5" t="n">
        <v>426</v>
      </c>
      <c r="H2291" s="5" t="n">
        <v>27</v>
      </c>
      <c r="I2291" s="5" t="n">
        <v>16</v>
      </c>
      <c r="J2291" s="5" t="n">
        <v>11</v>
      </c>
      <c r="K2291" s="10">
        <f>IF(F2291&gt;0,H2291/F2291,"")</f>
        <v/>
      </c>
      <c r="L2291" s="16">
        <f>IF(AND(G2291&gt;0,H2291&gt;0),G2291/H2291,"")</f>
        <v/>
      </c>
    </row>
    <row r="2292">
      <c r="A2292" s="4" t="inlineStr">
        <is>
          <t>455</t>
        </is>
      </c>
      <c r="B2292" s="4" t="n">
        <v>4</v>
      </c>
      <c r="C2292" s="4" t="inlineStr">
        <is>
          <t>whitetail</t>
        </is>
      </c>
      <c r="D2292" s="4" t="n">
        <v>2022</v>
      </c>
      <c r="E2292" s="13" t="inlineStr">
        <is>
          <t>General</t>
        </is>
      </c>
      <c r="F2292" s="5" t="n"/>
      <c r="G2292" s="5" t="n"/>
      <c r="H2292" s="5" t="n">
        <v>24</v>
      </c>
      <c r="I2292" s="5" t="n">
        <v>12</v>
      </c>
      <c r="J2292" s="5" t="n">
        <v>13</v>
      </c>
      <c r="K2292" s="10">
        <f>IF(F2292&gt;0,H2292/F2292,"")</f>
        <v/>
      </c>
      <c r="L2292" s="16">
        <f>IF(AND(G2292&gt;0,H2292&gt;0),G2292/H2292,"")</f>
        <v/>
      </c>
    </row>
    <row r="2293">
      <c r="A2293" s="4" t="inlineStr">
        <is>
          <t>455</t>
        </is>
      </c>
      <c r="B2293" s="4" t="n">
        <v>4</v>
      </c>
      <c r="C2293" s="4" t="inlineStr">
        <is>
          <t>whitetail</t>
        </is>
      </c>
      <c r="D2293" s="4" t="n">
        <v>2023</v>
      </c>
      <c r="E2293" s="13" t="inlineStr">
        <is>
          <t>General</t>
        </is>
      </c>
      <c r="F2293" s="5" t="n">
        <v>73</v>
      </c>
      <c r="G2293" s="5" t="n">
        <v>401</v>
      </c>
      <c r="H2293" s="5" t="n">
        <v>24</v>
      </c>
      <c r="I2293" s="5" t="n">
        <v>24</v>
      </c>
      <c r="J2293" s="5" t="n">
        <v>0</v>
      </c>
      <c r="K2293" s="10">
        <f>IF(F2293&gt;0,H2293/F2293,"")</f>
        <v/>
      </c>
      <c r="L2293" s="16">
        <f>IF(AND(G2293&gt;0,H2293&gt;0),G2293/H2293,"")</f>
        <v/>
      </c>
    </row>
    <row r="2294">
      <c r="A2294" s="4" t="inlineStr">
        <is>
          <t>455</t>
        </is>
      </c>
      <c r="B2294" s="4" t="n">
        <v>4</v>
      </c>
      <c r="C2294" s="4" t="inlineStr">
        <is>
          <t>whitetail</t>
        </is>
      </c>
      <c r="D2294" s="4" t="n">
        <v>2024</v>
      </c>
      <c r="E2294" s="13" t="inlineStr">
        <is>
          <t>General</t>
        </is>
      </c>
      <c r="F2294" s="5" t="n"/>
      <c r="G2294" s="5" t="n"/>
      <c r="H2294" s="5" t="n">
        <v>27</v>
      </c>
      <c r="I2294" s="5" t="n">
        <v>14</v>
      </c>
      <c r="J2294" s="5" t="n">
        <v>13</v>
      </c>
      <c r="K2294" s="10">
        <f>IF(F2294&gt;0,H2294/F2294,"")</f>
        <v/>
      </c>
      <c r="L2294" s="16">
        <f>IF(AND(G2294&gt;0,H2294&gt;0),G2294/H2294,"")</f>
        <v/>
      </c>
    </row>
    <row r="2295">
      <c r="A2295" s="4" t="inlineStr">
        <is>
          <t>455</t>
        </is>
      </c>
      <c r="B2295" s="4" t="n">
        <v>4</v>
      </c>
      <c r="C2295" s="4" t="inlineStr">
        <is>
          <t>whitetail</t>
        </is>
      </c>
      <c r="D2295" s="4" t="n">
        <v>2025</v>
      </c>
      <c r="E2295" s="13" t="inlineStr">
        <is>
          <t>General</t>
        </is>
      </c>
      <c r="F2295" s="5" t="n">
        <v>107</v>
      </c>
      <c r="G2295" s="5" t="n">
        <v>713</v>
      </c>
      <c r="H2295" s="5" t="n">
        <v>16</v>
      </c>
      <c r="I2295" s="5" t="n">
        <v>10</v>
      </c>
      <c r="J2295" s="5" t="n">
        <v>6</v>
      </c>
      <c r="K2295" s="10">
        <f>IF(F2295&gt;0,H2295/F2295,"")</f>
        <v/>
      </c>
      <c r="L2295" s="16">
        <f>IF(AND(G2295&gt;0,H2295&gt;0),G2295/H2295,"")</f>
        <v/>
      </c>
    </row>
    <row r="2296">
      <c r="A2296" s="4" t="inlineStr">
        <is>
          <t>471</t>
        </is>
      </c>
      <c r="B2296" s="4" t="n">
        <v>4</v>
      </c>
      <c r="C2296" s="4" t="inlineStr">
        <is>
          <t>whitetail</t>
        </is>
      </c>
      <c r="D2296" s="4" t="n">
        <v>2021</v>
      </c>
      <c r="E2296" s="13" t="inlineStr">
        <is>
          <t>General</t>
        </is>
      </c>
      <c r="F2296" s="5" t="n">
        <v>771</v>
      </c>
      <c r="G2296" s="5" t="n">
        <v>3574</v>
      </c>
      <c r="H2296" s="5" t="n">
        <v>59</v>
      </c>
      <c r="I2296" s="5" t="n">
        <v>26</v>
      </c>
      <c r="J2296" s="5" t="n">
        <v>33</v>
      </c>
      <c r="K2296" s="10">
        <f>IF(F2296&gt;0,H2296/F2296,"")</f>
        <v/>
      </c>
      <c r="L2296" s="16">
        <f>IF(AND(G2296&gt;0,H2296&gt;0),G2296/H2296,"")</f>
        <v/>
      </c>
    </row>
    <row r="2297">
      <c r="A2297" s="4" t="inlineStr">
        <is>
          <t>471</t>
        </is>
      </c>
      <c r="B2297" s="4" t="n">
        <v>4</v>
      </c>
      <c r="C2297" s="4" t="inlineStr">
        <is>
          <t>whitetail</t>
        </is>
      </c>
      <c r="D2297" s="4" t="n">
        <v>2022</v>
      </c>
      <c r="E2297" s="13" t="inlineStr">
        <is>
          <t>General</t>
        </is>
      </c>
      <c r="F2297" s="5" t="n"/>
      <c r="G2297" s="5" t="n"/>
      <c r="H2297" s="5" t="n">
        <v>57</v>
      </c>
      <c r="I2297" s="5" t="n">
        <v>43</v>
      </c>
      <c r="J2297" s="5" t="n">
        <v>14</v>
      </c>
      <c r="K2297" s="10">
        <f>IF(F2297&gt;0,H2297/F2297,"")</f>
        <v/>
      </c>
      <c r="L2297" s="16">
        <f>IF(AND(G2297&gt;0,H2297&gt;0),G2297/H2297,"")</f>
        <v/>
      </c>
    </row>
    <row r="2298">
      <c r="A2298" s="4" t="inlineStr">
        <is>
          <t>471</t>
        </is>
      </c>
      <c r="B2298" s="4" t="n">
        <v>4</v>
      </c>
      <c r="C2298" s="4" t="inlineStr">
        <is>
          <t>whitetail</t>
        </is>
      </c>
      <c r="D2298" s="4" t="n">
        <v>2023</v>
      </c>
      <c r="E2298" s="13" t="inlineStr">
        <is>
          <t>General</t>
        </is>
      </c>
      <c r="F2298" s="5" t="n">
        <v>813</v>
      </c>
      <c r="G2298" s="5" t="n">
        <v>3669</v>
      </c>
      <c r="H2298" s="5" t="n">
        <v>74</v>
      </c>
      <c r="I2298" s="5" t="n">
        <v>49</v>
      </c>
      <c r="J2298" s="5" t="n">
        <v>25</v>
      </c>
      <c r="K2298" s="10">
        <f>IF(F2298&gt;0,H2298/F2298,"")</f>
        <v/>
      </c>
      <c r="L2298" s="16">
        <f>IF(AND(G2298&gt;0,H2298&gt;0),G2298/H2298,"")</f>
        <v/>
      </c>
    </row>
    <row r="2299">
      <c r="A2299" s="4" t="inlineStr">
        <is>
          <t>471</t>
        </is>
      </c>
      <c r="B2299" s="4" t="n">
        <v>4</v>
      </c>
      <c r="C2299" s="4" t="inlineStr">
        <is>
          <t>whitetail</t>
        </is>
      </c>
      <c r="D2299" s="4" t="n">
        <v>2024</v>
      </c>
      <c r="E2299" s="13" t="inlineStr">
        <is>
          <t>General</t>
        </is>
      </c>
      <c r="F2299" s="5" t="n"/>
      <c r="G2299" s="5" t="n"/>
      <c r="H2299" s="5" t="n">
        <v>89</v>
      </c>
      <c r="I2299" s="5" t="n">
        <v>65</v>
      </c>
      <c r="J2299" s="5" t="n">
        <v>25</v>
      </c>
      <c r="K2299" s="10">
        <f>IF(F2299&gt;0,H2299/F2299,"")</f>
        <v/>
      </c>
      <c r="L2299" s="16">
        <f>IF(AND(G2299&gt;0,H2299&gt;0),G2299/H2299,"")</f>
        <v/>
      </c>
    </row>
    <row r="2300">
      <c r="A2300" s="4" t="inlineStr">
        <is>
          <t>471</t>
        </is>
      </c>
      <c r="B2300" s="4" t="n">
        <v>4</v>
      </c>
      <c r="C2300" s="4" t="inlineStr">
        <is>
          <t>whitetail</t>
        </is>
      </c>
      <c r="D2300" s="4" t="n">
        <v>2025</v>
      </c>
      <c r="E2300" s="13" t="inlineStr">
        <is>
          <t>General</t>
        </is>
      </c>
      <c r="F2300" s="5" t="n">
        <v>640</v>
      </c>
      <c r="G2300" s="5" t="n">
        <v>5298</v>
      </c>
      <c r="H2300" s="5" t="n">
        <v>45</v>
      </c>
      <c r="I2300" s="5" t="n">
        <v>30</v>
      </c>
      <c r="J2300" s="5" t="n">
        <v>12</v>
      </c>
      <c r="K2300" s="10">
        <f>IF(F2300&gt;0,H2300/F2300,"")</f>
        <v/>
      </c>
      <c r="L2300" s="16">
        <f>IF(AND(G2300&gt;0,H2300&gt;0),G2300/H2300,"")</f>
        <v/>
      </c>
    </row>
    <row r="2301">
      <c r="A2301" s="4" t="inlineStr">
        <is>
          <t>500</t>
        </is>
      </c>
      <c r="B2301" s="4" t="n">
        <v>5</v>
      </c>
      <c r="C2301" s="4" t="inlineStr">
        <is>
          <t>whitetail</t>
        </is>
      </c>
      <c r="D2301" s="4" t="n">
        <v>2021</v>
      </c>
      <c r="E2301" s="4" t="inlineStr"/>
      <c r="F2301" s="5" t="n">
        <v>2071</v>
      </c>
      <c r="G2301" s="5" t="n">
        <v>10264</v>
      </c>
      <c r="H2301" s="5" t="n">
        <v>212</v>
      </c>
      <c r="I2301" s="5" t="n">
        <v>117</v>
      </c>
      <c r="J2301" s="5" t="n">
        <v>95</v>
      </c>
      <c r="K2301" s="10">
        <f>IF(F2301&gt;0,H2301/F2301,"")</f>
        <v/>
      </c>
      <c r="L2301" s="16">
        <f>IF(AND(G2301&gt;0,H2301&gt;0),G2301/H2301,"")</f>
        <v/>
      </c>
    </row>
    <row r="2302">
      <c r="A2302" s="4" t="inlineStr">
        <is>
          <t>502</t>
        </is>
      </c>
      <c r="B2302" s="4" t="n">
        <v>5</v>
      </c>
      <c r="C2302" s="4" t="inlineStr">
        <is>
          <t>whitetail</t>
        </is>
      </c>
      <c r="D2302" s="4" t="n">
        <v>2021</v>
      </c>
      <c r="E2302" s="13" t="inlineStr">
        <is>
          <t>General</t>
        </is>
      </c>
      <c r="F2302" s="5" t="n">
        <v>1357</v>
      </c>
      <c r="G2302" s="5" t="n">
        <v>6709</v>
      </c>
      <c r="H2302" s="5" t="n">
        <v>277</v>
      </c>
      <c r="I2302" s="5" t="n">
        <v>124</v>
      </c>
      <c r="J2302" s="5" t="n">
        <v>152</v>
      </c>
      <c r="K2302" s="10">
        <f>IF(F2302&gt;0,H2302/F2302,"")</f>
        <v/>
      </c>
      <c r="L2302" s="16">
        <f>IF(AND(G2302&gt;0,H2302&gt;0),G2302/H2302,"")</f>
        <v/>
      </c>
    </row>
    <row r="2303">
      <c r="A2303" s="4" t="inlineStr">
        <is>
          <t>502</t>
        </is>
      </c>
      <c r="B2303" s="4" t="n">
        <v>5</v>
      </c>
      <c r="C2303" s="4" t="inlineStr">
        <is>
          <t>whitetail</t>
        </is>
      </c>
      <c r="D2303" s="4" t="n">
        <v>2022</v>
      </c>
      <c r="E2303" s="13" t="inlineStr">
        <is>
          <t>General</t>
        </is>
      </c>
      <c r="F2303" s="5" t="n"/>
      <c r="G2303" s="5" t="n"/>
      <c r="H2303" s="5" t="n">
        <v>413</v>
      </c>
      <c r="I2303" s="5" t="n">
        <v>167</v>
      </c>
      <c r="J2303" s="5" t="n">
        <v>246</v>
      </c>
      <c r="K2303" s="10">
        <f>IF(F2303&gt;0,H2303/F2303,"")</f>
        <v/>
      </c>
      <c r="L2303" s="16">
        <f>IF(AND(G2303&gt;0,H2303&gt;0),G2303/H2303,"")</f>
        <v/>
      </c>
    </row>
    <row r="2304">
      <c r="A2304" s="4" t="inlineStr">
        <is>
          <t>502</t>
        </is>
      </c>
      <c r="B2304" s="4" t="n">
        <v>5</v>
      </c>
      <c r="C2304" s="4" t="inlineStr">
        <is>
          <t>whitetail</t>
        </is>
      </c>
      <c r="D2304" s="4" t="n">
        <v>2023</v>
      </c>
      <c r="E2304" s="13" t="inlineStr">
        <is>
          <t>General</t>
        </is>
      </c>
      <c r="F2304" s="5" t="n">
        <v>1568</v>
      </c>
      <c r="G2304" s="5" t="n">
        <v>7793</v>
      </c>
      <c r="H2304" s="5" t="n">
        <v>319</v>
      </c>
      <c r="I2304" s="5" t="n">
        <v>164</v>
      </c>
      <c r="J2304" s="5" t="n">
        <v>148</v>
      </c>
      <c r="K2304" s="10">
        <f>IF(F2304&gt;0,H2304/F2304,"")</f>
        <v/>
      </c>
      <c r="L2304" s="16">
        <f>IF(AND(G2304&gt;0,H2304&gt;0),G2304/H2304,"")</f>
        <v/>
      </c>
    </row>
    <row r="2305">
      <c r="A2305" s="4" t="inlineStr">
        <is>
          <t>502</t>
        </is>
      </c>
      <c r="B2305" s="4" t="n">
        <v>5</v>
      </c>
      <c r="C2305" s="4" t="inlineStr">
        <is>
          <t>whitetail</t>
        </is>
      </c>
      <c r="D2305" s="4" t="n">
        <v>2024</v>
      </c>
      <c r="E2305" s="13" t="inlineStr">
        <is>
          <t>General</t>
        </is>
      </c>
      <c r="F2305" s="5" t="n"/>
      <c r="G2305" s="5" t="n"/>
      <c r="H2305" s="5" t="n">
        <v>337</v>
      </c>
      <c r="I2305" s="5" t="n">
        <v>205</v>
      </c>
      <c r="J2305" s="5" t="n">
        <v>131</v>
      </c>
      <c r="K2305" s="10">
        <f>IF(F2305&gt;0,H2305/F2305,"")</f>
        <v/>
      </c>
      <c r="L2305" s="16">
        <f>IF(AND(G2305&gt;0,H2305&gt;0),G2305/H2305,"")</f>
        <v/>
      </c>
    </row>
    <row r="2306">
      <c r="A2306" s="4" t="inlineStr">
        <is>
          <t>502</t>
        </is>
      </c>
      <c r="B2306" s="4" t="n">
        <v>5</v>
      </c>
      <c r="C2306" s="4" t="inlineStr">
        <is>
          <t>whitetail</t>
        </is>
      </c>
      <c r="D2306" s="4" t="n">
        <v>2025</v>
      </c>
      <c r="E2306" s="13" t="inlineStr">
        <is>
          <t>General</t>
        </is>
      </c>
      <c r="F2306" s="5" t="n">
        <v>1625</v>
      </c>
      <c r="G2306" s="5" t="n">
        <v>8330</v>
      </c>
      <c r="H2306" s="5" t="n">
        <v>302</v>
      </c>
      <c r="I2306" s="5" t="n">
        <v>153</v>
      </c>
      <c r="J2306" s="5" t="n">
        <v>145</v>
      </c>
      <c r="K2306" s="10">
        <f>IF(F2306&gt;0,H2306/F2306,"")</f>
        <v/>
      </c>
      <c r="L2306" s="16">
        <f>IF(AND(G2306&gt;0,H2306&gt;0),G2306/H2306,"")</f>
        <v/>
      </c>
    </row>
    <row r="2307">
      <c r="A2307" s="4" t="inlineStr">
        <is>
          <t>510</t>
        </is>
      </c>
      <c r="B2307" s="4" t="n">
        <v>5</v>
      </c>
      <c r="C2307" s="4" t="inlineStr">
        <is>
          <t>whitetail</t>
        </is>
      </c>
      <c r="D2307" s="4" t="n">
        <v>2021</v>
      </c>
      <c r="E2307" s="4" t="inlineStr"/>
      <c r="F2307" s="5" t="n">
        <v>383</v>
      </c>
      <c r="G2307" s="5" t="n">
        <v>1917</v>
      </c>
      <c r="H2307" s="5" t="n">
        <v>39</v>
      </c>
      <c r="I2307" s="5" t="n">
        <v>27</v>
      </c>
      <c r="J2307" s="5" t="n">
        <v>11</v>
      </c>
      <c r="K2307" s="10">
        <f>IF(F2307&gt;0,H2307/F2307,"")</f>
        <v/>
      </c>
      <c r="L2307" s="16">
        <f>IF(AND(G2307&gt;0,H2307&gt;0),G2307/H2307,"")</f>
        <v/>
      </c>
    </row>
    <row r="2308">
      <c r="A2308" s="4" t="inlineStr">
        <is>
          <t>511</t>
        </is>
      </c>
      <c r="B2308" s="4" t="n">
        <v>5</v>
      </c>
      <c r="C2308" s="4" t="inlineStr">
        <is>
          <t>whitetail</t>
        </is>
      </c>
      <c r="D2308" s="4" t="n">
        <v>2021</v>
      </c>
      <c r="E2308" s="4" t="inlineStr"/>
      <c r="F2308" s="5" t="n">
        <v>602</v>
      </c>
      <c r="G2308" s="5" t="n">
        <v>3070</v>
      </c>
      <c r="H2308" s="5" t="n">
        <v>123</v>
      </c>
      <c r="I2308" s="5" t="n">
        <v>75</v>
      </c>
      <c r="J2308" s="5" t="n">
        <v>48</v>
      </c>
      <c r="K2308" s="10">
        <f>IF(F2308&gt;0,H2308/F2308,"")</f>
        <v/>
      </c>
      <c r="L2308" s="16">
        <f>IF(AND(G2308&gt;0,H2308&gt;0),G2308/H2308,"")</f>
        <v/>
      </c>
    </row>
    <row r="2309">
      <c r="A2309" s="4" t="inlineStr">
        <is>
          <t>515</t>
        </is>
      </c>
      <c r="B2309" s="4" t="n">
        <v>5</v>
      </c>
      <c r="C2309" s="4" t="inlineStr">
        <is>
          <t>whitetail</t>
        </is>
      </c>
      <c r="D2309" s="4" t="n">
        <v>2022</v>
      </c>
      <c r="E2309" s="13" t="inlineStr">
        <is>
          <t>General</t>
        </is>
      </c>
      <c r="F2309" s="5" t="n"/>
      <c r="G2309" s="5" t="n"/>
      <c r="H2309" s="5" t="n">
        <v>356</v>
      </c>
      <c r="I2309" s="5" t="n">
        <v>188</v>
      </c>
      <c r="J2309" s="5" t="n">
        <v>168</v>
      </c>
      <c r="K2309" s="10">
        <f>IF(F2309&gt;0,H2309/F2309,"")</f>
        <v/>
      </c>
      <c r="L2309" s="16">
        <f>IF(AND(G2309&gt;0,H2309&gt;0),G2309/H2309,"")</f>
        <v/>
      </c>
    </row>
    <row r="2310">
      <c r="A2310" s="4" t="inlineStr">
        <is>
          <t>515</t>
        </is>
      </c>
      <c r="B2310" s="4" t="n">
        <v>5</v>
      </c>
      <c r="C2310" s="4" t="inlineStr">
        <is>
          <t>whitetail</t>
        </is>
      </c>
      <c r="D2310" s="4" t="n">
        <v>2023</v>
      </c>
      <c r="E2310" s="13" t="inlineStr">
        <is>
          <t>General</t>
        </is>
      </c>
      <c r="F2310" s="5" t="n">
        <v>2337</v>
      </c>
      <c r="G2310" s="5" t="n">
        <v>13017</v>
      </c>
      <c r="H2310" s="5" t="n">
        <v>433</v>
      </c>
      <c r="I2310" s="5" t="n">
        <v>239</v>
      </c>
      <c r="J2310" s="5" t="n">
        <v>191</v>
      </c>
      <c r="K2310" s="10">
        <f>IF(F2310&gt;0,H2310/F2310,"")</f>
        <v/>
      </c>
      <c r="L2310" s="16">
        <f>IF(AND(G2310&gt;0,H2310&gt;0),G2310/H2310,"")</f>
        <v/>
      </c>
    </row>
    <row r="2311">
      <c r="A2311" s="4" t="inlineStr">
        <is>
          <t>515</t>
        </is>
      </c>
      <c r="B2311" s="4" t="n">
        <v>5</v>
      </c>
      <c r="C2311" s="4" t="inlineStr">
        <is>
          <t>whitetail</t>
        </is>
      </c>
      <c r="D2311" s="4" t="n">
        <v>2024</v>
      </c>
      <c r="E2311" s="13" t="inlineStr">
        <is>
          <t>General</t>
        </is>
      </c>
      <c r="F2311" s="5" t="n"/>
      <c r="G2311" s="5" t="n"/>
      <c r="H2311" s="5" t="n">
        <v>404</v>
      </c>
      <c r="I2311" s="5" t="n">
        <v>265</v>
      </c>
      <c r="J2311" s="5" t="n">
        <v>133</v>
      </c>
      <c r="K2311" s="10">
        <f>IF(F2311&gt;0,H2311/F2311,"")</f>
        <v/>
      </c>
      <c r="L2311" s="16">
        <f>IF(AND(G2311&gt;0,H2311&gt;0),G2311/H2311,"")</f>
        <v/>
      </c>
    </row>
    <row r="2312">
      <c r="A2312" s="4" t="inlineStr">
        <is>
          <t>515</t>
        </is>
      </c>
      <c r="B2312" s="4" t="n">
        <v>5</v>
      </c>
      <c r="C2312" s="4" t="inlineStr">
        <is>
          <t>whitetail</t>
        </is>
      </c>
      <c r="D2312" s="4" t="n">
        <v>2025</v>
      </c>
      <c r="E2312" s="13" t="inlineStr">
        <is>
          <t>General</t>
        </is>
      </c>
      <c r="F2312" s="5" t="n">
        <v>2329</v>
      </c>
      <c r="G2312" s="5" t="n">
        <v>12505</v>
      </c>
      <c r="H2312" s="5" t="n">
        <v>416</v>
      </c>
      <c r="I2312" s="5" t="n">
        <v>243</v>
      </c>
      <c r="J2312" s="5" t="n">
        <v>163</v>
      </c>
      <c r="K2312" s="10">
        <f>IF(F2312&gt;0,H2312/F2312,"")</f>
        <v/>
      </c>
      <c r="L2312" s="16">
        <f>IF(AND(G2312&gt;0,H2312&gt;0),G2312/H2312,"")</f>
        <v/>
      </c>
    </row>
    <row r="2313">
      <c r="A2313" s="4" t="inlineStr">
        <is>
          <t>520</t>
        </is>
      </c>
      <c r="B2313" s="4" t="n">
        <v>5</v>
      </c>
      <c r="C2313" s="4" t="inlineStr">
        <is>
          <t>whitetail</t>
        </is>
      </c>
      <c r="D2313" s="4" t="n">
        <v>2021</v>
      </c>
      <c r="E2313" s="4" t="inlineStr"/>
      <c r="F2313" s="5" t="n">
        <v>1362</v>
      </c>
      <c r="G2313" s="5" t="n">
        <v>7893</v>
      </c>
      <c r="H2313" s="5" t="n">
        <v>529</v>
      </c>
      <c r="I2313" s="5" t="n">
        <v>304</v>
      </c>
      <c r="J2313" s="5" t="n">
        <v>219</v>
      </c>
      <c r="K2313" s="10">
        <f>IF(F2313&gt;0,H2313/F2313,"")</f>
        <v/>
      </c>
      <c r="L2313" s="16">
        <f>IF(AND(G2313&gt;0,H2313&gt;0),G2313/H2313,"")</f>
        <v/>
      </c>
    </row>
    <row r="2314">
      <c r="A2314" s="4" t="inlineStr">
        <is>
          <t>525</t>
        </is>
      </c>
      <c r="B2314" s="4" t="n">
        <v>5</v>
      </c>
      <c r="C2314" s="4" t="inlineStr">
        <is>
          <t>whitetail</t>
        </is>
      </c>
      <c r="D2314" s="4" t="n">
        <v>2022</v>
      </c>
      <c r="E2314" s="13" t="inlineStr">
        <is>
          <t>General</t>
        </is>
      </c>
      <c r="F2314" s="5" t="n"/>
      <c r="G2314" s="5" t="n"/>
      <c r="H2314" s="5" t="n">
        <v>823</v>
      </c>
      <c r="I2314" s="5" t="n">
        <v>369</v>
      </c>
      <c r="J2314" s="5" t="n">
        <v>454</v>
      </c>
      <c r="K2314" s="10">
        <f>IF(F2314&gt;0,H2314/F2314,"")</f>
        <v/>
      </c>
      <c r="L2314" s="16">
        <f>IF(AND(G2314&gt;0,H2314&gt;0),G2314/H2314,"")</f>
        <v/>
      </c>
    </row>
    <row r="2315">
      <c r="A2315" s="4" t="inlineStr">
        <is>
          <t>525</t>
        </is>
      </c>
      <c r="B2315" s="4" t="n">
        <v>5</v>
      </c>
      <c r="C2315" s="4" t="inlineStr">
        <is>
          <t>whitetail</t>
        </is>
      </c>
      <c r="D2315" s="4" t="n">
        <v>2023</v>
      </c>
      <c r="E2315" s="13" t="inlineStr">
        <is>
          <t>General</t>
        </is>
      </c>
      <c r="F2315" s="5" t="n">
        <v>2110</v>
      </c>
      <c r="G2315" s="5" t="n">
        <v>12779</v>
      </c>
      <c r="H2315" s="5" t="n">
        <v>643</v>
      </c>
      <c r="I2315" s="5" t="n">
        <v>318</v>
      </c>
      <c r="J2315" s="5" t="n">
        <v>325</v>
      </c>
      <c r="K2315" s="10">
        <f>IF(F2315&gt;0,H2315/F2315,"")</f>
        <v/>
      </c>
      <c r="L2315" s="16">
        <f>IF(AND(G2315&gt;0,H2315&gt;0),G2315/H2315,"")</f>
        <v/>
      </c>
    </row>
    <row r="2316">
      <c r="A2316" s="4" t="inlineStr">
        <is>
          <t>525</t>
        </is>
      </c>
      <c r="B2316" s="4" t="n">
        <v>5</v>
      </c>
      <c r="C2316" s="4" t="inlineStr">
        <is>
          <t>whitetail</t>
        </is>
      </c>
      <c r="D2316" s="4" t="n">
        <v>2024</v>
      </c>
      <c r="E2316" s="13" t="inlineStr">
        <is>
          <t>General</t>
        </is>
      </c>
      <c r="F2316" s="5" t="n"/>
      <c r="G2316" s="5" t="n"/>
      <c r="H2316" s="5" t="n">
        <v>801</v>
      </c>
      <c r="I2316" s="5" t="n">
        <v>447</v>
      </c>
      <c r="J2316" s="5" t="n">
        <v>351</v>
      </c>
      <c r="K2316" s="10">
        <f>IF(F2316&gt;0,H2316/F2316,"")</f>
        <v/>
      </c>
      <c r="L2316" s="16">
        <f>IF(AND(G2316&gt;0,H2316&gt;0),G2316/H2316,"")</f>
        <v/>
      </c>
    </row>
    <row r="2317">
      <c r="A2317" s="4" t="inlineStr">
        <is>
          <t>525</t>
        </is>
      </c>
      <c r="B2317" s="4" t="n">
        <v>5</v>
      </c>
      <c r="C2317" s="4" t="inlineStr">
        <is>
          <t>whitetail</t>
        </is>
      </c>
      <c r="D2317" s="4" t="n">
        <v>2025</v>
      </c>
      <c r="E2317" s="13" t="inlineStr">
        <is>
          <t>General</t>
        </is>
      </c>
      <c r="F2317" s="5" t="n">
        <v>2334</v>
      </c>
      <c r="G2317" s="5" t="n">
        <v>13051</v>
      </c>
      <c r="H2317" s="5" t="n">
        <v>714</v>
      </c>
      <c r="I2317" s="5" t="n">
        <v>375</v>
      </c>
      <c r="J2317" s="5" t="n">
        <v>335</v>
      </c>
      <c r="K2317" s="10">
        <f>IF(F2317&gt;0,H2317/F2317,"")</f>
        <v/>
      </c>
      <c r="L2317" s="16">
        <f>IF(AND(G2317&gt;0,H2317&gt;0),G2317/H2317,"")</f>
        <v/>
      </c>
    </row>
    <row r="2318">
      <c r="A2318" s="4" t="inlineStr">
        <is>
          <t>530</t>
        </is>
      </c>
      <c r="B2318" s="4" t="n">
        <v>5</v>
      </c>
      <c r="C2318" s="4" t="inlineStr">
        <is>
          <t>whitetail</t>
        </is>
      </c>
      <c r="D2318" s="4" t="n">
        <v>2021</v>
      </c>
      <c r="E2318" s="4" t="inlineStr"/>
      <c r="F2318" s="5" t="n">
        <v>1361</v>
      </c>
      <c r="G2318" s="5" t="n">
        <v>6875</v>
      </c>
      <c r="H2318" s="5" t="n">
        <v>307</v>
      </c>
      <c r="I2318" s="5" t="n">
        <v>198</v>
      </c>
      <c r="J2318" s="5" t="n">
        <v>109</v>
      </c>
      <c r="K2318" s="10">
        <f>IF(F2318&gt;0,H2318/F2318,"")</f>
        <v/>
      </c>
      <c r="L2318" s="16">
        <f>IF(AND(G2318&gt;0,H2318&gt;0),G2318/H2318,"")</f>
        <v/>
      </c>
    </row>
    <row r="2319">
      <c r="A2319" s="4" t="inlineStr">
        <is>
          <t>535</t>
        </is>
      </c>
      <c r="B2319" s="4" t="n">
        <v>5</v>
      </c>
      <c r="C2319" s="4" t="inlineStr">
        <is>
          <t>whitetail</t>
        </is>
      </c>
      <c r="D2319" s="4" t="n">
        <v>2022</v>
      </c>
      <c r="E2319" s="13" t="inlineStr">
        <is>
          <t>General</t>
        </is>
      </c>
      <c r="F2319" s="5" t="n"/>
      <c r="G2319" s="5" t="n"/>
      <c r="H2319" s="5" t="n">
        <v>310</v>
      </c>
      <c r="I2319" s="5" t="n">
        <v>161</v>
      </c>
      <c r="J2319" s="5" t="n">
        <v>149</v>
      </c>
      <c r="K2319" s="10">
        <f>IF(F2319&gt;0,H2319/F2319,"")</f>
        <v/>
      </c>
      <c r="L2319" s="16">
        <f>IF(AND(G2319&gt;0,H2319&gt;0),G2319/H2319,"")</f>
        <v/>
      </c>
    </row>
    <row r="2320">
      <c r="A2320" s="4" t="inlineStr">
        <is>
          <t>535</t>
        </is>
      </c>
      <c r="B2320" s="4" t="n">
        <v>5</v>
      </c>
      <c r="C2320" s="4" t="inlineStr">
        <is>
          <t>whitetail</t>
        </is>
      </c>
      <c r="D2320" s="4" t="n">
        <v>2023</v>
      </c>
      <c r="E2320" s="13" t="inlineStr">
        <is>
          <t>General</t>
        </is>
      </c>
      <c r="F2320" s="5" t="n">
        <v>1421</v>
      </c>
      <c r="G2320" s="5" t="n">
        <v>7337</v>
      </c>
      <c r="H2320" s="5" t="n">
        <v>339</v>
      </c>
      <c r="I2320" s="5" t="n">
        <v>210</v>
      </c>
      <c r="J2320" s="5" t="n">
        <v>128</v>
      </c>
      <c r="K2320" s="10">
        <f>IF(F2320&gt;0,H2320/F2320,"")</f>
        <v/>
      </c>
      <c r="L2320" s="16">
        <f>IF(AND(G2320&gt;0,H2320&gt;0),G2320/H2320,"")</f>
        <v/>
      </c>
    </row>
    <row r="2321">
      <c r="A2321" s="4" t="inlineStr">
        <is>
          <t>535</t>
        </is>
      </c>
      <c r="B2321" s="4" t="n">
        <v>5</v>
      </c>
      <c r="C2321" s="4" t="inlineStr">
        <is>
          <t>whitetail</t>
        </is>
      </c>
      <c r="D2321" s="4" t="n">
        <v>2024</v>
      </c>
      <c r="E2321" s="13" t="inlineStr">
        <is>
          <t>General</t>
        </is>
      </c>
      <c r="F2321" s="5" t="n"/>
      <c r="G2321" s="5" t="n"/>
      <c r="H2321" s="5" t="n">
        <v>345</v>
      </c>
      <c r="I2321" s="5" t="n">
        <v>225</v>
      </c>
      <c r="J2321" s="5" t="n">
        <v>115</v>
      </c>
      <c r="K2321" s="10">
        <f>IF(F2321&gt;0,H2321/F2321,"")</f>
        <v/>
      </c>
      <c r="L2321" s="16">
        <f>IF(AND(G2321&gt;0,H2321&gt;0),G2321/H2321,"")</f>
        <v/>
      </c>
    </row>
    <row r="2322">
      <c r="A2322" s="4" t="inlineStr">
        <is>
          <t>535</t>
        </is>
      </c>
      <c r="B2322" s="4" t="n">
        <v>5</v>
      </c>
      <c r="C2322" s="4" t="inlineStr">
        <is>
          <t>whitetail</t>
        </is>
      </c>
      <c r="D2322" s="4" t="n">
        <v>2025</v>
      </c>
      <c r="E2322" s="13" t="inlineStr">
        <is>
          <t>General</t>
        </is>
      </c>
      <c r="F2322" s="5" t="n">
        <v>1219</v>
      </c>
      <c r="G2322" s="5" t="n">
        <v>7321</v>
      </c>
      <c r="H2322" s="5" t="n">
        <v>260</v>
      </c>
      <c r="I2322" s="5" t="n">
        <v>168</v>
      </c>
      <c r="J2322" s="5" t="n">
        <v>92</v>
      </c>
      <c r="K2322" s="10">
        <f>IF(F2322&gt;0,H2322/F2322,"")</f>
        <v/>
      </c>
      <c r="L2322" s="16">
        <f>IF(AND(G2322&gt;0,H2322&gt;0),G2322/H2322,"")</f>
        <v/>
      </c>
    </row>
    <row r="2323">
      <c r="A2323" s="4" t="inlineStr">
        <is>
          <t>540</t>
        </is>
      </c>
      <c r="B2323" s="4" t="n">
        <v>5</v>
      </c>
      <c r="C2323" s="4" t="inlineStr">
        <is>
          <t>whitetail</t>
        </is>
      </c>
      <c r="D2323" s="4" t="n">
        <v>2021</v>
      </c>
      <c r="E2323" s="13" t="inlineStr">
        <is>
          <t>General</t>
        </is>
      </c>
      <c r="F2323" s="5" t="n">
        <v>826</v>
      </c>
      <c r="G2323" s="5" t="n">
        <v>4844</v>
      </c>
      <c r="H2323" s="5" t="n">
        <v>78</v>
      </c>
      <c r="I2323" s="5" t="n">
        <v>39</v>
      </c>
      <c r="J2323" s="5" t="n">
        <v>39</v>
      </c>
      <c r="K2323" s="10">
        <f>IF(F2323&gt;0,H2323/F2323,"")</f>
        <v/>
      </c>
      <c r="L2323" s="16">
        <f>IF(AND(G2323&gt;0,H2323&gt;0),G2323/H2323,"")</f>
        <v/>
      </c>
    </row>
    <row r="2324">
      <c r="A2324" s="4" t="inlineStr">
        <is>
          <t>540</t>
        </is>
      </c>
      <c r="B2324" s="4" t="n">
        <v>5</v>
      </c>
      <c r="C2324" s="4" t="inlineStr">
        <is>
          <t>whitetail</t>
        </is>
      </c>
      <c r="D2324" s="4" t="n">
        <v>2022</v>
      </c>
      <c r="E2324" s="13" t="inlineStr">
        <is>
          <t>General</t>
        </is>
      </c>
      <c r="F2324" s="5" t="n"/>
      <c r="G2324" s="5" t="n"/>
      <c r="H2324" s="5" t="n">
        <v>129</v>
      </c>
      <c r="I2324" s="5" t="n">
        <v>68</v>
      </c>
      <c r="J2324" s="5" t="n">
        <v>61</v>
      </c>
      <c r="K2324" s="10">
        <f>IF(F2324&gt;0,H2324/F2324,"")</f>
        <v/>
      </c>
      <c r="L2324" s="16">
        <f>IF(AND(G2324&gt;0,H2324&gt;0),G2324/H2324,"")</f>
        <v/>
      </c>
    </row>
    <row r="2325">
      <c r="A2325" s="4" t="inlineStr">
        <is>
          <t>540</t>
        </is>
      </c>
      <c r="B2325" s="4" t="n">
        <v>5</v>
      </c>
      <c r="C2325" s="4" t="inlineStr">
        <is>
          <t>whitetail</t>
        </is>
      </c>
      <c r="D2325" s="4" t="n">
        <v>2023</v>
      </c>
      <c r="E2325" s="13" t="inlineStr">
        <is>
          <t>General</t>
        </is>
      </c>
      <c r="F2325" s="5" t="n">
        <v>739</v>
      </c>
      <c r="G2325" s="5" t="n">
        <v>4201</v>
      </c>
      <c r="H2325" s="5" t="n">
        <v>128</v>
      </c>
      <c r="I2325" s="5" t="n">
        <v>75</v>
      </c>
      <c r="J2325" s="5" t="n">
        <v>53</v>
      </c>
      <c r="K2325" s="10">
        <f>IF(F2325&gt;0,H2325/F2325,"")</f>
        <v/>
      </c>
      <c r="L2325" s="16">
        <f>IF(AND(G2325&gt;0,H2325&gt;0),G2325/H2325,"")</f>
        <v/>
      </c>
    </row>
    <row r="2326">
      <c r="A2326" s="4" t="inlineStr">
        <is>
          <t>540</t>
        </is>
      </c>
      <c r="B2326" s="4" t="n">
        <v>5</v>
      </c>
      <c r="C2326" s="4" t="inlineStr">
        <is>
          <t>whitetail</t>
        </is>
      </c>
      <c r="D2326" s="4" t="n">
        <v>2024</v>
      </c>
      <c r="E2326" s="13" t="inlineStr">
        <is>
          <t>General</t>
        </is>
      </c>
      <c r="F2326" s="5" t="n"/>
      <c r="G2326" s="5" t="n"/>
      <c r="H2326" s="5" t="n">
        <v>166</v>
      </c>
      <c r="I2326" s="5" t="n">
        <v>95</v>
      </c>
      <c r="J2326" s="5" t="n">
        <v>71</v>
      </c>
      <c r="K2326" s="10">
        <f>IF(F2326&gt;0,H2326/F2326,"")</f>
        <v/>
      </c>
      <c r="L2326" s="16">
        <f>IF(AND(G2326&gt;0,H2326&gt;0),G2326/H2326,"")</f>
        <v/>
      </c>
    </row>
    <row r="2327">
      <c r="A2327" s="4" t="inlineStr">
        <is>
          <t>540</t>
        </is>
      </c>
      <c r="B2327" s="4" t="n">
        <v>5</v>
      </c>
      <c r="C2327" s="4" t="inlineStr">
        <is>
          <t>whitetail</t>
        </is>
      </c>
      <c r="D2327" s="4" t="n">
        <v>2025</v>
      </c>
      <c r="E2327" s="13" t="inlineStr">
        <is>
          <t>General</t>
        </is>
      </c>
      <c r="F2327" s="5" t="n">
        <v>859</v>
      </c>
      <c r="G2327" s="5" t="n">
        <v>5251</v>
      </c>
      <c r="H2327" s="5" t="n">
        <v>158</v>
      </c>
      <c r="I2327" s="5" t="n">
        <v>74</v>
      </c>
      <c r="J2327" s="5" t="n">
        <v>77</v>
      </c>
      <c r="K2327" s="10">
        <f>IF(F2327&gt;0,H2327/F2327,"")</f>
        <v/>
      </c>
      <c r="L2327" s="16">
        <f>IF(AND(G2327&gt;0,H2327&gt;0),G2327/H2327,"")</f>
        <v/>
      </c>
    </row>
    <row r="2328">
      <c r="A2328" s="4" t="inlineStr">
        <is>
          <t>555</t>
        </is>
      </c>
      <c r="B2328" s="4" t="n">
        <v>5</v>
      </c>
      <c r="C2328" s="4" t="inlineStr">
        <is>
          <t>whitetail</t>
        </is>
      </c>
      <c r="D2328" s="4" t="n">
        <v>2022</v>
      </c>
      <c r="E2328" s="13" t="inlineStr">
        <is>
          <t>General</t>
        </is>
      </c>
      <c r="F2328" s="5" t="n"/>
      <c r="G2328" s="5" t="n"/>
      <c r="H2328" s="5" t="n">
        <v>80</v>
      </c>
      <c r="I2328" s="5" t="n">
        <v>50</v>
      </c>
      <c r="J2328" s="5" t="n">
        <v>30</v>
      </c>
      <c r="K2328" s="10">
        <f>IF(F2328&gt;0,H2328/F2328,"")</f>
        <v/>
      </c>
      <c r="L2328" s="16">
        <f>IF(AND(G2328&gt;0,H2328&gt;0),G2328/H2328,"")</f>
        <v/>
      </c>
    </row>
    <row r="2329">
      <c r="A2329" s="4" t="inlineStr">
        <is>
          <t>555</t>
        </is>
      </c>
      <c r="B2329" s="4" t="n">
        <v>5</v>
      </c>
      <c r="C2329" s="4" t="inlineStr">
        <is>
          <t>whitetail</t>
        </is>
      </c>
      <c r="D2329" s="4" t="n">
        <v>2023</v>
      </c>
      <c r="E2329" s="13" t="inlineStr">
        <is>
          <t>General</t>
        </is>
      </c>
      <c r="F2329" s="5" t="n">
        <v>443</v>
      </c>
      <c r="G2329" s="5" t="n">
        <v>2480</v>
      </c>
      <c r="H2329" s="5" t="n">
        <v>64</v>
      </c>
      <c r="I2329" s="5" t="n">
        <v>38</v>
      </c>
      <c r="J2329" s="5" t="n">
        <v>26</v>
      </c>
      <c r="K2329" s="10">
        <f>IF(F2329&gt;0,H2329/F2329,"")</f>
        <v/>
      </c>
      <c r="L2329" s="16">
        <f>IF(AND(G2329&gt;0,H2329&gt;0),G2329/H2329,"")</f>
        <v/>
      </c>
    </row>
    <row r="2330">
      <c r="A2330" s="4" t="inlineStr">
        <is>
          <t>555</t>
        </is>
      </c>
      <c r="B2330" s="4" t="n">
        <v>5</v>
      </c>
      <c r="C2330" s="4" t="inlineStr">
        <is>
          <t>whitetail</t>
        </is>
      </c>
      <c r="D2330" s="4" t="n">
        <v>2024</v>
      </c>
      <c r="E2330" s="13" t="inlineStr">
        <is>
          <t>General</t>
        </is>
      </c>
      <c r="F2330" s="5" t="n"/>
      <c r="G2330" s="5" t="n"/>
      <c r="H2330" s="5" t="n">
        <v>55</v>
      </c>
      <c r="I2330" s="5" t="n">
        <v>34</v>
      </c>
      <c r="J2330" s="5" t="n">
        <v>21</v>
      </c>
      <c r="K2330" s="10">
        <f>IF(F2330&gt;0,H2330/F2330,"")</f>
        <v/>
      </c>
      <c r="L2330" s="16">
        <f>IF(AND(G2330&gt;0,H2330&gt;0),G2330/H2330,"")</f>
        <v/>
      </c>
    </row>
    <row r="2331">
      <c r="A2331" s="4" t="inlineStr">
        <is>
          <t>555</t>
        </is>
      </c>
      <c r="B2331" s="4" t="n">
        <v>5</v>
      </c>
      <c r="C2331" s="4" t="inlineStr">
        <is>
          <t>whitetail</t>
        </is>
      </c>
      <c r="D2331" s="4" t="n">
        <v>2025</v>
      </c>
      <c r="E2331" s="13" t="inlineStr">
        <is>
          <t>General</t>
        </is>
      </c>
      <c r="F2331" s="5" t="n">
        <v>578</v>
      </c>
      <c r="G2331" s="5" t="n">
        <v>3339</v>
      </c>
      <c r="H2331" s="5" t="n">
        <v>86</v>
      </c>
      <c r="I2331" s="5" t="n">
        <v>50</v>
      </c>
      <c r="J2331" s="5" t="n">
        <v>37</v>
      </c>
      <c r="K2331" s="10">
        <f>IF(F2331&gt;0,H2331/F2331,"")</f>
        <v/>
      </c>
      <c r="L2331" s="16">
        <f>IF(AND(G2331&gt;0,H2331&gt;0),G2331/H2331,"")</f>
        <v/>
      </c>
    </row>
    <row r="2332">
      <c r="A2332" s="4" t="inlineStr">
        <is>
          <t>560</t>
        </is>
      </c>
      <c r="B2332" s="4" t="n">
        <v>5</v>
      </c>
      <c r="C2332" s="4" t="inlineStr">
        <is>
          <t>whitetail</t>
        </is>
      </c>
      <c r="D2332" s="4" t="n">
        <v>2021</v>
      </c>
      <c r="E2332" s="4" t="inlineStr"/>
      <c r="F2332" s="5" t="n">
        <v>1203</v>
      </c>
      <c r="G2332" s="5" t="n">
        <v>6185</v>
      </c>
      <c r="H2332" s="5" t="n">
        <v>405</v>
      </c>
      <c r="I2332" s="5" t="n">
        <v>202</v>
      </c>
      <c r="J2332" s="5" t="n">
        <v>203</v>
      </c>
      <c r="K2332" s="10">
        <f>IF(F2332&gt;0,H2332/F2332,"")</f>
        <v/>
      </c>
      <c r="L2332" s="16">
        <f>IF(AND(G2332&gt;0,H2332&gt;0),G2332/H2332,"")</f>
        <v/>
      </c>
    </row>
    <row r="2333">
      <c r="A2333" s="4" t="inlineStr">
        <is>
          <t>565</t>
        </is>
      </c>
      <c r="B2333" s="4" t="n">
        <v>5</v>
      </c>
      <c r="C2333" s="4" t="inlineStr">
        <is>
          <t>whitetail</t>
        </is>
      </c>
      <c r="D2333" s="4" t="n">
        <v>2022</v>
      </c>
      <c r="E2333" s="13" t="inlineStr">
        <is>
          <t>General</t>
        </is>
      </c>
      <c r="F2333" s="5" t="n"/>
      <c r="G2333" s="5" t="n"/>
      <c r="H2333" s="5" t="n">
        <v>36</v>
      </c>
      <c r="I2333" s="5" t="n">
        <v>10</v>
      </c>
      <c r="J2333" s="5" t="n">
        <v>26</v>
      </c>
      <c r="K2333" s="10">
        <f>IF(F2333&gt;0,H2333/F2333,"")</f>
        <v/>
      </c>
      <c r="L2333" s="16">
        <f>IF(AND(G2333&gt;0,H2333&gt;0),G2333/H2333,"")</f>
        <v/>
      </c>
    </row>
    <row r="2334">
      <c r="A2334" s="4" t="inlineStr">
        <is>
          <t>565</t>
        </is>
      </c>
      <c r="B2334" s="4" t="n">
        <v>5</v>
      </c>
      <c r="C2334" s="4" t="inlineStr">
        <is>
          <t>whitetail</t>
        </is>
      </c>
      <c r="D2334" s="4" t="n">
        <v>2023</v>
      </c>
      <c r="E2334" s="13" t="inlineStr">
        <is>
          <t>General</t>
        </is>
      </c>
      <c r="F2334" s="5" t="n">
        <v>86</v>
      </c>
      <c r="G2334" s="5" t="n">
        <v>510</v>
      </c>
      <c r="H2334" s="5" t="n">
        <v>25</v>
      </c>
      <c r="I2334" s="5" t="n">
        <v>10</v>
      </c>
      <c r="J2334" s="5" t="n">
        <v>15</v>
      </c>
      <c r="K2334" s="10">
        <f>IF(F2334&gt;0,H2334/F2334,"")</f>
        <v/>
      </c>
      <c r="L2334" s="16">
        <f>IF(AND(G2334&gt;0,H2334&gt;0),G2334/H2334,"")</f>
        <v/>
      </c>
    </row>
    <row r="2335">
      <c r="A2335" s="4" t="inlineStr">
        <is>
          <t>565</t>
        </is>
      </c>
      <c r="B2335" s="4" t="n">
        <v>5</v>
      </c>
      <c r="C2335" s="4" t="inlineStr">
        <is>
          <t>whitetail</t>
        </is>
      </c>
      <c r="D2335" s="4" t="n">
        <v>2024</v>
      </c>
      <c r="E2335" s="13" t="inlineStr">
        <is>
          <t>General</t>
        </is>
      </c>
      <c r="F2335" s="5" t="n"/>
      <c r="G2335" s="5" t="n"/>
      <c r="H2335" s="5" t="n">
        <v>29</v>
      </c>
      <c r="I2335" s="5" t="n">
        <v>14</v>
      </c>
      <c r="J2335" s="5" t="n">
        <v>15</v>
      </c>
      <c r="K2335" s="10">
        <f>IF(F2335&gt;0,H2335/F2335,"")</f>
        <v/>
      </c>
      <c r="L2335" s="16">
        <f>IF(AND(G2335&gt;0,H2335&gt;0),G2335/H2335,"")</f>
        <v/>
      </c>
    </row>
    <row r="2336">
      <c r="A2336" s="4" t="inlineStr">
        <is>
          <t>565</t>
        </is>
      </c>
      <c r="B2336" s="4" t="n">
        <v>5</v>
      </c>
      <c r="C2336" s="4" t="inlineStr">
        <is>
          <t>whitetail</t>
        </is>
      </c>
      <c r="D2336" s="4" t="n">
        <v>2025</v>
      </c>
      <c r="E2336" s="13" t="inlineStr">
        <is>
          <t>General</t>
        </is>
      </c>
      <c r="F2336" s="5" t="n">
        <v>108</v>
      </c>
      <c r="G2336" s="5" t="n">
        <v>704</v>
      </c>
      <c r="H2336" s="5" t="n">
        <v>27</v>
      </c>
      <c r="I2336" s="5" t="n">
        <v>6</v>
      </c>
      <c r="J2336" s="5" t="n">
        <v>20</v>
      </c>
      <c r="K2336" s="10">
        <f>IF(F2336&gt;0,H2336/F2336,"")</f>
        <v/>
      </c>
      <c r="L2336" s="16">
        <f>IF(AND(G2336&gt;0,H2336&gt;0),G2336/H2336,"")</f>
        <v/>
      </c>
    </row>
    <row r="2337">
      <c r="A2337" s="4" t="inlineStr">
        <is>
          <t>570</t>
        </is>
      </c>
      <c r="B2337" s="4" t="n">
        <v>5</v>
      </c>
      <c r="C2337" s="4" t="inlineStr">
        <is>
          <t>whitetail</t>
        </is>
      </c>
      <c r="D2337" s="4" t="n">
        <v>2021</v>
      </c>
      <c r="E2337" s="4" t="inlineStr"/>
      <c r="F2337" s="5" t="n">
        <v>1206</v>
      </c>
      <c r="G2337" s="5" t="n">
        <v>5896</v>
      </c>
      <c r="H2337" s="5" t="n">
        <v>326</v>
      </c>
      <c r="I2337" s="5" t="n">
        <v>212</v>
      </c>
      <c r="J2337" s="5" t="n">
        <v>109</v>
      </c>
      <c r="K2337" s="10">
        <f>IF(F2337&gt;0,H2337/F2337,"")</f>
        <v/>
      </c>
      <c r="L2337" s="16">
        <f>IF(AND(G2337&gt;0,H2337&gt;0),G2337/H2337,"")</f>
        <v/>
      </c>
    </row>
    <row r="2338">
      <c r="A2338" s="4" t="inlineStr">
        <is>
          <t>575</t>
        </is>
      </c>
      <c r="B2338" s="4" t="n">
        <v>5</v>
      </c>
      <c r="C2338" s="4" t="inlineStr">
        <is>
          <t>whitetail</t>
        </is>
      </c>
      <c r="D2338" s="4" t="n">
        <v>2021</v>
      </c>
      <c r="E2338" s="13" t="inlineStr">
        <is>
          <t>General</t>
        </is>
      </c>
      <c r="F2338" s="5" t="n">
        <v>1731</v>
      </c>
      <c r="G2338" s="5" t="n">
        <v>9393</v>
      </c>
      <c r="H2338" s="5" t="n">
        <v>541</v>
      </c>
      <c r="I2338" s="5" t="n">
        <v>272</v>
      </c>
      <c r="J2338" s="5" t="n">
        <v>263</v>
      </c>
      <c r="K2338" s="10">
        <f>IF(F2338&gt;0,H2338/F2338,"")</f>
        <v/>
      </c>
      <c r="L2338" s="16">
        <f>IF(AND(G2338&gt;0,H2338&gt;0),G2338/H2338,"")</f>
        <v/>
      </c>
    </row>
    <row r="2339">
      <c r="A2339" s="4" t="inlineStr">
        <is>
          <t>575</t>
        </is>
      </c>
      <c r="B2339" s="4" t="n">
        <v>5</v>
      </c>
      <c r="C2339" s="4" t="inlineStr">
        <is>
          <t>whitetail</t>
        </is>
      </c>
      <c r="D2339" s="4" t="n">
        <v>2022</v>
      </c>
      <c r="E2339" s="13" t="inlineStr">
        <is>
          <t>General</t>
        </is>
      </c>
      <c r="F2339" s="5" t="n"/>
      <c r="G2339" s="5" t="n"/>
      <c r="H2339" s="5" t="n">
        <v>612</v>
      </c>
      <c r="I2339" s="5" t="n">
        <v>299</v>
      </c>
      <c r="J2339" s="5" t="n">
        <v>309</v>
      </c>
      <c r="K2339" s="10">
        <f>IF(F2339&gt;0,H2339/F2339,"")</f>
        <v/>
      </c>
      <c r="L2339" s="16">
        <f>IF(AND(G2339&gt;0,H2339&gt;0),G2339/H2339,"")</f>
        <v/>
      </c>
    </row>
    <row r="2340">
      <c r="A2340" s="4" t="inlineStr">
        <is>
          <t>575</t>
        </is>
      </c>
      <c r="B2340" s="4" t="n">
        <v>5</v>
      </c>
      <c r="C2340" s="4" t="inlineStr">
        <is>
          <t>whitetail</t>
        </is>
      </c>
      <c r="D2340" s="4" t="n">
        <v>2023</v>
      </c>
      <c r="E2340" s="13" t="inlineStr">
        <is>
          <t>General</t>
        </is>
      </c>
      <c r="F2340" s="5" t="n">
        <v>1970</v>
      </c>
      <c r="G2340" s="5" t="n">
        <v>11695</v>
      </c>
      <c r="H2340" s="5" t="n">
        <v>572</v>
      </c>
      <c r="I2340" s="5" t="n">
        <v>277</v>
      </c>
      <c r="J2340" s="5" t="n">
        <v>290</v>
      </c>
      <c r="K2340" s="10">
        <f>IF(F2340&gt;0,H2340/F2340,"")</f>
        <v/>
      </c>
      <c r="L2340" s="16">
        <f>IF(AND(G2340&gt;0,H2340&gt;0),G2340/H2340,"")</f>
        <v/>
      </c>
    </row>
    <row r="2341">
      <c r="A2341" s="4" t="inlineStr">
        <is>
          <t>575</t>
        </is>
      </c>
      <c r="B2341" s="4" t="n">
        <v>5</v>
      </c>
      <c r="C2341" s="4" t="inlineStr">
        <is>
          <t>whitetail</t>
        </is>
      </c>
      <c r="D2341" s="4" t="n">
        <v>2024</v>
      </c>
      <c r="E2341" s="13" t="inlineStr">
        <is>
          <t>General</t>
        </is>
      </c>
      <c r="F2341" s="5" t="n"/>
      <c r="G2341" s="5" t="n"/>
      <c r="H2341" s="5" t="n">
        <v>742</v>
      </c>
      <c r="I2341" s="5" t="n">
        <v>436</v>
      </c>
      <c r="J2341" s="5" t="n">
        <v>302</v>
      </c>
      <c r="K2341" s="10">
        <f>IF(F2341&gt;0,H2341/F2341,"")</f>
        <v/>
      </c>
      <c r="L2341" s="16">
        <f>IF(AND(G2341&gt;0,H2341&gt;0),G2341/H2341,"")</f>
        <v/>
      </c>
    </row>
    <row r="2342">
      <c r="A2342" s="4" t="inlineStr">
        <is>
          <t>575</t>
        </is>
      </c>
      <c r="B2342" s="4" t="n">
        <v>5</v>
      </c>
      <c r="C2342" s="4" t="inlineStr">
        <is>
          <t>whitetail</t>
        </is>
      </c>
      <c r="D2342" s="4" t="n">
        <v>2025</v>
      </c>
      <c r="E2342" s="13" t="inlineStr">
        <is>
          <t>General</t>
        </is>
      </c>
      <c r="F2342" s="5" t="n">
        <v>2007</v>
      </c>
      <c r="G2342" s="5" t="n">
        <v>11128</v>
      </c>
      <c r="H2342" s="5" t="n">
        <v>536</v>
      </c>
      <c r="I2342" s="5" t="n">
        <v>278</v>
      </c>
      <c r="J2342" s="5" t="n">
        <v>258</v>
      </c>
      <c r="K2342" s="10">
        <f>IF(F2342&gt;0,H2342/F2342,"")</f>
        <v/>
      </c>
      <c r="L2342" s="16">
        <f>IF(AND(G2342&gt;0,H2342&gt;0),G2342/H2342,"")</f>
        <v/>
      </c>
    </row>
    <row r="2343">
      <c r="A2343" s="4" t="inlineStr">
        <is>
          <t>580</t>
        </is>
      </c>
      <c r="B2343" s="4" t="n">
        <v>5</v>
      </c>
      <c r="C2343" s="4" t="inlineStr">
        <is>
          <t>whitetail</t>
        </is>
      </c>
      <c r="D2343" s="4" t="n">
        <v>2021</v>
      </c>
      <c r="E2343" s="13" t="inlineStr">
        <is>
          <t>General</t>
        </is>
      </c>
      <c r="F2343" s="5" t="n">
        <v>1137</v>
      </c>
      <c r="G2343" s="5" t="n">
        <v>5129</v>
      </c>
      <c r="H2343" s="5" t="n">
        <v>469</v>
      </c>
      <c r="I2343" s="5" t="n">
        <v>261</v>
      </c>
      <c r="J2343" s="5" t="n">
        <v>208</v>
      </c>
      <c r="K2343" s="10">
        <f>IF(F2343&gt;0,H2343/F2343,"")</f>
        <v/>
      </c>
      <c r="L2343" s="16">
        <f>IF(AND(G2343&gt;0,H2343&gt;0),G2343/H2343,"")</f>
        <v/>
      </c>
    </row>
    <row r="2344">
      <c r="A2344" s="4" t="inlineStr">
        <is>
          <t>580</t>
        </is>
      </c>
      <c r="B2344" s="4" t="n">
        <v>5</v>
      </c>
      <c r="C2344" s="4" t="inlineStr">
        <is>
          <t>whitetail</t>
        </is>
      </c>
      <c r="D2344" s="4" t="n">
        <v>2022</v>
      </c>
      <c r="E2344" s="13" t="inlineStr">
        <is>
          <t>General</t>
        </is>
      </c>
      <c r="F2344" s="5" t="n"/>
      <c r="G2344" s="5" t="n"/>
      <c r="H2344" s="5" t="n">
        <v>515</v>
      </c>
      <c r="I2344" s="5" t="n">
        <v>307</v>
      </c>
      <c r="J2344" s="5" t="n">
        <v>205</v>
      </c>
      <c r="K2344" s="10">
        <f>IF(F2344&gt;0,H2344/F2344,"")</f>
        <v/>
      </c>
      <c r="L2344" s="16">
        <f>IF(AND(G2344&gt;0,H2344&gt;0),G2344/H2344,"")</f>
        <v/>
      </c>
    </row>
    <row r="2345">
      <c r="A2345" s="4" t="inlineStr">
        <is>
          <t>580</t>
        </is>
      </c>
      <c r="B2345" s="4" t="n">
        <v>5</v>
      </c>
      <c r="C2345" s="4" t="inlineStr">
        <is>
          <t>whitetail</t>
        </is>
      </c>
      <c r="D2345" s="4" t="n">
        <v>2023</v>
      </c>
      <c r="E2345" s="13" t="inlineStr">
        <is>
          <t>General</t>
        </is>
      </c>
      <c r="F2345" s="5" t="n">
        <v>1145</v>
      </c>
      <c r="G2345" s="5" t="n">
        <v>5774</v>
      </c>
      <c r="H2345" s="5" t="n">
        <v>613</v>
      </c>
      <c r="I2345" s="5" t="n">
        <v>329</v>
      </c>
      <c r="J2345" s="5" t="n">
        <v>280</v>
      </c>
      <c r="K2345" s="10">
        <f>IF(F2345&gt;0,H2345/F2345,"")</f>
        <v/>
      </c>
      <c r="L2345" s="16">
        <f>IF(AND(G2345&gt;0,H2345&gt;0),G2345/H2345,"")</f>
        <v/>
      </c>
    </row>
    <row r="2346">
      <c r="A2346" s="4" t="inlineStr">
        <is>
          <t>580</t>
        </is>
      </c>
      <c r="B2346" s="4" t="n">
        <v>5</v>
      </c>
      <c r="C2346" s="4" t="inlineStr">
        <is>
          <t>whitetail</t>
        </is>
      </c>
      <c r="D2346" s="4" t="n">
        <v>2024</v>
      </c>
      <c r="E2346" s="13" t="inlineStr">
        <is>
          <t>General</t>
        </is>
      </c>
      <c r="F2346" s="5" t="n"/>
      <c r="G2346" s="5" t="n"/>
      <c r="H2346" s="5" t="n">
        <v>588</v>
      </c>
      <c r="I2346" s="5" t="n">
        <v>352</v>
      </c>
      <c r="J2346" s="5" t="n">
        <v>236</v>
      </c>
      <c r="K2346" s="10">
        <f>IF(F2346&gt;0,H2346/F2346,"")</f>
        <v/>
      </c>
      <c r="L2346" s="16">
        <f>IF(AND(G2346&gt;0,H2346&gt;0),G2346/H2346,"")</f>
        <v/>
      </c>
    </row>
    <row r="2347">
      <c r="A2347" s="4" t="inlineStr">
        <is>
          <t>580</t>
        </is>
      </c>
      <c r="B2347" s="4" t="n">
        <v>5</v>
      </c>
      <c r="C2347" s="4" t="inlineStr">
        <is>
          <t>whitetail</t>
        </is>
      </c>
      <c r="D2347" s="4" t="n">
        <v>2025</v>
      </c>
      <c r="E2347" s="13" t="inlineStr">
        <is>
          <t>General</t>
        </is>
      </c>
      <c r="F2347" s="5" t="n">
        <v>1399</v>
      </c>
      <c r="G2347" s="5" t="n">
        <v>7790</v>
      </c>
      <c r="H2347" s="5" t="n">
        <v>496</v>
      </c>
      <c r="I2347" s="5" t="n">
        <v>254</v>
      </c>
      <c r="J2347" s="5" t="n">
        <v>239</v>
      </c>
      <c r="K2347" s="10">
        <f>IF(F2347&gt;0,H2347/F2347,"")</f>
        <v/>
      </c>
      <c r="L2347" s="16">
        <f>IF(AND(G2347&gt;0,H2347&gt;0),G2347/H2347,"")</f>
        <v/>
      </c>
    </row>
    <row r="2348">
      <c r="A2348" s="4" t="inlineStr">
        <is>
          <t>590</t>
        </is>
      </c>
      <c r="B2348" s="4" t="n">
        <v>5</v>
      </c>
      <c r="C2348" s="4" t="inlineStr">
        <is>
          <t>whitetail</t>
        </is>
      </c>
      <c r="D2348" s="4" t="n">
        <v>2021</v>
      </c>
      <c r="E2348" s="13" t="inlineStr">
        <is>
          <t>General</t>
        </is>
      </c>
      <c r="F2348" s="5" t="n">
        <v>3920</v>
      </c>
      <c r="G2348" s="5" t="n">
        <v>24128</v>
      </c>
      <c r="H2348" s="5" t="n">
        <v>894</v>
      </c>
      <c r="I2348" s="5" t="n">
        <v>478</v>
      </c>
      <c r="J2348" s="5" t="n">
        <v>417</v>
      </c>
      <c r="K2348" s="10">
        <f>IF(F2348&gt;0,H2348/F2348,"")</f>
        <v/>
      </c>
      <c r="L2348" s="16">
        <f>IF(AND(G2348&gt;0,H2348&gt;0),G2348/H2348,"")</f>
        <v/>
      </c>
    </row>
    <row r="2349">
      <c r="A2349" s="4" t="inlineStr">
        <is>
          <t>590</t>
        </is>
      </c>
      <c r="B2349" s="4" t="n">
        <v>5</v>
      </c>
      <c r="C2349" s="4" t="inlineStr">
        <is>
          <t>whitetail</t>
        </is>
      </c>
      <c r="D2349" s="4" t="n">
        <v>2022</v>
      </c>
      <c r="E2349" s="13" t="inlineStr">
        <is>
          <t>General</t>
        </is>
      </c>
      <c r="F2349" s="5" t="n"/>
      <c r="G2349" s="5" t="n"/>
      <c r="H2349" s="5" t="n">
        <v>1004</v>
      </c>
      <c r="I2349" s="5" t="n">
        <v>505</v>
      </c>
      <c r="J2349" s="5" t="n">
        <v>490</v>
      </c>
      <c r="K2349" s="10">
        <f>IF(F2349&gt;0,H2349/F2349,"")</f>
        <v/>
      </c>
      <c r="L2349" s="16">
        <f>IF(AND(G2349&gt;0,H2349&gt;0),G2349/H2349,"")</f>
        <v/>
      </c>
    </row>
    <row r="2350">
      <c r="A2350" s="4" t="inlineStr">
        <is>
          <t>590</t>
        </is>
      </c>
      <c r="B2350" s="4" t="n">
        <v>5</v>
      </c>
      <c r="C2350" s="4" t="inlineStr">
        <is>
          <t>whitetail</t>
        </is>
      </c>
      <c r="D2350" s="4" t="n">
        <v>2023</v>
      </c>
      <c r="E2350" s="13" t="inlineStr">
        <is>
          <t>General</t>
        </is>
      </c>
      <c r="F2350" s="5" t="n">
        <v>3941</v>
      </c>
      <c r="G2350" s="5" t="n">
        <v>23209</v>
      </c>
      <c r="H2350" s="5" t="n">
        <v>836</v>
      </c>
      <c r="I2350" s="5" t="n">
        <v>467</v>
      </c>
      <c r="J2350" s="5" t="n">
        <v>366</v>
      </c>
      <c r="K2350" s="10">
        <f>IF(F2350&gt;0,H2350/F2350,"")</f>
        <v/>
      </c>
      <c r="L2350" s="16">
        <f>IF(AND(G2350&gt;0,H2350&gt;0),G2350/H2350,"")</f>
        <v/>
      </c>
    </row>
    <row r="2351">
      <c r="A2351" s="4" t="inlineStr">
        <is>
          <t>590</t>
        </is>
      </c>
      <c r="B2351" s="4" t="n">
        <v>5</v>
      </c>
      <c r="C2351" s="4" t="inlineStr">
        <is>
          <t>whitetail</t>
        </is>
      </c>
      <c r="D2351" s="4" t="n">
        <v>2024</v>
      </c>
      <c r="E2351" s="13" t="inlineStr">
        <is>
          <t>General</t>
        </is>
      </c>
      <c r="F2351" s="5" t="n"/>
      <c r="G2351" s="5" t="n"/>
      <c r="H2351" s="5" t="n">
        <v>884</v>
      </c>
      <c r="I2351" s="5" t="n">
        <v>559</v>
      </c>
      <c r="J2351" s="5" t="n">
        <v>323</v>
      </c>
      <c r="K2351" s="10">
        <f>IF(F2351&gt;0,H2351/F2351,"")</f>
        <v/>
      </c>
      <c r="L2351" s="16">
        <f>IF(AND(G2351&gt;0,H2351&gt;0),G2351/H2351,"")</f>
        <v/>
      </c>
    </row>
    <row r="2352">
      <c r="A2352" s="4" t="inlineStr">
        <is>
          <t>590</t>
        </is>
      </c>
      <c r="B2352" s="4" t="n">
        <v>5</v>
      </c>
      <c r="C2352" s="4" t="inlineStr">
        <is>
          <t>whitetail</t>
        </is>
      </c>
      <c r="D2352" s="4" t="n">
        <v>2025</v>
      </c>
      <c r="E2352" s="13" t="inlineStr">
        <is>
          <t>General</t>
        </is>
      </c>
      <c r="F2352" s="5" t="n">
        <v>3919</v>
      </c>
      <c r="G2352" s="5" t="n">
        <v>24766</v>
      </c>
      <c r="H2352" s="5" t="n">
        <v>731</v>
      </c>
      <c r="I2352" s="5" t="n">
        <v>420</v>
      </c>
      <c r="J2352" s="5" t="n">
        <v>304</v>
      </c>
      <c r="K2352" s="10">
        <f>IF(F2352&gt;0,H2352/F2352,"")</f>
        <v/>
      </c>
      <c r="L2352" s="16">
        <f>IF(AND(G2352&gt;0,H2352&gt;0),G2352/H2352,"")</f>
        <v/>
      </c>
    </row>
    <row r="2353">
      <c r="A2353" s="4" t="inlineStr">
        <is>
          <t>600</t>
        </is>
      </c>
      <c r="B2353" s="4" t="n">
        <v>6</v>
      </c>
      <c r="C2353" s="4" t="inlineStr">
        <is>
          <t>whitetail</t>
        </is>
      </c>
      <c r="D2353" s="4" t="n">
        <v>2021</v>
      </c>
      <c r="E2353" s="13" t="inlineStr">
        <is>
          <t>General</t>
        </is>
      </c>
      <c r="F2353" s="5" t="n">
        <v>2272</v>
      </c>
      <c r="G2353" s="5" t="n">
        <v>12924</v>
      </c>
      <c r="H2353" s="5" t="n">
        <v>532</v>
      </c>
      <c r="I2353" s="5" t="n">
        <v>334</v>
      </c>
      <c r="J2353" s="5" t="n">
        <v>194</v>
      </c>
      <c r="K2353" s="10">
        <f>IF(F2353&gt;0,H2353/F2353,"")</f>
        <v/>
      </c>
      <c r="L2353" s="16">
        <f>IF(AND(G2353&gt;0,H2353&gt;0),G2353/H2353,"")</f>
        <v/>
      </c>
    </row>
    <row r="2354">
      <c r="A2354" s="4" t="inlineStr">
        <is>
          <t>600</t>
        </is>
      </c>
      <c r="B2354" s="4" t="n">
        <v>6</v>
      </c>
      <c r="C2354" s="4" t="inlineStr">
        <is>
          <t>whitetail</t>
        </is>
      </c>
      <c r="D2354" s="4" t="n">
        <v>2022</v>
      </c>
      <c r="E2354" s="13" t="inlineStr">
        <is>
          <t>General</t>
        </is>
      </c>
      <c r="F2354" s="5" t="n"/>
      <c r="G2354" s="5" t="n"/>
      <c r="H2354" s="5" t="n">
        <v>580</v>
      </c>
      <c r="I2354" s="5" t="n">
        <v>299</v>
      </c>
      <c r="J2354" s="5" t="n">
        <v>281</v>
      </c>
      <c r="K2354" s="10">
        <f>IF(F2354&gt;0,H2354/F2354,"")</f>
        <v/>
      </c>
      <c r="L2354" s="16">
        <f>IF(AND(G2354&gt;0,H2354&gt;0),G2354/H2354,"")</f>
        <v/>
      </c>
    </row>
    <row r="2355">
      <c r="A2355" s="4" t="inlineStr">
        <is>
          <t>600</t>
        </is>
      </c>
      <c r="B2355" s="4" t="n">
        <v>6</v>
      </c>
      <c r="C2355" s="4" t="inlineStr">
        <is>
          <t>whitetail</t>
        </is>
      </c>
      <c r="D2355" s="4" t="n">
        <v>2023</v>
      </c>
      <c r="E2355" s="13" t="inlineStr">
        <is>
          <t>General</t>
        </is>
      </c>
      <c r="F2355" s="5" t="n">
        <v>2398</v>
      </c>
      <c r="G2355" s="5" t="n">
        <v>14035</v>
      </c>
      <c r="H2355" s="5" t="n">
        <v>530</v>
      </c>
      <c r="I2355" s="5" t="n">
        <v>232</v>
      </c>
      <c r="J2355" s="5" t="n">
        <v>294</v>
      </c>
      <c r="K2355" s="10">
        <f>IF(F2355&gt;0,H2355/F2355,"")</f>
        <v/>
      </c>
      <c r="L2355" s="16">
        <f>IF(AND(G2355&gt;0,H2355&gt;0),G2355/H2355,"")</f>
        <v/>
      </c>
    </row>
    <row r="2356">
      <c r="A2356" s="4" t="inlineStr">
        <is>
          <t>600</t>
        </is>
      </c>
      <c r="B2356" s="4" t="n">
        <v>6</v>
      </c>
      <c r="C2356" s="4" t="inlineStr">
        <is>
          <t>whitetail</t>
        </is>
      </c>
      <c r="D2356" s="4" t="n">
        <v>2024</v>
      </c>
      <c r="E2356" s="13" t="inlineStr">
        <is>
          <t>General</t>
        </is>
      </c>
      <c r="F2356" s="5" t="n"/>
      <c r="G2356" s="5" t="n"/>
      <c r="H2356" s="5" t="n">
        <v>531</v>
      </c>
      <c r="I2356" s="5" t="n">
        <v>298</v>
      </c>
      <c r="J2356" s="5" t="n">
        <v>230</v>
      </c>
      <c r="K2356" s="10">
        <f>IF(F2356&gt;0,H2356/F2356,"")</f>
        <v/>
      </c>
      <c r="L2356" s="16">
        <f>IF(AND(G2356&gt;0,H2356&gt;0),G2356/H2356,"")</f>
        <v/>
      </c>
    </row>
    <row r="2357">
      <c r="A2357" s="4" t="inlineStr">
        <is>
          <t>600</t>
        </is>
      </c>
      <c r="B2357" s="4" t="n">
        <v>6</v>
      </c>
      <c r="C2357" s="4" t="inlineStr">
        <is>
          <t>whitetail</t>
        </is>
      </c>
      <c r="D2357" s="4" t="n">
        <v>2025</v>
      </c>
      <c r="E2357" s="13" t="inlineStr">
        <is>
          <t>General</t>
        </is>
      </c>
      <c r="F2357" s="5" t="n">
        <v>1998</v>
      </c>
      <c r="G2357" s="5" t="n">
        <v>10849</v>
      </c>
      <c r="H2357" s="5" t="n">
        <v>272</v>
      </c>
      <c r="I2357" s="5" t="n">
        <v>173</v>
      </c>
      <c r="J2357" s="5" t="n">
        <v>95</v>
      </c>
      <c r="K2357" s="10">
        <f>IF(F2357&gt;0,H2357/F2357,"")</f>
        <v/>
      </c>
      <c r="L2357" s="16">
        <f>IF(AND(G2357&gt;0,H2357&gt;0),G2357/H2357,"")</f>
        <v/>
      </c>
    </row>
    <row r="2358">
      <c r="A2358" s="4" t="inlineStr">
        <is>
          <t>620</t>
        </is>
      </c>
      <c r="B2358" s="4" t="n">
        <v>6</v>
      </c>
      <c r="C2358" s="4" t="inlineStr">
        <is>
          <t>whitetail</t>
        </is>
      </c>
      <c r="D2358" s="4" t="n">
        <v>2021</v>
      </c>
      <c r="E2358" s="13" t="inlineStr">
        <is>
          <t>General</t>
        </is>
      </c>
      <c r="F2358" s="5" t="n">
        <v>1760</v>
      </c>
      <c r="G2358" s="5" t="n">
        <v>9970</v>
      </c>
      <c r="H2358" s="5" t="n">
        <v>144</v>
      </c>
      <c r="I2358" s="5" t="n">
        <v>66</v>
      </c>
      <c r="J2358" s="5" t="n">
        <v>79</v>
      </c>
      <c r="K2358" s="10">
        <f>IF(F2358&gt;0,H2358/F2358,"")</f>
        <v/>
      </c>
      <c r="L2358" s="16">
        <f>IF(AND(G2358&gt;0,H2358&gt;0),G2358/H2358,"")</f>
        <v/>
      </c>
    </row>
    <row r="2359">
      <c r="A2359" s="4" t="inlineStr">
        <is>
          <t>620</t>
        </is>
      </c>
      <c r="B2359" s="4" t="n">
        <v>6</v>
      </c>
      <c r="C2359" s="4" t="inlineStr">
        <is>
          <t>whitetail</t>
        </is>
      </c>
      <c r="D2359" s="4" t="n">
        <v>2022</v>
      </c>
      <c r="E2359" s="13" t="inlineStr">
        <is>
          <t>General</t>
        </is>
      </c>
      <c r="F2359" s="5" t="n"/>
      <c r="G2359" s="5" t="n"/>
      <c r="H2359" s="5" t="n">
        <v>192</v>
      </c>
      <c r="I2359" s="5" t="n">
        <v>123</v>
      </c>
      <c r="J2359" s="5" t="n">
        <v>69</v>
      </c>
      <c r="K2359" s="10">
        <f>IF(F2359&gt;0,H2359/F2359,"")</f>
        <v/>
      </c>
      <c r="L2359" s="16">
        <f>IF(AND(G2359&gt;0,H2359&gt;0),G2359/H2359,"")</f>
        <v/>
      </c>
    </row>
    <row r="2360">
      <c r="A2360" s="4" t="inlineStr">
        <is>
          <t>620</t>
        </is>
      </c>
      <c r="B2360" s="4" t="n">
        <v>6</v>
      </c>
      <c r="C2360" s="4" t="inlineStr">
        <is>
          <t>whitetail</t>
        </is>
      </c>
      <c r="D2360" s="4" t="n">
        <v>2023</v>
      </c>
      <c r="E2360" s="13" t="inlineStr">
        <is>
          <t>General</t>
        </is>
      </c>
      <c r="F2360" s="5" t="n">
        <v>1326</v>
      </c>
      <c r="G2360" s="5" t="n">
        <v>7199</v>
      </c>
      <c r="H2360" s="5" t="n">
        <v>166</v>
      </c>
      <c r="I2360" s="5" t="n">
        <v>84</v>
      </c>
      <c r="J2360" s="5" t="n">
        <v>82</v>
      </c>
      <c r="K2360" s="10">
        <f>IF(F2360&gt;0,H2360/F2360,"")</f>
        <v/>
      </c>
      <c r="L2360" s="16">
        <f>IF(AND(G2360&gt;0,H2360&gt;0),G2360/H2360,"")</f>
        <v/>
      </c>
    </row>
    <row r="2361">
      <c r="A2361" s="4" t="inlineStr">
        <is>
          <t>620</t>
        </is>
      </c>
      <c r="B2361" s="4" t="n">
        <v>6</v>
      </c>
      <c r="C2361" s="4" t="inlineStr">
        <is>
          <t>whitetail</t>
        </is>
      </c>
      <c r="D2361" s="4" t="n">
        <v>2024</v>
      </c>
      <c r="E2361" s="13" t="inlineStr">
        <is>
          <t>General</t>
        </is>
      </c>
      <c r="F2361" s="5" t="n"/>
      <c r="G2361" s="5" t="n"/>
      <c r="H2361" s="5" t="n">
        <v>214</v>
      </c>
      <c r="I2361" s="5" t="n">
        <v>136</v>
      </c>
      <c r="J2361" s="5" t="n">
        <v>79</v>
      </c>
      <c r="K2361" s="10">
        <f>IF(F2361&gt;0,H2361/F2361,"")</f>
        <v/>
      </c>
      <c r="L2361" s="16">
        <f>IF(AND(G2361&gt;0,H2361&gt;0),G2361/H2361,"")</f>
        <v/>
      </c>
    </row>
    <row r="2362">
      <c r="A2362" s="4" t="inlineStr">
        <is>
          <t>620</t>
        </is>
      </c>
      <c r="B2362" s="4" t="n">
        <v>6</v>
      </c>
      <c r="C2362" s="4" t="inlineStr">
        <is>
          <t>whitetail</t>
        </is>
      </c>
      <c r="D2362" s="4" t="n">
        <v>2025</v>
      </c>
      <c r="E2362" s="13" t="inlineStr">
        <is>
          <t>General</t>
        </is>
      </c>
      <c r="F2362" s="5" t="n">
        <v>1199</v>
      </c>
      <c r="G2362" s="5" t="n">
        <v>6966</v>
      </c>
      <c r="H2362" s="5" t="n">
        <v>46</v>
      </c>
      <c r="I2362" s="5" t="n">
        <v>20</v>
      </c>
      <c r="J2362" s="5" t="n">
        <v>23</v>
      </c>
      <c r="K2362" s="10">
        <f>IF(F2362&gt;0,H2362/F2362,"")</f>
        <v/>
      </c>
      <c r="L2362" s="16">
        <f>IF(AND(G2362&gt;0,H2362&gt;0),G2362/H2362,"")</f>
        <v/>
      </c>
    </row>
    <row r="2363">
      <c r="A2363" s="4" t="inlineStr">
        <is>
          <t>621</t>
        </is>
      </c>
      <c r="B2363" s="4" t="n">
        <v>6</v>
      </c>
      <c r="C2363" s="4" t="inlineStr">
        <is>
          <t>whitetail</t>
        </is>
      </c>
      <c r="D2363" s="4" t="n">
        <v>2021</v>
      </c>
      <c r="E2363" s="13" t="inlineStr">
        <is>
          <t>General</t>
        </is>
      </c>
      <c r="F2363" s="5" t="n">
        <v>1035</v>
      </c>
      <c r="G2363" s="5" t="n">
        <v>5980</v>
      </c>
      <c r="H2363" s="5" t="n">
        <v>67</v>
      </c>
      <c r="I2363" s="5" t="n">
        <v>39</v>
      </c>
      <c r="J2363" s="5" t="n">
        <v>28</v>
      </c>
      <c r="K2363" s="10">
        <f>IF(F2363&gt;0,H2363/F2363,"")</f>
        <v/>
      </c>
      <c r="L2363" s="16">
        <f>IF(AND(G2363&gt;0,H2363&gt;0),G2363/H2363,"")</f>
        <v/>
      </c>
    </row>
    <row r="2364">
      <c r="A2364" s="4" t="inlineStr">
        <is>
          <t>621</t>
        </is>
      </c>
      <c r="B2364" s="4" t="n">
        <v>6</v>
      </c>
      <c r="C2364" s="4" t="inlineStr">
        <is>
          <t>whitetail</t>
        </is>
      </c>
      <c r="D2364" s="4" t="n">
        <v>2022</v>
      </c>
      <c r="E2364" s="13" t="inlineStr">
        <is>
          <t>General</t>
        </is>
      </c>
      <c r="F2364" s="5" t="n"/>
      <c r="G2364" s="5" t="n"/>
      <c r="H2364" s="5" t="n">
        <v>55</v>
      </c>
      <c r="I2364" s="5" t="n">
        <v>29</v>
      </c>
      <c r="J2364" s="5" t="n">
        <v>26</v>
      </c>
      <c r="K2364" s="10">
        <f>IF(F2364&gt;0,H2364/F2364,"")</f>
        <v/>
      </c>
      <c r="L2364" s="16">
        <f>IF(AND(G2364&gt;0,H2364&gt;0),G2364/H2364,"")</f>
        <v/>
      </c>
    </row>
    <row r="2365">
      <c r="A2365" s="4" t="inlineStr">
        <is>
          <t>621</t>
        </is>
      </c>
      <c r="B2365" s="4" t="n">
        <v>6</v>
      </c>
      <c r="C2365" s="4" t="inlineStr">
        <is>
          <t>whitetail</t>
        </is>
      </c>
      <c r="D2365" s="4" t="n">
        <v>2023</v>
      </c>
      <c r="E2365" s="13" t="inlineStr">
        <is>
          <t>General</t>
        </is>
      </c>
      <c r="F2365" s="5" t="n">
        <v>824</v>
      </c>
      <c r="G2365" s="5" t="n">
        <v>4743</v>
      </c>
      <c r="H2365" s="5" t="n">
        <v>78</v>
      </c>
      <c r="I2365" s="5" t="n">
        <v>36</v>
      </c>
      <c r="J2365" s="5" t="n">
        <v>42</v>
      </c>
      <c r="K2365" s="10">
        <f>IF(F2365&gt;0,H2365/F2365,"")</f>
        <v/>
      </c>
      <c r="L2365" s="16">
        <f>IF(AND(G2365&gt;0,H2365&gt;0),G2365/H2365,"")</f>
        <v/>
      </c>
    </row>
    <row r="2366">
      <c r="A2366" s="4" t="inlineStr">
        <is>
          <t>621</t>
        </is>
      </c>
      <c r="B2366" s="4" t="n">
        <v>6</v>
      </c>
      <c r="C2366" s="4" t="inlineStr">
        <is>
          <t>whitetail</t>
        </is>
      </c>
      <c r="D2366" s="4" t="n">
        <v>2024</v>
      </c>
      <c r="E2366" s="13" t="inlineStr">
        <is>
          <t>General</t>
        </is>
      </c>
      <c r="F2366" s="5" t="n"/>
      <c r="G2366" s="5" t="n"/>
      <c r="H2366" s="5" t="n">
        <v>62</v>
      </c>
      <c r="I2366" s="5" t="n">
        <v>36</v>
      </c>
      <c r="J2366" s="5" t="n">
        <v>26</v>
      </c>
      <c r="K2366" s="10">
        <f>IF(F2366&gt;0,H2366/F2366,"")</f>
        <v/>
      </c>
      <c r="L2366" s="16">
        <f>IF(AND(G2366&gt;0,H2366&gt;0),G2366/H2366,"")</f>
        <v/>
      </c>
    </row>
    <row r="2367">
      <c r="A2367" s="4" t="inlineStr">
        <is>
          <t>621</t>
        </is>
      </c>
      <c r="B2367" s="4" t="n">
        <v>6</v>
      </c>
      <c r="C2367" s="4" t="inlineStr">
        <is>
          <t>whitetail</t>
        </is>
      </c>
      <c r="D2367" s="4" t="n">
        <v>2025</v>
      </c>
      <c r="E2367" s="13" t="inlineStr">
        <is>
          <t>General</t>
        </is>
      </c>
      <c r="F2367" s="5" t="n">
        <v>764</v>
      </c>
      <c r="G2367" s="5" t="n">
        <v>5003</v>
      </c>
      <c r="H2367" s="5" t="n">
        <v>38</v>
      </c>
      <c r="I2367" s="5" t="n">
        <v>18</v>
      </c>
      <c r="J2367" s="5" t="n">
        <v>20</v>
      </c>
      <c r="K2367" s="10">
        <f>IF(F2367&gt;0,H2367/F2367,"")</f>
        <v/>
      </c>
      <c r="L2367" s="16">
        <f>IF(AND(G2367&gt;0,H2367&gt;0),G2367/H2367,"")</f>
        <v/>
      </c>
    </row>
    <row r="2368">
      <c r="A2368" s="4" t="inlineStr">
        <is>
          <t>622</t>
        </is>
      </c>
      <c r="B2368" s="4" t="n">
        <v>6</v>
      </c>
      <c r="C2368" s="4" t="inlineStr">
        <is>
          <t>whitetail</t>
        </is>
      </c>
      <c r="D2368" s="4" t="n">
        <v>2021</v>
      </c>
      <c r="E2368" s="13" t="inlineStr">
        <is>
          <t>General</t>
        </is>
      </c>
      <c r="F2368" s="5" t="n">
        <v>633</v>
      </c>
      <c r="G2368" s="5" t="n">
        <v>3156</v>
      </c>
      <c r="H2368" s="5" t="n">
        <v>4</v>
      </c>
      <c r="I2368" s="5" t="n">
        <v>4</v>
      </c>
      <c r="J2368" s="5" t="n">
        <v>0</v>
      </c>
      <c r="K2368" s="10">
        <f>IF(F2368&gt;0,H2368/F2368,"")</f>
        <v/>
      </c>
      <c r="L2368" s="16">
        <f>IF(AND(G2368&gt;0,H2368&gt;0),G2368/H2368,"")</f>
        <v/>
      </c>
    </row>
    <row r="2369">
      <c r="A2369" s="4" t="inlineStr">
        <is>
          <t>622</t>
        </is>
      </c>
      <c r="B2369" s="4" t="n">
        <v>6</v>
      </c>
      <c r="C2369" s="4" t="inlineStr">
        <is>
          <t>whitetail</t>
        </is>
      </c>
      <c r="D2369" s="4" t="n">
        <v>2022</v>
      </c>
      <c r="E2369" s="13" t="inlineStr">
        <is>
          <t>General</t>
        </is>
      </c>
      <c r="F2369" s="5" t="n"/>
      <c r="G2369" s="5" t="n"/>
      <c r="H2369" s="5" t="n">
        <v>8</v>
      </c>
      <c r="I2369" s="5" t="n">
        <v>3</v>
      </c>
      <c r="J2369" s="5" t="n">
        <v>4</v>
      </c>
      <c r="K2369" s="10">
        <f>IF(F2369&gt;0,H2369/F2369,"")</f>
        <v/>
      </c>
      <c r="L2369" s="16">
        <f>IF(AND(G2369&gt;0,H2369&gt;0),G2369/H2369,"")</f>
        <v/>
      </c>
    </row>
    <row r="2370">
      <c r="A2370" s="4" t="inlineStr">
        <is>
          <t>622</t>
        </is>
      </c>
      <c r="B2370" s="4" t="n">
        <v>6</v>
      </c>
      <c r="C2370" s="4" t="inlineStr">
        <is>
          <t>whitetail</t>
        </is>
      </c>
      <c r="D2370" s="4" t="n">
        <v>2023</v>
      </c>
      <c r="E2370" s="13" t="inlineStr">
        <is>
          <t>General</t>
        </is>
      </c>
      <c r="F2370" s="5" t="n">
        <v>475</v>
      </c>
      <c r="G2370" s="5" t="n">
        <v>2343</v>
      </c>
      <c r="H2370" s="5" t="n">
        <v>17</v>
      </c>
      <c r="I2370" s="5" t="n">
        <v>14</v>
      </c>
      <c r="J2370" s="5" t="n">
        <v>3</v>
      </c>
      <c r="K2370" s="10">
        <f>IF(F2370&gt;0,H2370/F2370,"")</f>
        <v/>
      </c>
      <c r="L2370" s="16">
        <f>IF(AND(G2370&gt;0,H2370&gt;0),G2370/H2370,"")</f>
        <v/>
      </c>
    </row>
    <row r="2371">
      <c r="A2371" s="4" t="inlineStr">
        <is>
          <t>622</t>
        </is>
      </c>
      <c r="B2371" s="4" t="n">
        <v>6</v>
      </c>
      <c r="C2371" s="4" t="inlineStr">
        <is>
          <t>whitetail</t>
        </is>
      </c>
      <c r="D2371" s="4" t="n">
        <v>2024</v>
      </c>
      <c r="E2371" s="13" t="inlineStr">
        <is>
          <t>General</t>
        </is>
      </c>
      <c r="F2371" s="5" t="n"/>
      <c r="G2371" s="5" t="n"/>
      <c r="H2371" s="5" t="n">
        <v>15</v>
      </c>
      <c r="I2371" s="5" t="n">
        <v>11</v>
      </c>
      <c r="J2371" s="5" t="n">
        <v>4</v>
      </c>
      <c r="K2371" s="10">
        <f>IF(F2371&gt;0,H2371/F2371,"")</f>
        <v/>
      </c>
      <c r="L2371" s="16">
        <f>IF(AND(G2371&gt;0,H2371&gt;0),G2371/H2371,"")</f>
        <v/>
      </c>
    </row>
    <row r="2372">
      <c r="A2372" s="4" t="inlineStr">
        <is>
          <t>622</t>
        </is>
      </c>
      <c r="B2372" s="4" t="n">
        <v>6</v>
      </c>
      <c r="C2372" s="4" t="inlineStr">
        <is>
          <t>whitetail</t>
        </is>
      </c>
      <c r="D2372" s="4" t="n">
        <v>2025</v>
      </c>
      <c r="E2372" s="13" t="inlineStr">
        <is>
          <t>General</t>
        </is>
      </c>
      <c r="F2372" s="5" t="n">
        <v>434</v>
      </c>
      <c r="G2372" s="5" t="n">
        <v>2493</v>
      </c>
      <c r="H2372" s="5" t="n">
        <v>23</v>
      </c>
      <c r="I2372" s="5" t="n">
        <v>15</v>
      </c>
      <c r="J2372" s="5" t="n">
        <v>8</v>
      </c>
      <c r="K2372" s="10">
        <f>IF(F2372&gt;0,H2372/F2372,"")</f>
        <v/>
      </c>
      <c r="L2372" s="16">
        <f>IF(AND(G2372&gt;0,H2372&gt;0),G2372/H2372,"")</f>
        <v/>
      </c>
    </row>
    <row r="2373">
      <c r="A2373" s="4" t="inlineStr">
        <is>
          <t>630</t>
        </is>
      </c>
      <c r="B2373" s="4" t="n">
        <v>6</v>
      </c>
      <c r="C2373" s="4" t="inlineStr">
        <is>
          <t>whitetail</t>
        </is>
      </c>
      <c r="D2373" s="4" t="n">
        <v>2021</v>
      </c>
      <c r="E2373" s="13" t="inlineStr">
        <is>
          <t>General</t>
        </is>
      </c>
      <c r="F2373" s="5" t="n">
        <v>1931</v>
      </c>
      <c r="G2373" s="5" t="n">
        <v>10362</v>
      </c>
      <c r="H2373" s="5" t="n">
        <v>310</v>
      </c>
      <c r="I2373" s="5" t="n">
        <v>173</v>
      </c>
      <c r="J2373" s="5" t="n">
        <v>129</v>
      </c>
      <c r="K2373" s="10">
        <f>IF(F2373&gt;0,H2373/F2373,"")</f>
        <v/>
      </c>
      <c r="L2373" s="16">
        <f>IF(AND(G2373&gt;0,H2373&gt;0),G2373/H2373,"")</f>
        <v/>
      </c>
    </row>
    <row r="2374">
      <c r="A2374" s="4" t="inlineStr">
        <is>
          <t>630</t>
        </is>
      </c>
      <c r="B2374" s="4" t="n">
        <v>6</v>
      </c>
      <c r="C2374" s="4" t="inlineStr">
        <is>
          <t>whitetail</t>
        </is>
      </c>
      <c r="D2374" s="4" t="n">
        <v>2022</v>
      </c>
      <c r="E2374" s="13" t="inlineStr">
        <is>
          <t>General</t>
        </is>
      </c>
      <c r="F2374" s="5" t="n"/>
      <c r="G2374" s="5" t="n"/>
      <c r="H2374" s="5" t="n">
        <v>505</v>
      </c>
      <c r="I2374" s="5" t="n">
        <v>212</v>
      </c>
      <c r="J2374" s="5" t="n">
        <v>286</v>
      </c>
      <c r="K2374" s="10">
        <f>IF(F2374&gt;0,H2374/F2374,"")</f>
        <v/>
      </c>
      <c r="L2374" s="16">
        <f>IF(AND(G2374&gt;0,H2374&gt;0),G2374/H2374,"")</f>
        <v/>
      </c>
    </row>
    <row r="2375">
      <c r="A2375" s="4" t="inlineStr">
        <is>
          <t>630</t>
        </is>
      </c>
      <c r="B2375" s="4" t="n">
        <v>6</v>
      </c>
      <c r="C2375" s="4" t="inlineStr">
        <is>
          <t>whitetail</t>
        </is>
      </c>
      <c r="D2375" s="4" t="n">
        <v>2023</v>
      </c>
      <c r="E2375" s="13" t="inlineStr">
        <is>
          <t>General</t>
        </is>
      </c>
      <c r="F2375" s="5" t="n">
        <v>1964</v>
      </c>
      <c r="G2375" s="5" t="n">
        <v>10722</v>
      </c>
      <c r="H2375" s="5" t="n">
        <v>352</v>
      </c>
      <c r="I2375" s="5" t="n">
        <v>196</v>
      </c>
      <c r="J2375" s="5" t="n">
        <v>155</v>
      </c>
      <c r="K2375" s="10">
        <f>IF(F2375&gt;0,H2375/F2375,"")</f>
        <v/>
      </c>
      <c r="L2375" s="16">
        <f>IF(AND(G2375&gt;0,H2375&gt;0),G2375/H2375,"")</f>
        <v/>
      </c>
    </row>
    <row r="2376">
      <c r="A2376" s="4" t="inlineStr">
        <is>
          <t>630</t>
        </is>
      </c>
      <c r="B2376" s="4" t="n">
        <v>6</v>
      </c>
      <c r="C2376" s="4" t="inlineStr">
        <is>
          <t>whitetail</t>
        </is>
      </c>
      <c r="D2376" s="4" t="n">
        <v>2024</v>
      </c>
      <c r="E2376" s="13" t="inlineStr">
        <is>
          <t>General</t>
        </is>
      </c>
      <c r="F2376" s="5" t="n"/>
      <c r="G2376" s="5" t="n"/>
      <c r="H2376" s="5" t="n">
        <v>412</v>
      </c>
      <c r="I2376" s="5" t="n">
        <v>213</v>
      </c>
      <c r="J2376" s="5" t="n">
        <v>199</v>
      </c>
      <c r="K2376" s="10">
        <f>IF(F2376&gt;0,H2376/F2376,"")</f>
        <v/>
      </c>
      <c r="L2376" s="16">
        <f>IF(AND(G2376&gt;0,H2376&gt;0),G2376/H2376,"")</f>
        <v/>
      </c>
    </row>
    <row r="2377">
      <c r="A2377" s="4" t="inlineStr">
        <is>
          <t>630</t>
        </is>
      </c>
      <c r="B2377" s="4" t="n">
        <v>6</v>
      </c>
      <c r="C2377" s="4" t="inlineStr">
        <is>
          <t>whitetail</t>
        </is>
      </c>
      <c r="D2377" s="4" t="n">
        <v>2025</v>
      </c>
      <c r="E2377" s="13" t="inlineStr">
        <is>
          <t>General</t>
        </is>
      </c>
      <c r="F2377" s="5" t="n">
        <v>1664</v>
      </c>
      <c r="G2377" s="5" t="n">
        <v>11316</v>
      </c>
      <c r="H2377" s="5" t="n">
        <v>202</v>
      </c>
      <c r="I2377" s="5" t="n">
        <v>129</v>
      </c>
      <c r="J2377" s="5" t="n">
        <v>69</v>
      </c>
      <c r="K2377" s="10">
        <f>IF(F2377&gt;0,H2377/F2377,"")</f>
        <v/>
      </c>
      <c r="L2377" s="16">
        <f>IF(AND(G2377&gt;0,H2377&gt;0),G2377/H2377,"")</f>
        <v/>
      </c>
    </row>
    <row r="2378">
      <c r="A2378" s="4" t="inlineStr">
        <is>
          <t>632</t>
        </is>
      </c>
      <c r="B2378" s="4" t="n">
        <v>6</v>
      </c>
      <c r="C2378" s="4" t="inlineStr">
        <is>
          <t>whitetail</t>
        </is>
      </c>
      <c r="D2378" s="4" t="n">
        <v>2021</v>
      </c>
      <c r="E2378" s="4" t="inlineStr"/>
      <c r="F2378" s="5" t="n">
        <v>405</v>
      </c>
      <c r="G2378" s="5" t="n">
        <v>2379</v>
      </c>
      <c r="H2378" s="5" t="n">
        <v>9</v>
      </c>
      <c r="I2378" s="5" t="n">
        <v>3</v>
      </c>
      <c r="J2378" s="5" t="n">
        <v>5</v>
      </c>
      <c r="K2378" s="10">
        <f>IF(F2378&gt;0,H2378/F2378,"")</f>
        <v/>
      </c>
      <c r="L2378" s="16">
        <f>IF(AND(G2378&gt;0,H2378&gt;0),G2378/H2378,"")</f>
        <v/>
      </c>
    </row>
    <row r="2379">
      <c r="A2379" s="4" t="inlineStr">
        <is>
          <t>640</t>
        </is>
      </c>
      <c r="B2379" s="4" t="n">
        <v>6</v>
      </c>
      <c r="C2379" s="4" t="inlineStr">
        <is>
          <t>whitetail</t>
        </is>
      </c>
      <c r="D2379" s="4" t="n">
        <v>2021</v>
      </c>
      <c r="E2379" s="13" t="inlineStr">
        <is>
          <t>General</t>
        </is>
      </c>
      <c r="F2379" s="5" t="n">
        <v>2867</v>
      </c>
      <c r="G2379" s="5" t="n">
        <v>16531</v>
      </c>
      <c r="H2379" s="5" t="n">
        <v>784</v>
      </c>
      <c r="I2379" s="5" t="n">
        <v>471</v>
      </c>
      <c r="J2379" s="5" t="n">
        <v>304</v>
      </c>
      <c r="K2379" s="10">
        <f>IF(F2379&gt;0,H2379/F2379,"")</f>
        <v/>
      </c>
      <c r="L2379" s="16">
        <f>IF(AND(G2379&gt;0,H2379&gt;0),G2379/H2379,"")</f>
        <v/>
      </c>
    </row>
    <row r="2380">
      <c r="A2380" s="4" t="inlineStr">
        <is>
          <t>640</t>
        </is>
      </c>
      <c r="B2380" s="4" t="n">
        <v>6</v>
      </c>
      <c r="C2380" s="4" t="inlineStr">
        <is>
          <t>whitetail</t>
        </is>
      </c>
      <c r="D2380" s="4" t="n">
        <v>2022</v>
      </c>
      <c r="E2380" s="13" t="inlineStr">
        <is>
          <t>General</t>
        </is>
      </c>
      <c r="F2380" s="5" t="n"/>
      <c r="G2380" s="5" t="n"/>
      <c r="H2380" s="5" t="n">
        <v>926</v>
      </c>
      <c r="I2380" s="5" t="n">
        <v>504</v>
      </c>
      <c r="J2380" s="5" t="n">
        <v>423</v>
      </c>
      <c r="K2380" s="10">
        <f>IF(F2380&gt;0,H2380/F2380,"")</f>
        <v/>
      </c>
      <c r="L2380" s="16">
        <f>IF(AND(G2380&gt;0,H2380&gt;0),G2380/H2380,"")</f>
        <v/>
      </c>
    </row>
    <row r="2381">
      <c r="A2381" s="4" t="inlineStr">
        <is>
          <t>640</t>
        </is>
      </c>
      <c r="B2381" s="4" t="n">
        <v>6</v>
      </c>
      <c r="C2381" s="4" t="inlineStr">
        <is>
          <t>whitetail</t>
        </is>
      </c>
      <c r="D2381" s="4" t="n">
        <v>2023</v>
      </c>
      <c r="E2381" s="13" t="inlineStr">
        <is>
          <t>General</t>
        </is>
      </c>
      <c r="F2381" s="5" t="n">
        <v>3542</v>
      </c>
      <c r="G2381" s="5" t="n">
        <v>20669</v>
      </c>
      <c r="H2381" s="5" t="n">
        <v>850</v>
      </c>
      <c r="I2381" s="5" t="n">
        <v>468</v>
      </c>
      <c r="J2381" s="5" t="n">
        <v>382</v>
      </c>
      <c r="K2381" s="10">
        <f>IF(F2381&gt;0,H2381/F2381,"")</f>
        <v/>
      </c>
      <c r="L2381" s="16">
        <f>IF(AND(G2381&gt;0,H2381&gt;0),G2381/H2381,"")</f>
        <v/>
      </c>
    </row>
    <row r="2382">
      <c r="A2382" s="4" t="inlineStr">
        <is>
          <t>640</t>
        </is>
      </c>
      <c r="B2382" s="4" t="n">
        <v>6</v>
      </c>
      <c r="C2382" s="4" t="inlineStr">
        <is>
          <t>whitetail</t>
        </is>
      </c>
      <c r="D2382" s="4" t="n">
        <v>2024</v>
      </c>
      <c r="E2382" s="13" t="inlineStr">
        <is>
          <t>General</t>
        </is>
      </c>
      <c r="F2382" s="5" t="n"/>
      <c r="G2382" s="5" t="n"/>
      <c r="H2382" s="5" t="n">
        <v>810</v>
      </c>
      <c r="I2382" s="5" t="n">
        <v>541</v>
      </c>
      <c r="J2382" s="5" t="n">
        <v>264</v>
      </c>
      <c r="K2382" s="10">
        <f>IF(F2382&gt;0,H2382/F2382,"")</f>
        <v/>
      </c>
      <c r="L2382" s="16">
        <f>IF(AND(G2382&gt;0,H2382&gt;0),G2382/H2382,"")</f>
        <v/>
      </c>
    </row>
    <row r="2383">
      <c r="A2383" s="4" t="inlineStr">
        <is>
          <t>640</t>
        </is>
      </c>
      <c r="B2383" s="4" t="n">
        <v>6</v>
      </c>
      <c r="C2383" s="4" t="inlineStr">
        <is>
          <t>whitetail</t>
        </is>
      </c>
      <c r="D2383" s="4" t="n">
        <v>2025</v>
      </c>
      <c r="E2383" s="13" t="inlineStr">
        <is>
          <t>General</t>
        </is>
      </c>
      <c r="F2383" s="5" t="n">
        <v>2776</v>
      </c>
      <c r="G2383" s="5" t="n">
        <v>17162</v>
      </c>
      <c r="H2383" s="5" t="n">
        <v>470</v>
      </c>
      <c r="I2383" s="5" t="n">
        <v>367</v>
      </c>
      <c r="J2383" s="5" t="n">
        <v>103</v>
      </c>
      <c r="K2383" s="10">
        <f>IF(F2383&gt;0,H2383/F2383,"")</f>
        <v/>
      </c>
      <c r="L2383" s="16">
        <f>IF(AND(G2383&gt;0,H2383&gt;0),G2383/H2383,"")</f>
        <v/>
      </c>
    </row>
    <row r="2384">
      <c r="A2384" s="4" t="inlineStr">
        <is>
          <t>650</t>
        </is>
      </c>
      <c r="B2384" s="4" t="n">
        <v>6</v>
      </c>
      <c r="C2384" s="4" t="inlineStr">
        <is>
          <t>whitetail</t>
        </is>
      </c>
      <c r="D2384" s="4" t="n">
        <v>2021</v>
      </c>
      <c r="E2384" s="13" t="inlineStr">
        <is>
          <t>General</t>
        </is>
      </c>
      <c r="F2384" s="5" t="n">
        <v>2635</v>
      </c>
      <c r="G2384" s="5" t="n">
        <v>14152</v>
      </c>
      <c r="H2384" s="5" t="n">
        <v>388</v>
      </c>
      <c r="I2384" s="5" t="n">
        <v>190</v>
      </c>
      <c r="J2384" s="5" t="n">
        <v>198</v>
      </c>
      <c r="K2384" s="10">
        <f>IF(F2384&gt;0,H2384/F2384,"")</f>
        <v/>
      </c>
      <c r="L2384" s="16">
        <f>IF(AND(G2384&gt;0,H2384&gt;0),G2384/H2384,"")</f>
        <v/>
      </c>
    </row>
    <row r="2385">
      <c r="A2385" s="4" t="inlineStr">
        <is>
          <t>650</t>
        </is>
      </c>
      <c r="B2385" s="4" t="n">
        <v>6</v>
      </c>
      <c r="C2385" s="4" t="inlineStr">
        <is>
          <t>whitetail</t>
        </is>
      </c>
      <c r="D2385" s="4" t="n">
        <v>2022</v>
      </c>
      <c r="E2385" s="13" t="inlineStr">
        <is>
          <t>General</t>
        </is>
      </c>
      <c r="F2385" s="5" t="n"/>
      <c r="G2385" s="5" t="n"/>
      <c r="H2385" s="5" t="n">
        <v>415</v>
      </c>
      <c r="I2385" s="5" t="n">
        <v>202</v>
      </c>
      <c r="J2385" s="5" t="n">
        <v>209</v>
      </c>
      <c r="K2385" s="10">
        <f>IF(F2385&gt;0,H2385/F2385,"")</f>
        <v/>
      </c>
      <c r="L2385" s="16">
        <f>IF(AND(G2385&gt;0,H2385&gt;0),G2385/H2385,"")</f>
        <v/>
      </c>
    </row>
    <row r="2386">
      <c r="A2386" s="4" t="inlineStr">
        <is>
          <t>650</t>
        </is>
      </c>
      <c r="B2386" s="4" t="n">
        <v>6</v>
      </c>
      <c r="C2386" s="4" t="inlineStr">
        <is>
          <t>whitetail</t>
        </is>
      </c>
      <c r="D2386" s="4" t="n">
        <v>2023</v>
      </c>
      <c r="E2386" s="13" t="inlineStr">
        <is>
          <t>General</t>
        </is>
      </c>
      <c r="F2386" s="5" t="n">
        <v>2538</v>
      </c>
      <c r="G2386" s="5" t="n">
        <v>13513</v>
      </c>
      <c r="H2386" s="5" t="n">
        <v>375</v>
      </c>
      <c r="I2386" s="5" t="n">
        <v>241</v>
      </c>
      <c r="J2386" s="5" t="n">
        <v>134</v>
      </c>
      <c r="K2386" s="10">
        <f>IF(F2386&gt;0,H2386/F2386,"")</f>
        <v/>
      </c>
      <c r="L2386" s="16">
        <f>IF(AND(G2386&gt;0,H2386&gt;0),G2386/H2386,"")</f>
        <v/>
      </c>
    </row>
    <row r="2387">
      <c r="A2387" s="4" t="inlineStr">
        <is>
          <t>650</t>
        </is>
      </c>
      <c r="B2387" s="4" t="n">
        <v>6</v>
      </c>
      <c r="C2387" s="4" t="inlineStr">
        <is>
          <t>whitetail</t>
        </is>
      </c>
      <c r="D2387" s="4" t="n">
        <v>2024</v>
      </c>
      <c r="E2387" s="13" t="inlineStr">
        <is>
          <t>General</t>
        </is>
      </c>
      <c r="F2387" s="5" t="n"/>
      <c r="G2387" s="5" t="n"/>
      <c r="H2387" s="5" t="n">
        <v>293</v>
      </c>
      <c r="I2387" s="5" t="n">
        <v>206</v>
      </c>
      <c r="J2387" s="5" t="n">
        <v>87</v>
      </c>
      <c r="K2387" s="10">
        <f>IF(F2387&gt;0,H2387/F2387,"")</f>
        <v/>
      </c>
      <c r="L2387" s="16">
        <f>IF(AND(G2387&gt;0,H2387&gt;0),G2387/H2387,"")</f>
        <v/>
      </c>
    </row>
    <row r="2388">
      <c r="A2388" s="4" t="inlineStr">
        <is>
          <t>650</t>
        </is>
      </c>
      <c r="B2388" s="4" t="n">
        <v>6</v>
      </c>
      <c r="C2388" s="4" t="inlineStr">
        <is>
          <t>whitetail</t>
        </is>
      </c>
      <c r="D2388" s="4" t="n">
        <v>2025</v>
      </c>
      <c r="E2388" s="13" t="inlineStr">
        <is>
          <t>General</t>
        </is>
      </c>
      <c r="F2388" s="5" t="n">
        <v>2010</v>
      </c>
      <c r="G2388" s="5" t="n">
        <v>12283</v>
      </c>
      <c r="H2388" s="5" t="n">
        <v>182</v>
      </c>
      <c r="I2388" s="5" t="n">
        <v>128</v>
      </c>
      <c r="J2388" s="5" t="n">
        <v>50</v>
      </c>
      <c r="K2388" s="10">
        <f>IF(F2388&gt;0,H2388/F2388,"")</f>
        <v/>
      </c>
      <c r="L2388" s="16">
        <f>IF(AND(G2388&gt;0,H2388&gt;0),G2388/H2388,"")</f>
        <v/>
      </c>
    </row>
    <row r="2389">
      <c r="A2389" s="4" t="inlineStr">
        <is>
          <t>652</t>
        </is>
      </c>
      <c r="B2389" s="4" t="n">
        <v>6</v>
      </c>
      <c r="C2389" s="4" t="inlineStr">
        <is>
          <t>whitetail</t>
        </is>
      </c>
      <c r="D2389" s="4" t="n">
        <v>2021</v>
      </c>
      <c r="E2389" s="13" t="inlineStr">
        <is>
          <t>General</t>
        </is>
      </c>
      <c r="F2389" s="5" t="n">
        <v>169</v>
      </c>
      <c r="G2389" s="5" t="n">
        <v>1200</v>
      </c>
      <c r="H2389" s="5" t="n">
        <v>4</v>
      </c>
      <c r="I2389" s="5" t="n">
        <v>0</v>
      </c>
      <c r="J2389" s="5" t="n">
        <v>4</v>
      </c>
      <c r="K2389" s="10">
        <f>IF(F2389&gt;0,H2389/F2389,"")</f>
        <v/>
      </c>
      <c r="L2389" s="16">
        <f>IF(AND(G2389&gt;0,H2389&gt;0),G2389/H2389,"")</f>
        <v/>
      </c>
    </row>
    <row r="2390">
      <c r="A2390" s="4" t="inlineStr">
        <is>
          <t>652</t>
        </is>
      </c>
      <c r="B2390" s="4" t="n">
        <v>6</v>
      </c>
      <c r="C2390" s="4" t="inlineStr">
        <is>
          <t>whitetail</t>
        </is>
      </c>
      <c r="D2390" s="4" t="n">
        <v>2022</v>
      </c>
      <c r="E2390" s="13" t="inlineStr">
        <is>
          <t>General</t>
        </is>
      </c>
      <c r="F2390" s="5" t="n"/>
      <c r="G2390" s="5" t="n"/>
      <c r="H2390" s="5" t="n">
        <v>27</v>
      </c>
      <c r="I2390" s="5" t="n">
        <v>9</v>
      </c>
      <c r="J2390" s="5" t="n">
        <v>18</v>
      </c>
      <c r="K2390" s="10">
        <f>IF(F2390&gt;0,H2390/F2390,"")</f>
        <v/>
      </c>
      <c r="L2390" s="16">
        <f>IF(AND(G2390&gt;0,H2390&gt;0),G2390/H2390,"")</f>
        <v/>
      </c>
    </row>
    <row r="2391">
      <c r="A2391" s="4" t="inlineStr">
        <is>
          <t>652</t>
        </is>
      </c>
      <c r="B2391" s="4" t="n">
        <v>6</v>
      </c>
      <c r="C2391" s="4" t="inlineStr">
        <is>
          <t>whitetail</t>
        </is>
      </c>
      <c r="D2391" s="4" t="n">
        <v>2023</v>
      </c>
      <c r="E2391" s="13" t="inlineStr">
        <is>
          <t>General</t>
        </is>
      </c>
      <c r="F2391" s="5" t="n">
        <v>173</v>
      </c>
      <c r="G2391" s="5" t="n">
        <v>978</v>
      </c>
      <c r="H2391" s="5" t="n">
        <v>19</v>
      </c>
      <c r="I2391" s="5" t="n">
        <v>3</v>
      </c>
      <c r="J2391" s="5" t="n">
        <v>16</v>
      </c>
      <c r="K2391" s="10">
        <f>IF(F2391&gt;0,H2391/F2391,"")</f>
        <v/>
      </c>
      <c r="L2391" s="16">
        <f>IF(AND(G2391&gt;0,H2391&gt;0),G2391/H2391,"")</f>
        <v/>
      </c>
    </row>
    <row r="2392">
      <c r="A2392" s="4" t="inlineStr">
        <is>
          <t>652</t>
        </is>
      </c>
      <c r="B2392" s="4" t="n">
        <v>6</v>
      </c>
      <c r="C2392" s="4" t="inlineStr">
        <is>
          <t>whitetail</t>
        </is>
      </c>
      <c r="D2392" s="4" t="n">
        <v>2024</v>
      </c>
      <c r="E2392" s="13" t="inlineStr">
        <is>
          <t>General</t>
        </is>
      </c>
      <c r="F2392" s="5" t="n"/>
      <c r="G2392" s="5" t="n"/>
      <c r="H2392" s="5" t="n">
        <v>20</v>
      </c>
      <c r="I2392" s="5" t="n">
        <v>14</v>
      </c>
      <c r="J2392" s="5" t="n">
        <v>6</v>
      </c>
      <c r="K2392" s="10">
        <f>IF(F2392&gt;0,H2392/F2392,"")</f>
        <v/>
      </c>
      <c r="L2392" s="16">
        <f>IF(AND(G2392&gt;0,H2392&gt;0),G2392/H2392,"")</f>
        <v/>
      </c>
    </row>
    <row r="2393">
      <c r="A2393" s="4" t="inlineStr">
        <is>
          <t>652</t>
        </is>
      </c>
      <c r="B2393" s="4" t="n">
        <v>6</v>
      </c>
      <c r="C2393" s="4" t="inlineStr">
        <is>
          <t>whitetail</t>
        </is>
      </c>
      <c r="D2393" s="4" t="n">
        <v>2025</v>
      </c>
      <c r="E2393" s="13" t="inlineStr">
        <is>
          <t>General</t>
        </is>
      </c>
      <c r="F2393" s="5" t="n">
        <v>123</v>
      </c>
      <c r="G2393" s="5" t="n">
        <v>734</v>
      </c>
      <c r="H2393" s="5" t="n">
        <v>8</v>
      </c>
      <c r="I2393" s="5" t="n">
        <v>4</v>
      </c>
      <c r="J2393" s="5" t="n">
        <v>4</v>
      </c>
      <c r="K2393" s="10">
        <f>IF(F2393&gt;0,H2393/F2393,"")</f>
        <v/>
      </c>
      <c r="L2393" s="16">
        <f>IF(AND(G2393&gt;0,H2393&gt;0),G2393/H2393,"")</f>
        <v/>
      </c>
    </row>
    <row r="2394">
      <c r="A2394" s="4" t="inlineStr">
        <is>
          <t>670</t>
        </is>
      </c>
      <c r="B2394" s="4" t="n">
        <v>6</v>
      </c>
      <c r="C2394" s="4" t="inlineStr">
        <is>
          <t>whitetail</t>
        </is>
      </c>
      <c r="D2394" s="4" t="n">
        <v>2021</v>
      </c>
      <c r="E2394" s="13" t="inlineStr">
        <is>
          <t>General</t>
        </is>
      </c>
      <c r="F2394" s="5" t="n">
        <v>3853</v>
      </c>
      <c r="G2394" s="5" t="n">
        <v>19975</v>
      </c>
      <c r="H2394" s="5" t="n">
        <v>542</v>
      </c>
      <c r="I2394" s="5" t="n">
        <v>304</v>
      </c>
      <c r="J2394" s="5" t="n">
        <v>237</v>
      </c>
      <c r="K2394" s="10">
        <f>IF(F2394&gt;0,H2394/F2394,"")</f>
        <v/>
      </c>
      <c r="L2394" s="16">
        <f>IF(AND(G2394&gt;0,H2394&gt;0),G2394/H2394,"")</f>
        <v/>
      </c>
    </row>
    <row r="2395">
      <c r="A2395" s="4" t="inlineStr">
        <is>
          <t>670</t>
        </is>
      </c>
      <c r="B2395" s="4" t="n">
        <v>6</v>
      </c>
      <c r="C2395" s="4" t="inlineStr">
        <is>
          <t>whitetail</t>
        </is>
      </c>
      <c r="D2395" s="4" t="n">
        <v>2022</v>
      </c>
      <c r="E2395" s="13" t="inlineStr">
        <is>
          <t>General</t>
        </is>
      </c>
      <c r="F2395" s="5" t="n"/>
      <c r="G2395" s="5" t="n"/>
      <c r="H2395" s="5" t="n">
        <v>571</v>
      </c>
      <c r="I2395" s="5" t="n">
        <v>306</v>
      </c>
      <c r="J2395" s="5" t="n">
        <v>265</v>
      </c>
      <c r="K2395" s="10">
        <f>IF(F2395&gt;0,H2395/F2395,"")</f>
        <v/>
      </c>
      <c r="L2395" s="16">
        <f>IF(AND(G2395&gt;0,H2395&gt;0),G2395/H2395,"")</f>
        <v/>
      </c>
    </row>
    <row r="2396">
      <c r="A2396" s="4" t="inlineStr">
        <is>
          <t>670</t>
        </is>
      </c>
      <c r="B2396" s="4" t="n">
        <v>6</v>
      </c>
      <c r="C2396" s="4" t="inlineStr">
        <is>
          <t>whitetail</t>
        </is>
      </c>
      <c r="D2396" s="4" t="n">
        <v>2023</v>
      </c>
      <c r="E2396" s="13" t="inlineStr">
        <is>
          <t>General</t>
        </is>
      </c>
      <c r="F2396" s="5" t="n">
        <v>3574</v>
      </c>
      <c r="G2396" s="5" t="n">
        <v>19455</v>
      </c>
      <c r="H2396" s="5" t="n">
        <v>488</v>
      </c>
      <c r="I2396" s="5" t="n">
        <v>236</v>
      </c>
      <c r="J2396" s="5" t="n">
        <v>244</v>
      </c>
      <c r="K2396" s="10">
        <f>IF(F2396&gt;0,H2396/F2396,"")</f>
        <v/>
      </c>
      <c r="L2396" s="16">
        <f>IF(AND(G2396&gt;0,H2396&gt;0),G2396/H2396,"")</f>
        <v/>
      </c>
    </row>
    <row r="2397">
      <c r="A2397" s="4" t="inlineStr">
        <is>
          <t>670</t>
        </is>
      </c>
      <c r="B2397" s="4" t="n">
        <v>6</v>
      </c>
      <c r="C2397" s="4" t="inlineStr">
        <is>
          <t>whitetail</t>
        </is>
      </c>
      <c r="D2397" s="4" t="n">
        <v>2024</v>
      </c>
      <c r="E2397" s="13" t="inlineStr">
        <is>
          <t>General</t>
        </is>
      </c>
      <c r="F2397" s="5" t="n"/>
      <c r="G2397" s="5" t="n"/>
      <c r="H2397" s="5" t="n">
        <v>472</v>
      </c>
      <c r="I2397" s="5" t="n">
        <v>271</v>
      </c>
      <c r="J2397" s="5" t="n">
        <v>201</v>
      </c>
      <c r="K2397" s="10">
        <f>IF(F2397&gt;0,H2397/F2397,"")</f>
        <v/>
      </c>
      <c r="L2397" s="16">
        <f>IF(AND(G2397&gt;0,H2397&gt;0),G2397/H2397,"")</f>
        <v/>
      </c>
    </row>
    <row r="2398">
      <c r="A2398" s="4" t="inlineStr">
        <is>
          <t>670</t>
        </is>
      </c>
      <c r="B2398" s="4" t="n">
        <v>6</v>
      </c>
      <c r="C2398" s="4" t="inlineStr">
        <is>
          <t>whitetail</t>
        </is>
      </c>
      <c r="D2398" s="4" t="n">
        <v>2025</v>
      </c>
      <c r="E2398" s="13" t="inlineStr">
        <is>
          <t>General</t>
        </is>
      </c>
      <c r="F2398" s="5" t="n">
        <v>2456</v>
      </c>
      <c r="G2398" s="5" t="n">
        <v>14292</v>
      </c>
      <c r="H2398" s="5" t="n">
        <v>213</v>
      </c>
      <c r="I2398" s="5" t="n">
        <v>128</v>
      </c>
      <c r="J2398" s="5" t="n">
        <v>84</v>
      </c>
      <c r="K2398" s="10">
        <f>IF(F2398&gt;0,H2398/F2398,"")</f>
        <v/>
      </c>
      <c r="L2398" s="16">
        <f>IF(AND(G2398&gt;0,H2398&gt;0),G2398/H2398,"")</f>
        <v/>
      </c>
    </row>
    <row r="2399">
      <c r="A2399" s="4" t="inlineStr">
        <is>
          <t>690</t>
        </is>
      </c>
      <c r="B2399" s="4" t="n">
        <v>6</v>
      </c>
      <c r="C2399" s="4" t="inlineStr">
        <is>
          <t>whitetail</t>
        </is>
      </c>
      <c r="D2399" s="4" t="n">
        <v>2021</v>
      </c>
      <c r="E2399" s="13" t="inlineStr">
        <is>
          <t>General</t>
        </is>
      </c>
      <c r="F2399" s="5" t="n">
        <v>3447</v>
      </c>
      <c r="G2399" s="5" t="n">
        <v>17101</v>
      </c>
      <c r="H2399" s="5" t="n">
        <v>528</v>
      </c>
      <c r="I2399" s="5" t="n">
        <v>276</v>
      </c>
      <c r="J2399" s="5" t="n">
        <v>244</v>
      </c>
      <c r="K2399" s="10">
        <f>IF(F2399&gt;0,H2399/F2399,"")</f>
        <v/>
      </c>
      <c r="L2399" s="16">
        <f>IF(AND(G2399&gt;0,H2399&gt;0),G2399/H2399,"")</f>
        <v/>
      </c>
    </row>
    <row r="2400">
      <c r="A2400" s="4" t="inlineStr">
        <is>
          <t>690</t>
        </is>
      </c>
      <c r="B2400" s="4" t="n">
        <v>6</v>
      </c>
      <c r="C2400" s="4" t="inlineStr">
        <is>
          <t>whitetail</t>
        </is>
      </c>
      <c r="D2400" s="4" t="n">
        <v>2022</v>
      </c>
      <c r="E2400" s="13" t="inlineStr">
        <is>
          <t>General</t>
        </is>
      </c>
      <c r="F2400" s="5" t="n"/>
      <c r="G2400" s="5" t="n"/>
      <c r="H2400" s="5" t="n">
        <v>660</v>
      </c>
      <c r="I2400" s="5" t="n">
        <v>330</v>
      </c>
      <c r="J2400" s="5" t="n">
        <v>331</v>
      </c>
      <c r="K2400" s="10">
        <f>IF(F2400&gt;0,H2400/F2400,"")</f>
        <v/>
      </c>
      <c r="L2400" s="16">
        <f>IF(AND(G2400&gt;0,H2400&gt;0),G2400/H2400,"")</f>
        <v/>
      </c>
    </row>
    <row r="2401">
      <c r="A2401" s="4" t="inlineStr">
        <is>
          <t>690</t>
        </is>
      </c>
      <c r="B2401" s="4" t="n">
        <v>6</v>
      </c>
      <c r="C2401" s="4" t="inlineStr">
        <is>
          <t>whitetail</t>
        </is>
      </c>
      <c r="D2401" s="4" t="n">
        <v>2023</v>
      </c>
      <c r="E2401" s="13" t="inlineStr">
        <is>
          <t>General</t>
        </is>
      </c>
      <c r="F2401" s="5" t="n">
        <v>3038</v>
      </c>
      <c r="G2401" s="5" t="n">
        <v>16683</v>
      </c>
      <c r="H2401" s="5" t="n">
        <v>530</v>
      </c>
      <c r="I2401" s="5" t="n">
        <v>280</v>
      </c>
      <c r="J2401" s="5" t="n">
        <v>242</v>
      </c>
      <c r="K2401" s="10">
        <f>IF(F2401&gt;0,H2401/F2401,"")</f>
        <v/>
      </c>
      <c r="L2401" s="16">
        <f>IF(AND(G2401&gt;0,H2401&gt;0),G2401/H2401,"")</f>
        <v/>
      </c>
    </row>
    <row r="2402">
      <c r="A2402" s="4" t="inlineStr">
        <is>
          <t>690</t>
        </is>
      </c>
      <c r="B2402" s="4" t="n">
        <v>6</v>
      </c>
      <c r="C2402" s="4" t="inlineStr">
        <is>
          <t>whitetail</t>
        </is>
      </c>
      <c r="D2402" s="4" t="n">
        <v>2024</v>
      </c>
      <c r="E2402" s="13" t="inlineStr">
        <is>
          <t>General</t>
        </is>
      </c>
      <c r="F2402" s="5" t="n"/>
      <c r="G2402" s="5" t="n"/>
      <c r="H2402" s="5" t="n">
        <v>446</v>
      </c>
      <c r="I2402" s="5" t="n">
        <v>223</v>
      </c>
      <c r="J2402" s="5" t="n">
        <v>223</v>
      </c>
      <c r="K2402" s="10">
        <f>IF(F2402&gt;0,H2402/F2402,"")</f>
        <v/>
      </c>
      <c r="L2402" s="16">
        <f>IF(AND(G2402&gt;0,H2402&gt;0),G2402/H2402,"")</f>
        <v/>
      </c>
    </row>
    <row r="2403">
      <c r="A2403" s="4" t="inlineStr">
        <is>
          <t>690</t>
        </is>
      </c>
      <c r="B2403" s="4" t="n">
        <v>6</v>
      </c>
      <c r="C2403" s="4" t="inlineStr">
        <is>
          <t>whitetail</t>
        </is>
      </c>
      <c r="D2403" s="4" t="n">
        <v>2025</v>
      </c>
      <c r="E2403" s="13" t="inlineStr">
        <is>
          <t>General</t>
        </is>
      </c>
      <c r="F2403" s="5" t="n">
        <v>2914</v>
      </c>
      <c r="G2403" s="5" t="n">
        <v>15526</v>
      </c>
      <c r="H2403" s="5" t="n">
        <v>350</v>
      </c>
      <c r="I2403" s="5" t="n">
        <v>247</v>
      </c>
      <c r="J2403" s="5" t="n">
        <v>99</v>
      </c>
      <c r="K2403" s="10">
        <f>IF(F2403&gt;0,H2403/F2403,"")</f>
        <v/>
      </c>
      <c r="L2403" s="16">
        <f>IF(AND(G2403&gt;0,H2403&gt;0),G2403/H2403,"")</f>
        <v/>
      </c>
    </row>
    <row r="2404">
      <c r="A2404" s="4" t="inlineStr">
        <is>
          <t>700</t>
        </is>
      </c>
      <c r="B2404" s="4" t="n">
        <v>7</v>
      </c>
      <c r="C2404" s="4" t="inlineStr">
        <is>
          <t>whitetail</t>
        </is>
      </c>
      <c r="D2404" s="4" t="n">
        <v>2021</v>
      </c>
      <c r="E2404" s="13" t="inlineStr">
        <is>
          <t>General</t>
        </is>
      </c>
      <c r="F2404" s="5" t="n">
        <v>4493</v>
      </c>
      <c r="G2404" s="5" t="n">
        <v>26648</v>
      </c>
      <c r="H2404" s="5" t="n">
        <v>774</v>
      </c>
      <c r="I2404" s="5" t="n">
        <v>420</v>
      </c>
      <c r="J2404" s="5" t="n">
        <v>354</v>
      </c>
      <c r="K2404" s="10">
        <f>IF(F2404&gt;0,H2404/F2404,"")</f>
        <v/>
      </c>
      <c r="L2404" s="16">
        <f>IF(AND(G2404&gt;0,H2404&gt;0),G2404/H2404,"")</f>
        <v/>
      </c>
    </row>
    <row r="2405">
      <c r="A2405" s="4" t="inlineStr">
        <is>
          <t>700</t>
        </is>
      </c>
      <c r="B2405" s="4" t="n">
        <v>7</v>
      </c>
      <c r="C2405" s="4" t="inlineStr">
        <is>
          <t>whitetail</t>
        </is>
      </c>
      <c r="D2405" s="4" t="n">
        <v>2022</v>
      </c>
      <c r="E2405" s="13" t="inlineStr">
        <is>
          <t>General</t>
        </is>
      </c>
      <c r="F2405" s="5" t="n"/>
      <c r="G2405" s="5" t="n"/>
      <c r="H2405" s="5" t="n">
        <v>639</v>
      </c>
      <c r="I2405" s="5" t="n">
        <v>273</v>
      </c>
      <c r="J2405" s="5" t="n">
        <v>363</v>
      </c>
      <c r="K2405" s="10">
        <f>IF(F2405&gt;0,H2405/F2405,"")</f>
        <v/>
      </c>
      <c r="L2405" s="16">
        <f>IF(AND(G2405&gt;0,H2405&gt;0),G2405/H2405,"")</f>
        <v/>
      </c>
    </row>
    <row r="2406">
      <c r="A2406" s="4" t="inlineStr">
        <is>
          <t>700</t>
        </is>
      </c>
      <c r="B2406" s="4" t="n">
        <v>7</v>
      </c>
      <c r="C2406" s="4" t="inlineStr">
        <is>
          <t>whitetail</t>
        </is>
      </c>
      <c r="D2406" s="4" t="n">
        <v>2023</v>
      </c>
      <c r="E2406" s="13" t="inlineStr">
        <is>
          <t>General</t>
        </is>
      </c>
      <c r="F2406" s="5" t="n">
        <v>3467</v>
      </c>
      <c r="G2406" s="5" t="n">
        <v>21061</v>
      </c>
      <c r="H2406" s="5" t="n">
        <v>716</v>
      </c>
      <c r="I2406" s="5" t="n">
        <v>331</v>
      </c>
      <c r="J2406" s="5" t="n">
        <v>368</v>
      </c>
      <c r="K2406" s="10">
        <f>IF(F2406&gt;0,H2406/F2406,"")</f>
        <v/>
      </c>
      <c r="L2406" s="16">
        <f>IF(AND(G2406&gt;0,H2406&gt;0),G2406/H2406,"")</f>
        <v/>
      </c>
    </row>
    <row r="2407">
      <c r="A2407" s="4" t="inlineStr">
        <is>
          <t>700</t>
        </is>
      </c>
      <c r="B2407" s="4" t="n">
        <v>7</v>
      </c>
      <c r="C2407" s="4" t="inlineStr">
        <is>
          <t>whitetail</t>
        </is>
      </c>
      <c r="D2407" s="4" t="n">
        <v>2024</v>
      </c>
      <c r="E2407" s="13" t="inlineStr">
        <is>
          <t>General</t>
        </is>
      </c>
      <c r="F2407" s="5" t="n"/>
      <c r="G2407" s="5" t="n"/>
      <c r="H2407" s="5" t="n">
        <v>598</v>
      </c>
      <c r="I2407" s="5" t="n">
        <v>339</v>
      </c>
      <c r="J2407" s="5" t="n">
        <v>250</v>
      </c>
      <c r="K2407" s="10">
        <f>IF(F2407&gt;0,H2407/F2407,"")</f>
        <v/>
      </c>
      <c r="L2407" s="16">
        <f>IF(AND(G2407&gt;0,H2407&gt;0),G2407/H2407,"")</f>
        <v/>
      </c>
    </row>
    <row r="2408">
      <c r="A2408" s="4" t="inlineStr">
        <is>
          <t>700</t>
        </is>
      </c>
      <c r="B2408" s="4" t="n">
        <v>7</v>
      </c>
      <c r="C2408" s="4" t="inlineStr">
        <is>
          <t>whitetail</t>
        </is>
      </c>
      <c r="D2408" s="4" t="n">
        <v>2025</v>
      </c>
      <c r="E2408" s="13" t="inlineStr">
        <is>
          <t>General</t>
        </is>
      </c>
      <c r="F2408" s="5" t="n">
        <v>3259</v>
      </c>
      <c r="G2408" s="5" t="n">
        <v>23783</v>
      </c>
      <c r="H2408" s="5" t="n">
        <v>480</v>
      </c>
      <c r="I2408" s="5" t="n">
        <v>206</v>
      </c>
      <c r="J2408" s="5" t="n">
        <v>269</v>
      </c>
      <c r="K2408" s="10">
        <f>IF(F2408&gt;0,H2408/F2408,"")</f>
        <v/>
      </c>
      <c r="L2408" s="16">
        <f>IF(AND(G2408&gt;0,H2408&gt;0),G2408/H2408,"")</f>
        <v/>
      </c>
    </row>
    <row r="2409">
      <c r="A2409" s="4" t="inlineStr">
        <is>
          <t>701</t>
        </is>
      </c>
      <c r="B2409" s="4" t="n">
        <v>7</v>
      </c>
      <c r="C2409" s="4" t="inlineStr">
        <is>
          <t>whitetail</t>
        </is>
      </c>
      <c r="D2409" s="4" t="n">
        <v>2021</v>
      </c>
      <c r="E2409" s="13" t="inlineStr">
        <is>
          <t>General</t>
        </is>
      </c>
      <c r="F2409" s="5" t="n">
        <v>3629</v>
      </c>
      <c r="G2409" s="5" t="n">
        <v>18129</v>
      </c>
      <c r="H2409" s="5" t="n">
        <v>1042</v>
      </c>
      <c r="I2409" s="5" t="n">
        <v>525</v>
      </c>
      <c r="J2409" s="5" t="n">
        <v>513</v>
      </c>
      <c r="K2409" s="10">
        <f>IF(F2409&gt;0,H2409/F2409,"")</f>
        <v/>
      </c>
      <c r="L2409" s="16">
        <f>IF(AND(G2409&gt;0,H2409&gt;0),G2409/H2409,"")</f>
        <v/>
      </c>
    </row>
    <row r="2410">
      <c r="A2410" s="4" t="inlineStr">
        <is>
          <t>701</t>
        </is>
      </c>
      <c r="B2410" s="4" t="n">
        <v>7</v>
      </c>
      <c r="C2410" s="4" t="inlineStr">
        <is>
          <t>whitetail</t>
        </is>
      </c>
      <c r="D2410" s="4" t="n">
        <v>2022</v>
      </c>
      <c r="E2410" s="13" t="inlineStr">
        <is>
          <t>General</t>
        </is>
      </c>
      <c r="F2410" s="5" t="n"/>
      <c r="G2410" s="5" t="n"/>
      <c r="H2410" s="5" t="n">
        <v>1026</v>
      </c>
      <c r="I2410" s="5" t="n">
        <v>535</v>
      </c>
      <c r="J2410" s="5" t="n">
        <v>477</v>
      </c>
      <c r="K2410" s="10">
        <f>IF(F2410&gt;0,H2410/F2410,"")</f>
        <v/>
      </c>
      <c r="L2410" s="16">
        <f>IF(AND(G2410&gt;0,H2410&gt;0),G2410/H2410,"")</f>
        <v/>
      </c>
    </row>
    <row r="2411">
      <c r="A2411" s="4" t="inlineStr">
        <is>
          <t>701</t>
        </is>
      </c>
      <c r="B2411" s="4" t="n">
        <v>7</v>
      </c>
      <c r="C2411" s="4" t="inlineStr">
        <is>
          <t>whitetail</t>
        </is>
      </c>
      <c r="D2411" s="4" t="n">
        <v>2023</v>
      </c>
      <c r="E2411" s="13" t="inlineStr">
        <is>
          <t>General</t>
        </is>
      </c>
      <c r="F2411" s="5" t="n">
        <v>3415</v>
      </c>
      <c r="G2411" s="5" t="n">
        <v>18809</v>
      </c>
      <c r="H2411" s="5" t="n">
        <v>1203</v>
      </c>
      <c r="I2411" s="5" t="n">
        <v>673</v>
      </c>
      <c r="J2411" s="5" t="n">
        <v>521</v>
      </c>
      <c r="K2411" s="10">
        <f>IF(F2411&gt;0,H2411/F2411,"")</f>
        <v/>
      </c>
      <c r="L2411" s="16">
        <f>IF(AND(G2411&gt;0,H2411&gt;0),G2411/H2411,"")</f>
        <v/>
      </c>
    </row>
    <row r="2412">
      <c r="A2412" s="4" t="inlineStr">
        <is>
          <t>701</t>
        </is>
      </c>
      <c r="B2412" s="4" t="n">
        <v>7</v>
      </c>
      <c r="C2412" s="4" t="inlineStr">
        <is>
          <t>whitetail</t>
        </is>
      </c>
      <c r="D2412" s="4" t="n">
        <v>2024</v>
      </c>
      <c r="E2412" s="13" t="inlineStr">
        <is>
          <t>General</t>
        </is>
      </c>
      <c r="F2412" s="5" t="n"/>
      <c r="G2412" s="5" t="n"/>
      <c r="H2412" s="5" t="n">
        <v>940</v>
      </c>
      <c r="I2412" s="5" t="n">
        <v>606</v>
      </c>
      <c r="J2412" s="5" t="n">
        <v>333</v>
      </c>
      <c r="K2412" s="10">
        <f>IF(F2412&gt;0,H2412/F2412,"")</f>
        <v/>
      </c>
      <c r="L2412" s="16">
        <f>IF(AND(G2412&gt;0,H2412&gt;0),G2412/H2412,"")</f>
        <v/>
      </c>
    </row>
    <row r="2413">
      <c r="A2413" s="4" t="inlineStr">
        <is>
          <t>701</t>
        </is>
      </c>
      <c r="B2413" s="4" t="n">
        <v>7</v>
      </c>
      <c r="C2413" s="4" t="inlineStr">
        <is>
          <t>whitetail</t>
        </is>
      </c>
      <c r="D2413" s="4" t="n">
        <v>2025</v>
      </c>
      <c r="E2413" s="13" t="inlineStr">
        <is>
          <t>General</t>
        </is>
      </c>
      <c r="F2413" s="5" t="n">
        <v>3286</v>
      </c>
      <c r="G2413" s="5" t="n">
        <v>18840</v>
      </c>
      <c r="H2413" s="5" t="n">
        <v>790</v>
      </c>
      <c r="I2413" s="5" t="n">
        <v>441</v>
      </c>
      <c r="J2413" s="5" t="n">
        <v>350</v>
      </c>
      <c r="K2413" s="10">
        <f>IF(F2413&gt;0,H2413/F2413,"")</f>
        <v/>
      </c>
      <c r="L2413" s="16">
        <f>IF(AND(G2413&gt;0,H2413&gt;0),G2413/H2413,"")</f>
        <v/>
      </c>
    </row>
    <row r="2414">
      <c r="A2414" s="4" t="inlineStr">
        <is>
          <t>702</t>
        </is>
      </c>
      <c r="B2414" s="4" t="n">
        <v>7</v>
      </c>
      <c r="C2414" s="4" t="inlineStr">
        <is>
          <t>whitetail</t>
        </is>
      </c>
      <c r="D2414" s="4" t="n">
        <v>2021</v>
      </c>
      <c r="E2414" s="13" t="inlineStr">
        <is>
          <t>General</t>
        </is>
      </c>
      <c r="F2414" s="5" t="n">
        <v>1842</v>
      </c>
      <c r="G2414" s="5" t="n">
        <v>10611</v>
      </c>
      <c r="H2414" s="5" t="n">
        <v>373</v>
      </c>
      <c r="I2414" s="5" t="n">
        <v>217</v>
      </c>
      <c r="J2414" s="5" t="n">
        <v>151</v>
      </c>
      <c r="K2414" s="10">
        <f>IF(F2414&gt;0,H2414/F2414,"")</f>
        <v/>
      </c>
      <c r="L2414" s="16">
        <f>IF(AND(G2414&gt;0,H2414&gt;0),G2414/H2414,"")</f>
        <v/>
      </c>
    </row>
    <row r="2415">
      <c r="A2415" s="4" t="inlineStr">
        <is>
          <t>702</t>
        </is>
      </c>
      <c r="B2415" s="4" t="n">
        <v>7</v>
      </c>
      <c r="C2415" s="4" t="inlineStr">
        <is>
          <t>whitetail</t>
        </is>
      </c>
      <c r="D2415" s="4" t="n">
        <v>2022</v>
      </c>
      <c r="E2415" s="13" t="inlineStr">
        <is>
          <t>General</t>
        </is>
      </c>
      <c r="F2415" s="5" t="n"/>
      <c r="G2415" s="5" t="n"/>
      <c r="H2415" s="5" t="n">
        <v>422</v>
      </c>
      <c r="I2415" s="5" t="n">
        <v>276</v>
      </c>
      <c r="J2415" s="5" t="n">
        <v>146</v>
      </c>
      <c r="K2415" s="10">
        <f>IF(F2415&gt;0,H2415/F2415,"")</f>
        <v/>
      </c>
      <c r="L2415" s="16">
        <f>IF(AND(G2415&gt;0,H2415&gt;0),G2415/H2415,"")</f>
        <v/>
      </c>
    </row>
    <row r="2416">
      <c r="A2416" s="4" t="inlineStr">
        <is>
          <t>702</t>
        </is>
      </c>
      <c r="B2416" s="4" t="n">
        <v>7</v>
      </c>
      <c r="C2416" s="4" t="inlineStr">
        <is>
          <t>whitetail</t>
        </is>
      </c>
      <c r="D2416" s="4" t="n">
        <v>2023</v>
      </c>
      <c r="E2416" s="13" t="inlineStr">
        <is>
          <t>General</t>
        </is>
      </c>
      <c r="F2416" s="5" t="n">
        <v>2028</v>
      </c>
      <c r="G2416" s="5" t="n">
        <v>11142</v>
      </c>
      <c r="H2416" s="5" t="n">
        <v>403</v>
      </c>
      <c r="I2416" s="5" t="n">
        <v>213</v>
      </c>
      <c r="J2416" s="5" t="n">
        <v>189</v>
      </c>
      <c r="K2416" s="10">
        <f>IF(F2416&gt;0,H2416/F2416,"")</f>
        <v/>
      </c>
      <c r="L2416" s="16">
        <f>IF(AND(G2416&gt;0,H2416&gt;0),G2416/H2416,"")</f>
        <v/>
      </c>
    </row>
    <row r="2417">
      <c r="A2417" s="4" t="inlineStr">
        <is>
          <t>702</t>
        </is>
      </c>
      <c r="B2417" s="4" t="n">
        <v>7</v>
      </c>
      <c r="C2417" s="4" t="inlineStr">
        <is>
          <t>whitetail</t>
        </is>
      </c>
      <c r="D2417" s="4" t="n">
        <v>2024</v>
      </c>
      <c r="E2417" s="13" t="inlineStr">
        <is>
          <t>General</t>
        </is>
      </c>
      <c r="F2417" s="5" t="n"/>
      <c r="G2417" s="5" t="n"/>
      <c r="H2417" s="5" t="n">
        <v>382</v>
      </c>
      <c r="I2417" s="5" t="n">
        <v>237</v>
      </c>
      <c r="J2417" s="5" t="n">
        <v>142</v>
      </c>
      <c r="K2417" s="10">
        <f>IF(F2417&gt;0,H2417/F2417,"")</f>
        <v/>
      </c>
      <c r="L2417" s="16">
        <f>IF(AND(G2417&gt;0,H2417&gt;0),G2417/H2417,"")</f>
        <v/>
      </c>
    </row>
    <row r="2418">
      <c r="A2418" s="4" t="inlineStr">
        <is>
          <t>702</t>
        </is>
      </c>
      <c r="B2418" s="4" t="n">
        <v>7</v>
      </c>
      <c r="C2418" s="4" t="inlineStr">
        <is>
          <t>whitetail</t>
        </is>
      </c>
      <c r="D2418" s="4" t="n">
        <v>2025</v>
      </c>
      <c r="E2418" s="13" t="inlineStr">
        <is>
          <t>General</t>
        </is>
      </c>
      <c r="F2418" s="5" t="n">
        <v>1740</v>
      </c>
      <c r="G2418" s="5" t="n">
        <v>9567</v>
      </c>
      <c r="H2418" s="5" t="n">
        <v>269</v>
      </c>
      <c r="I2418" s="5" t="n">
        <v>168</v>
      </c>
      <c r="J2418" s="5" t="n">
        <v>102</v>
      </c>
      <c r="K2418" s="10">
        <f>IF(F2418&gt;0,H2418/F2418,"")</f>
        <v/>
      </c>
      <c r="L2418" s="16">
        <f>IF(AND(G2418&gt;0,H2418&gt;0),G2418/H2418,"")</f>
        <v/>
      </c>
    </row>
    <row r="2419">
      <c r="A2419" s="4" t="inlineStr">
        <is>
          <t>703</t>
        </is>
      </c>
      <c r="B2419" s="4" t="n">
        <v>7</v>
      </c>
      <c r="C2419" s="4" t="inlineStr">
        <is>
          <t>whitetail</t>
        </is>
      </c>
      <c r="D2419" s="4" t="n">
        <v>2021</v>
      </c>
      <c r="E2419" s="13" t="inlineStr">
        <is>
          <t>General</t>
        </is>
      </c>
      <c r="F2419" s="5" t="n">
        <v>3853</v>
      </c>
      <c r="G2419" s="5" t="n">
        <v>21574</v>
      </c>
      <c r="H2419" s="5" t="n">
        <v>934</v>
      </c>
      <c r="I2419" s="5" t="n">
        <v>460</v>
      </c>
      <c r="J2419" s="5" t="n">
        <v>461</v>
      </c>
      <c r="K2419" s="10">
        <f>IF(F2419&gt;0,H2419/F2419,"")</f>
        <v/>
      </c>
      <c r="L2419" s="16">
        <f>IF(AND(G2419&gt;0,H2419&gt;0),G2419/H2419,"")</f>
        <v/>
      </c>
    </row>
    <row r="2420">
      <c r="A2420" s="4" t="inlineStr">
        <is>
          <t>703</t>
        </is>
      </c>
      <c r="B2420" s="4" t="n">
        <v>7</v>
      </c>
      <c r="C2420" s="4" t="inlineStr">
        <is>
          <t>whitetail</t>
        </is>
      </c>
      <c r="D2420" s="4" t="n">
        <v>2022</v>
      </c>
      <c r="E2420" s="13" t="inlineStr">
        <is>
          <t>General</t>
        </is>
      </c>
      <c r="F2420" s="5" t="n"/>
      <c r="G2420" s="5" t="n"/>
      <c r="H2420" s="5" t="n">
        <v>1109</v>
      </c>
      <c r="I2420" s="5" t="n">
        <v>469</v>
      </c>
      <c r="J2420" s="5" t="n">
        <v>637</v>
      </c>
      <c r="K2420" s="10">
        <f>IF(F2420&gt;0,H2420/F2420,"")</f>
        <v/>
      </c>
      <c r="L2420" s="16">
        <f>IF(AND(G2420&gt;0,H2420&gt;0),G2420/H2420,"")</f>
        <v/>
      </c>
    </row>
    <row r="2421">
      <c r="A2421" s="4" t="inlineStr">
        <is>
          <t>703</t>
        </is>
      </c>
      <c r="B2421" s="4" t="n">
        <v>7</v>
      </c>
      <c r="C2421" s="4" t="inlineStr">
        <is>
          <t>whitetail</t>
        </is>
      </c>
      <c r="D2421" s="4" t="n">
        <v>2023</v>
      </c>
      <c r="E2421" s="13" t="inlineStr">
        <is>
          <t>General</t>
        </is>
      </c>
      <c r="F2421" s="5" t="n">
        <v>3673</v>
      </c>
      <c r="G2421" s="5" t="n">
        <v>20696</v>
      </c>
      <c r="H2421" s="5" t="n">
        <v>848</v>
      </c>
      <c r="I2421" s="5" t="n">
        <v>465</v>
      </c>
      <c r="J2421" s="5" t="n">
        <v>371</v>
      </c>
      <c r="K2421" s="10">
        <f>IF(F2421&gt;0,H2421/F2421,"")</f>
        <v/>
      </c>
      <c r="L2421" s="16">
        <f>IF(AND(G2421&gt;0,H2421&gt;0),G2421/H2421,"")</f>
        <v/>
      </c>
    </row>
    <row r="2422">
      <c r="A2422" s="4" t="inlineStr">
        <is>
          <t>703</t>
        </is>
      </c>
      <c r="B2422" s="4" t="n">
        <v>7</v>
      </c>
      <c r="C2422" s="4" t="inlineStr">
        <is>
          <t>whitetail</t>
        </is>
      </c>
      <c r="D2422" s="4" t="n">
        <v>2024</v>
      </c>
      <c r="E2422" s="13" t="inlineStr">
        <is>
          <t>General</t>
        </is>
      </c>
      <c r="F2422" s="5" t="n"/>
      <c r="G2422" s="5" t="n"/>
      <c r="H2422" s="5" t="n">
        <v>815</v>
      </c>
      <c r="I2422" s="5" t="n">
        <v>464</v>
      </c>
      <c r="J2422" s="5" t="n">
        <v>346</v>
      </c>
      <c r="K2422" s="10">
        <f>IF(F2422&gt;0,H2422/F2422,"")</f>
        <v/>
      </c>
      <c r="L2422" s="16">
        <f>IF(AND(G2422&gt;0,H2422&gt;0),G2422/H2422,"")</f>
        <v/>
      </c>
    </row>
    <row r="2423">
      <c r="A2423" s="4" t="inlineStr">
        <is>
          <t>703</t>
        </is>
      </c>
      <c r="B2423" s="4" t="n">
        <v>7</v>
      </c>
      <c r="C2423" s="4" t="inlineStr">
        <is>
          <t>whitetail</t>
        </is>
      </c>
      <c r="D2423" s="4" t="n">
        <v>2025</v>
      </c>
      <c r="E2423" s="13" t="inlineStr">
        <is>
          <t>General</t>
        </is>
      </c>
      <c r="F2423" s="5" t="n">
        <v>3447</v>
      </c>
      <c r="G2423" s="5" t="n">
        <v>21223</v>
      </c>
      <c r="H2423" s="5" t="n">
        <v>448</v>
      </c>
      <c r="I2423" s="5" t="n">
        <v>271</v>
      </c>
      <c r="J2423" s="5" t="n">
        <v>177</v>
      </c>
      <c r="K2423" s="10">
        <f>IF(F2423&gt;0,H2423/F2423,"")</f>
        <v/>
      </c>
      <c r="L2423" s="16">
        <f>IF(AND(G2423&gt;0,H2423&gt;0),G2423/H2423,"")</f>
        <v/>
      </c>
    </row>
    <row r="2424">
      <c r="A2424" s="4" t="inlineStr">
        <is>
          <t>704</t>
        </is>
      </c>
      <c r="B2424" s="4" t="n">
        <v>7</v>
      </c>
      <c r="C2424" s="4" t="inlineStr">
        <is>
          <t>whitetail</t>
        </is>
      </c>
      <c r="D2424" s="4" t="n">
        <v>2021</v>
      </c>
      <c r="E2424" s="13" t="inlineStr">
        <is>
          <t>General</t>
        </is>
      </c>
      <c r="F2424" s="5" t="n">
        <v>5005</v>
      </c>
      <c r="G2424" s="5" t="n">
        <v>26625</v>
      </c>
      <c r="H2424" s="5" t="n">
        <v>893</v>
      </c>
      <c r="I2424" s="5" t="n">
        <v>561</v>
      </c>
      <c r="J2424" s="5" t="n">
        <v>328</v>
      </c>
      <c r="K2424" s="10">
        <f>IF(F2424&gt;0,H2424/F2424,"")</f>
        <v/>
      </c>
      <c r="L2424" s="16">
        <f>IF(AND(G2424&gt;0,H2424&gt;0),G2424/H2424,"")</f>
        <v/>
      </c>
    </row>
    <row r="2425">
      <c r="A2425" s="4" t="inlineStr">
        <is>
          <t>704</t>
        </is>
      </c>
      <c r="B2425" s="4" t="n">
        <v>7</v>
      </c>
      <c r="C2425" s="4" t="inlineStr">
        <is>
          <t>whitetail</t>
        </is>
      </c>
      <c r="D2425" s="4" t="n">
        <v>2022</v>
      </c>
      <c r="E2425" s="13" t="inlineStr">
        <is>
          <t>General</t>
        </is>
      </c>
      <c r="F2425" s="5" t="n"/>
      <c r="G2425" s="5" t="n"/>
      <c r="H2425" s="5" t="n">
        <v>647</v>
      </c>
      <c r="I2425" s="5" t="n">
        <v>360</v>
      </c>
      <c r="J2425" s="5" t="n">
        <v>284</v>
      </c>
      <c r="K2425" s="10">
        <f>IF(F2425&gt;0,H2425/F2425,"")</f>
        <v/>
      </c>
      <c r="L2425" s="16">
        <f>IF(AND(G2425&gt;0,H2425&gt;0),G2425/H2425,"")</f>
        <v/>
      </c>
    </row>
    <row r="2426">
      <c r="A2426" s="4" t="inlineStr">
        <is>
          <t>704</t>
        </is>
      </c>
      <c r="B2426" s="4" t="n">
        <v>7</v>
      </c>
      <c r="C2426" s="4" t="inlineStr">
        <is>
          <t>whitetail</t>
        </is>
      </c>
      <c r="D2426" s="4" t="n">
        <v>2023</v>
      </c>
      <c r="E2426" s="13" t="inlineStr">
        <is>
          <t>General</t>
        </is>
      </c>
      <c r="F2426" s="5" t="n">
        <v>4258</v>
      </c>
      <c r="G2426" s="5" t="n">
        <v>23302</v>
      </c>
      <c r="H2426" s="5" t="n">
        <v>756</v>
      </c>
      <c r="I2426" s="5" t="n">
        <v>401</v>
      </c>
      <c r="J2426" s="5" t="n">
        <v>348</v>
      </c>
      <c r="K2426" s="10">
        <f>IF(F2426&gt;0,H2426/F2426,"")</f>
        <v/>
      </c>
      <c r="L2426" s="16">
        <f>IF(AND(G2426&gt;0,H2426&gt;0),G2426/H2426,"")</f>
        <v/>
      </c>
    </row>
    <row r="2427">
      <c r="A2427" s="4" t="inlineStr">
        <is>
          <t>704</t>
        </is>
      </c>
      <c r="B2427" s="4" t="n">
        <v>7</v>
      </c>
      <c r="C2427" s="4" t="inlineStr">
        <is>
          <t>whitetail</t>
        </is>
      </c>
      <c r="D2427" s="4" t="n">
        <v>2024</v>
      </c>
      <c r="E2427" s="13" t="inlineStr">
        <is>
          <t>General</t>
        </is>
      </c>
      <c r="F2427" s="5" t="n"/>
      <c r="G2427" s="5" t="n"/>
      <c r="H2427" s="5" t="n">
        <v>716</v>
      </c>
      <c r="I2427" s="5" t="n">
        <v>455</v>
      </c>
      <c r="J2427" s="5" t="n">
        <v>253</v>
      </c>
      <c r="K2427" s="10">
        <f>IF(F2427&gt;0,H2427/F2427,"")</f>
        <v/>
      </c>
      <c r="L2427" s="16">
        <f>IF(AND(G2427&gt;0,H2427&gt;0),G2427/H2427,"")</f>
        <v/>
      </c>
    </row>
    <row r="2428">
      <c r="A2428" s="4" t="inlineStr">
        <is>
          <t>704</t>
        </is>
      </c>
      <c r="B2428" s="4" t="n">
        <v>7</v>
      </c>
      <c r="C2428" s="4" t="inlineStr">
        <is>
          <t>whitetail</t>
        </is>
      </c>
      <c r="D2428" s="4" t="n">
        <v>2025</v>
      </c>
      <c r="E2428" s="13" t="inlineStr">
        <is>
          <t>General</t>
        </is>
      </c>
      <c r="F2428" s="5" t="n">
        <v>4306</v>
      </c>
      <c r="G2428" s="5" t="n">
        <v>25609</v>
      </c>
      <c r="H2428" s="5" t="n">
        <v>652</v>
      </c>
      <c r="I2428" s="5" t="n">
        <v>415</v>
      </c>
      <c r="J2428" s="5" t="n">
        <v>233</v>
      </c>
      <c r="K2428" s="10">
        <f>IF(F2428&gt;0,H2428/F2428,"")</f>
        <v/>
      </c>
      <c r="L2428" s="16">
        <f>IF(AND(G2428&gt;0,H2428&gt;0),G2428/H2428,"")</f>
        <v/>
      </c>
    </row>
    <row r="2429">
      <c r="A2429" s="4" t="inlineStr">
        <is>
          <t>705</t>
        </is>
      </c>
      <c r="B2429" s="4" t="n">
        <v>7</v>
      </c>
      <c r="C2429" s="4" t="inlineStr">
        <is>
          <t>whitetail</t>
        </is>
      </c>
      <c r="D2429" s="4" t="n">
        <v>2021</v>
      </c>
      <c r="E2429" s="13" t="inlineStr">
        <is>
          <t>General</t>
        </is>
      </c>
      <c r="F2429" s="5" t="n">
        <v>5464</v>
      </c>
      <c r="G2429" s="5" t="n">
        <v>28793</v>
      </c>
      <c r="H2429" s="5" t="n">
        <v>1230</v>
      </c>
      <c r="I2429" s="5" t="n">
        <v>688</v>
      </c>
      <c r="J2429" s="5" t="n">
        <v>532</v>
      </c>
      <c r="K2429" s="10">
        <f>IF(F2429&gt;0,H2429/F2429,"")</f>
        <v/>
      </c>
      <c r="L2429" s="16">
        <f>IF(AND(G2429&gt;0,H2429&gt;0),G2429/H2429,"")</f>
        <v/>
      </c>
    </row>
    <row r="2430">
      <c r="A2430" s="4" t="inlineStr">
        <is>
          <t>705</t>
        </is>
      </c>
      <c r="B2430" s="4" t="n">
        <v>7</v>
      </c>
      <c r="C2430" s="4" t="inlineStr">
        <is>
          <t>whitetail</t>
        </is>
      </c>
      <c r="D2430" s="4" t="n">
        <v>2022</v>
      </c>
      <c r="E2430" s="13" t="inlineStr">
        <is>
          <t>General</t>
        </is>
      </c>
      <c r="F2430" s="5" t="n"/>
      <c r="G2430" s="5" t="n"/>
      <c r="H2430" s="5" t="n">
        <v>824</v>
      </c>
      <c r="I2430" s="5" t="n">
        <v>521</v>
      </c>
      <c r="J2430" s="5" t="n">
        <v>293</v>
      </c>
      <c r="K2430" s="10">
        <f>IF(F2430&gt;0,H2430/F2430,"")</f>
        <v/>
      </c>
      <c r="L2430" s="16">
        <f>IF(AND(G2430&gt;0,H2430&gt;0),G2430/H2430,"")</f>
        <v/>
      </c>
    </row>
    <row r="2431">
      <c r="A2431" s="4" t="inlineStr">
        <is>
          <t>705</t>
        </is>
      </c>
      <c r="B2431" s="4" t="n">
        <v>7</v>
      </c>
      <c r="C2431" s="4" t="inlineStr">
        <is>
          <t>whitetail</t>
        </is>
      </c>
      <c r="D2431" s="4" t="n">
        <v>2023</v>
      </c>
      <c r="E2431" s="13" t="inlineStr">
        <is>
          <t>General</t>
        </is>
      </c>
      <c r="F2431" s="5" t="n">
        <v>3682</v>
      </c>
      <c r="G2431" s="5" t="n">
        <v>19348</v>
      </c>
      <c r="H2431" s="5" t="n">
        <v>814</v>
      </c>
      <c r="I2431" s="5" t="n">
        <v>475</v>
      </c>
      <c r="J2431" s="5" t="n">
        <v>328</v>
      </c>
      <c r="K2431" s="10">
        <f>IF(F2431&gt;0,H2431/F2431,"")</f>
        <v/>
      </c>
      <c r="L2431" s="16">
        <f>IF(AND(G2431&gt;0,H2431&gt;0),G2431/H2431,"")</f>
        <v/>
      </c>
    </row>
    <row r="2432">
      <c r="A2432" s="4" t="inlineStr">
        <is>
          <t>705</t>
        </is>
      </c>
      <c r="B2432" s="4" t="n">
        <v>7</v>
      </c>
      <c r="C2432" s="4" t="inlineStr">
        <is>
          <t>whitetail</t>
        </is>
      </c>
      <c r="D2432" s="4" t="n">
        <v>2024</v>
      </c>
      <c r="E2432" s="13" t="inlineStr">
        <is>
          <t>General</t>
        </is>
      </c>
      <c r="F2432" s="5" t="n"/>
      <c r="G2432" s="5" t="n"/>
      <c r="H2432" s="5" t="n">
        <v>899</v>
      </c>
      <c r="I2432" s="5" t="n">
        <v>612</v>
      </c>
      <c r="J2432" s="5" t="n">
        <v>284</v>
      </c>
      <c r="K2432" s="10">
        <f>IF(F2432&gt;0,H2432/F2432,"")</f>
        <v/>
      </c>
      <c r="L2432" s="16">
        <f>IF(AND(G2432&gt;0,H2432&gt;0),G2432/H2432,"")</f>
        <v/>
      </c>
    </row>
    <row r="2433">
      <c r="A2433" s="4" t="inlineStr">
        <is>
          <t>705</t>
        </is>
      </c>
      <c r="B2433" s="4" t="n">
        <v>7</v>
      </c>
      <c r="C2433" s="4" t="inlineStr">
        <is>
          <t>whitetail</t>
        </is>
      </c>
      <c r="D2433" s="4" t="n">
        <v>2025</v>
      </c>
      <c r="E2433" s="13" t="inlineStr">
        <is>
          <t>General</t>
        </is>
      </c>
      <c r="F2433" s="5" t="n">
        <v>3585</v>
      </c>
      <c r="G2433" s="5" t="n">
        <v>20671</v>
      </c>
      <c r="H2433" s="5" t="n">
        <v>798</v>
      </c>
      <c r="I2433" s="5" t="n">
        <v>519</v>
      </c>
      <c r="J2433" s="5" t="n">
        <v>272</v>
      </c>
      <c r="K2433" s="10">
        <f>IF(F2433&gt;0,H2433/F2433,"")</f>
        <v/>
      </c>
      <c r="L2433" s="16">
        <f>IF(AND(G2433&gt;0,H2433&gt;0),G2433/H2433,"")</f>
        <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2026-10-22T22:50:30Z</dcterms:created>
  <dcterms:modified xsi:type="dcterms:W3CDTF">2026-10-22T22:50:32Z</dcterms:modified>
</cp:coreProperties>
</file>